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esktop\titanic\"/>
    </mc:Choice>
  </mc:AlternateContent>
  <xr:revisionPtr revIDLastSave="0" documentId="13_ncr:1_{137E846D-875A-44A7-88A3-B3694C76B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" sheetId="3" r:id="rId1"/>
    <sheet name="test" sheetId="11" r:id="rId2"/>
    <sheet name="зведена Age" sheetId="5" r:id="rId3"/>
  </sheets>
  <definedNames>
    <definedName name="_xlchart.v1.0" hidden="1">train!$W$1</definedName>
    <definedName name="_xlchart.v1.1" hidden="1">train!$W$2:$W$892</definedName>
    <definedName name="_xlchart.v1.2" hidden="1">train!$W$1</definedName>
    <definedName name="_xlchart.v1.3" hidden="1">train!$W$2:$W$892</definedName>
    <definedName name="_xlnm._FilterDatabase" localSheetId="0" hidden="1">train!$A$1:$U$892</definedName>
    <definedName name="solver_adj" localSheetId="0" hidden="1">train!$AB$1:$AB$15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train!$Y$2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pivotCaches>
    <pivotCache cacheId="4" r:id="rId4"/>
    <pivotCache cacheId="5" r:id="rId5"/>
  </pivotCaches>
</workbook>
</file>

<file path=xl/calcChain.xml><?xml version="1.0" encoding="utf-8"?>
<calcChain xmlns="http://schemas.openxmlformats.org/spreadsheetml/2006/main">
  <c r="V3" i="3" l="1"/>
  <c r="W3" i="3" s="1"/>
  <c r="X3" i="3" s="1"/>
  <c r="V4" i="3"/>
  <c r="W4" i="3" s="1"/>
  <c r="X4" i="3" s="1"/>
  <c r="V5" i="3"/>
  <c r="W5" i="3" s="1"/>
  <c r="X5" i="3" s="1"/>
  <c r="V6" i="3"/>
  <c r="W6" i="3" s="1"/>
  <c r="X6" i="3" s="1"/>
  <c r="V7" i="3"/>
  <c r="W7" i="3" s="1"/>
  <c r="X7" i="3" s="1"/>
  <c r="V8" i="3"/>
  <c r="W8" i="3" s="1"/>
  <c r="X8" i="3" s="1"/>
  <c r="V9" i="3"/>
  <c r="W9" i="3" s="1"/>
  <c r="X9" i="3" s="1"/>
  <c r="V10" i="3"/>
  <c r="W10" i="3" s="1"/>
  <c r="X10" i="3" s="1"/>
  <c r="V11" i="3"/>
  <c r="W11" i="3" s="1"/>
  <c r="X11" i="3" s="1"/>
  <c r="V12" i="3"/>
  <c r="W12" i="3" s="1"/>
  <c r="X12" i="3" s="1"/>
  <c r="V13" i="3"/>
  <c r="W13" i="3" s="1"/>
  <c r="X13" i="3" s="1"/>
  <c r="V14" i="3"/>
  <c r="W14" i="3" s="1"/>
  <c r="X14" i="3" s="1"/>
  <c r="V15" i="3"/>
  <c r="W15" i="3" s="1"/>
  <c r="X15" i="3" s="1"/>
  <c r="V16" i="3"/>
  <c r="W16" i="3" s="1"/>
  <c r="X16" i="3" s="1"/>
  <c r="V17" i="3"/>
  <c r="W17" i="3" s="1"/>
  <c r="X17" i="3" s="1"/>
  <c r="V18" i="3"/>
  <c r="W18" i="3" s="1"/>
  <c r="X18" i="3" s="1"/>
  <c r="V19" i="3"/>
  <c r="W19" i="3" s="1"/>
  <c r="X19" i="3" s="1"/>
  <c r="V20" i="3"/>
  <c r="W20" i="3" s="1"/>
  <c r="X20" i="3" s="1"/>
  <c r="V21" i="3"/>
  <c r="W21" i="3" s="1"/>
  <c r="X21" i="3" s="1"/>
  <c r="V22" i="3"/>
  <c r="W22" i="3" s="1"/>
  <c r="X22" i="3" s="1"/>
  <c r="V23" i="3"/>
  <c r="W23" i="3" s="1"/>
  <c r="X23" i="3" s="1"/>
  <c r="V24" i="3"/>
  <c r="W24" i="3" s="1"/>
  <c r="X24" i="3" s="1"/>
  <c r="V25" i="3"/>
  <c r="W25" i="3" s="1"/>
  <c r="X25" i="3" s="1"/>
  <c r="V26" i="3"/>
  <c r="W26" i="3" s="1"/>
  <c r="X26" i="3" s="1"/>
  <c r="V27" i="3"/>
  <c r="W27" i="3" s="1"/>
  <c r="X27" i="3" s="1"/>
  <c r="V28" i="3"/>
  <c r="W28" i="3" s="1"/>
  <c r="X28" i="3" s="1"/>
  <c r="V29" i="3"/>
  <c r="W29" i="3" s="1"/>
  <c r="X29" i="3" s="1"/>
  <c r="V30" i="3"/>
  <c r="W30" i="3" s="1"/>
  <c r="X30" i="3" s="1"/>
  <c r="V31" i="3"/>
  <c r="W31" i="3" s="1"/>
  <c r="X31" i="3" s="1"/>
  <c r="V32" i="3"/>
  <c r="W32" i="3" s="1"/>
  <c r="X32" i="3" s="1"/>
  <c r="V33" i="3"/>
  <c r="W33" i="3" s="1"/>
  <c r="X33" i="3" s="1"/>
  <c r="V34" i="3"/>
  <c r="W34" i="3" s="1"/>
  <c r="X34" i="3" s="1"/>
  <c r="V35" i="3"/>
  <c r="W35" i="3" s="1"/>
  <c r="X35" i="3" s="1"/>
  <c r="V36" i="3"/>
  <c r="W36" i="3" s="1"/>
  <c r="X36" i="3" s="1"/>
  <c r="V37" i="3"/>
  <c r="W37" i="3" s="1"/>
  <c r="X37" i="3" s="1"/>
  <c r="V38" i="3"/>
  <c r="W38" i="3" s="1"/>
  <c r="X38" i="3" s="1"/>
  <c r="V39" i="3"/>
  <c r="W39" i="3" s="1"/>
  <c r="X39" i="3" s="1"/>
  <c r="V40" i="3"/>
  <c r="W40" i="3" s="1"/>
  <c r="X40" i="3" s="1"/>
  <c r="V41" i="3"/>
  <c r="W41" i="3" s="1"/>
  <c r="X41" i="3" s="1"/>
  <c r="V42" i="3"/>
  <c r="W42" i="3" s="1"/>
  <c r="X42" i="3" s="1"/>
  <c r="V43" i="3"/>
  <c r="W43" i="3" s="1"/>
  <c r="X43" i="3" s="1"/>
  <c r="V44" i="3"/>
  <c r="W44" i="3" s="1"/>
  <c r="X44" i="3" s="1"/>
  <c r="V45" i="3"/>
  <c r="W45" i="3" s="1"/>
  <c r="X45" i="3" s="1"/>
  <c r="V46" i="3"/>
  <c r="W46" i="3" s="1"/>
  <c r="X46" i="3" s="1"/>
  <c r="V47" i="3"/>
  <c r="W47" i="3" s="1"/>
  <c r="X47" i="3" s="1"/>
  <c r="V48" i="3"/>
  <c r="W48" i="3" s="1"/>
  <c r="X48" i="3" s="1"/>
  <c r="V49" i="3"/>
  <c r="W49" i="3" s="1"/>
  <c r="X49" i="3" s="1"/>
  <c r="V50" i="3"/>
  <c r="W50" i="3" s="1"/>
  <c r="X50" i="3" s="1"/>
  <c r="V51" i="3"/>
  <c r="W51" i="3" s="1"/>
  <c r="X51" i="3" s="1"/>
  <c r="V52" i="3"/>
  <c r="W52" i="3" s="1"/>
  <c r="X52" i="3" s="1"/>
  <c r="V53" i="3"/>
  <c r="W53" i="3" s="1"/>
  <c r="X53" i="3" s="1"/>
  <c r="V54" i="3"/>
  <c r="W54" i="3" s="1"/>
  <c r="X54" i="3" s="1"/>
  <c r="V55" i="3"/>
  <c r="W55" i="3" s="1"/>
  <c r="X55" i="3" s="1"/>
  <c r="V56" i="3"/>
  <c r="W56" i="3" s="1"/>
  <c r="X56" i="3" s="1"/>
  <c r="V57" i="3"/>
  <c r="W57" i="3" s="1"/>
  <c r="X57" i="3" s="1"/>
  <c r="V58" i="3"/>
  <c r="W58" i="3" s="1"/>
  <c r="X58" i="3" s="1"/>
  <c r="V59" i="3"/>
  <c r="W59" i="3" s="1"/>
  <c r="X59" i="3" s="1"/>
  <c r="V60" i="3"/>
  <c r="W60" i="3" s="1"/>
  <c r="X60" i="3" s="1"/>
  <c r="V61" i="3"/>
  <c r="W61" i="3" s="1"/>
  <c r="X61" i="3" s="1"/>
  <c r="V62" i="3"/>
  <c r="W62" i="3" s="1"/>
  <c r="X62" i="3" s="1"/>
  <c r="V63" i="3"/>
  <c r="W63" i="3" s="1"/>
  <c r="X63" i="3" s="1"/>
  <c r="V64" i="3"/>
  <c r="W64" i="3" s="1"/>
  <c r="X64" i="3" s="1"/>
  <c r="V65" i="3"/>
  <c r="W65" i="3" s="1"/>
  <c r="X65" i="3" s="1"/>
  <c r="V66" i="3"/>
  <c r="W66" i="3" s="1"/>
  <c r="X66" i="3" s="1"/>
  <c r="V67" i="3"/>
  <c r="W67" i="3" s="1"/>
  <c r="X67" i="3" s="1"/>
  <c r="V68" i="3"/>
  <c r="W68" i="3" s="1"/>
  <c r="X68" i="3" s="1"/>
  <c r="V69" i="3"/>
  <c r="W69" i="3" s="1"/>
  <c r="X69" i="3" s="1"/>
  <c r="V70" i="3"/>
  <c r="W70" i="3" s="1"/>
  <c r="X70" i="3" s="1"/>
  <c r="V71" i="3"/>
  <c r="W71" i="3" s="1"/>
  <c r="X71" i="3" s="1"/>
  <c r="V72" i="3"/>
  <c r="W72" i="3" s="1"/>
  <c r="X72" i="3" s="1"/>
  <c r="V73" i="3"/>
  <c r="W73" i="3" s="1"/>
  <c r="X73" i="3" s="1"/>
  <c r="V74" i="3"/>
  <c r="W74" i="3" s="1"/>
  <c r="X74" i="3" s="1"/>
  <c r="V75" i="3"/>
  <c r="W75" i="3" s="1"/>
  <c r="X75" i="3" s="1"/>
  <c r="V76" i="3"/>
  <c r="W76" i="3" s="1"/>
  <c r="X76" i="3" s="1"/>
  <c r="V77" i="3"/>
  <c r="W77" i="3" s="1"/>
  <c r="X77" i="3" s="1"/>
  <c r="V78" i="3"/>
  <c r="W78" i="3" s="1"/>
  <c r="X78" i="3" s="1"/>
  <c r="V79" i="3"/>
  <c r="W79" i="3" s="1"/>
  <c r="X79" i="3" s="1"/>
  <c r="V80" i="3"/>
  <c r="W80" i="3" s="1"/>
  <c r="X80" i="3" s="1"/>
  <c r="V81" i="3"/>
  <c r="W81" i="3" s="1"/>
  <c r="X81" i="3" s="1"/>
  <c r="V82" i="3"/>
  <c r="W82" i="3" s="1"/>
  <c r="X82" i="3" s="1"/>
  <c r="V83" i="3"/>
  <c r="W83" i="3" s="1"/>
  <c r="X83" i="3" s="1"/>
  <c r="V84" i="3"/>
  <c r="W84" i="3" s="1"/>
  <c r="X84" i="3" s="1"/>
  <c r="V85" i="3"/>
  <c r="W85" i="3" s="1"/>
  <c r="X85" i="3" s="1"/>
  <c r="V86" i="3"/>
  <c r="W86" i="3" s="1"/>
  <c r="X86" i="3" s="1"/>
  <c r="V87" i="3"/>
  <c r="W87" i="3" s="1"/>
  <c r="X87" i="3" s="1"/>
  <c r="V88" i="3"/>
  <c r="W88" i="3" s="1"/>
  <c r="X88" i="3" s="1"/>
  <c r="V89" i="3"/>
  <c r="W89" i="3" s="1"/>
  <c r="X89" i="3" s="1"/>
  <c r="V90" i="3"/>
  <c r="W90" i="3" s="1"/>
  <c r="X90" i="3" s="1"/>
  <c r="V91" i="3"/>
  <c r="W91" i="3" s="1"/>
  <c r="X91" i="3" s="1"/>
  <c r="V92" i="3"/>
  <c r="W92" i="3" s="1"/>
  <c r="X92" i="3" s="1"/>
  <c r="V93" i="3"/>
  <c r="W93" i="3" s="1"/>
  <c r="X93" i="3" s="1"/>
  <c r="V94" i="3"/>
  <c r="W94" i="3" s="1"/>
  <c r="X94" i="3" s="1"/>
  <c r="V95" i="3"/>
  <c r="W95" i="3" s="1"/>
  <c r="X95" i="3" s="1"/>
  <c r="V96" i="3"/>
  <c r="W96" i="3" s="1"/>
  <c r="X96" i="3" s="1"/>
  <c r="V97" i="3"/>
  <c r="W97" i="3" s="1"/>
  <c r="X97" i="3" s="1"/>
  <c r="V98" i="3"/>
  <c r="W98" i="3" s="1"/>
  <c r="X98" i="3" s="1"/>
  <c r="V99" i="3"/>
  <c r="W99" i="3" s="1"/>
  <c r="X99" i="3" s="1"/>
  <c r="V100" i="3"/>
  <c r="W100" i="3" s="1"/>
  <c r="X100" i="3" s="1"/>
  <c r="V101" i="3"/>
  <c r="W101" i="3" s="1"/>
  <c r="X101" i="3" s="1"/>
  <c r="V102" i="3"/>
  <c r="W102" i="3" s="1"/>
  <c r="X102" i="3" s="1"/>
  <c r="V103" i="3"/>
  <c r="W103" i="3" s="1"/>
  <c r="X103" i="3" s="1"/>
  <c r="V104" i="3"/>
  <c r="W104" i="3" s="1"/>
  <c r="X104" i="3" s="1"/>
  <c r="V105" i="3"/>
  <c r="W105" i="3" s="1"/>
  <c r="X105" i="3" s="1"/>
  <c r="V106" i="3"/>
  <c r="W106" i="3" s="1"/>
  <c r="X106" i="3" s="1"/>
  <c r="V107" i="3"/>
  <c r="W107" i="3" s="1"/>
  <c r="X107" i="3" s="1"/>
  <c r="V108" i="3"/>
  <c r="W108" i="3" s="1"/>
  <c r="X108" i="3" s="1"/>
  <c r="V109" i="3"/>
  <c r="W109" i="3" s="1"/>
  <c r="X109" i="3" s="1"/>
  <c r="V110" i="3"/>
  <c r="W110" i="3" s="1"/>
  <c r="X110" i="3" s="1"/>
  <c r="V111" i="3"/>
  <c r="W111" i="3" s="1"/>
  <c r="X111" i="3" s="1"/>
  <c r="V112" i="3"/>
  <c r="W112" i="3" s="1"/>
  <c r="X112" i="3" s="1"/>
  <c r="V113" i="3"/>
  <c r="W113" i="3" s="1"/>
  <c r="X113" i="3" s="1"/>
  <c r="V114" i="3"/>
  <c r="W114" i="3" s="1"/>
  <c r="X114" i="3" s="1"/>
  <c r="V115" i="3"/>
  <c r="W115" i="3" s="1"/>
  <c r="X115" i="3" s="1"/>
  <c r="V116" i="3"/>
  <c r="W116" i="3" s="1"/>
  <c r="X116" i="3" s="1"/>
  <c r="V117" i="3"/>
  <c r="W117" i="3" s="1"/>
  <c r="X117" i="3" s="1"/>
  <c r="V118" i="3"/>
  <c r="W118" i="3" s="1"/>
  <c r="X118" i="3" s="1"/>
  <c r="V119" i="3"/>
  <c r="W119" i="3" s="1"/>
  <c r="X119" i="3" s="1"/>
  <c r="V120" i="3"/>
  <c r="W120" i="3" s="1"/>
  <c r="X120" i="3" s="1"/>
  <c r="V121" i="3"/>
  <c r="W121" i="3" s="1"/>
  <c r="X121" i="3" s="1"/>
  <c r="V122" i="3"/>
  <c r="W122" i="3" s="1"/>
  <c r="X122" i="3" s="1"/>
  <c r="V123" i="3"/>
  <c r="W123" i="3" s="1"/>
  <c r="X123" i="3" s="1"/>
  <c r="V124" i="3"/>
  <c r="W124" i="3" s="1"/>
  <c r="X124" i="3" s="1"/>
  <c r="V125" i="3"/>
  <c r="W125" i="3" s="1"/>
  <c r="X125" i="3" s="1"/>
  <c r="V126" i="3"/>
  <c r="W126" i="3" s="1"/>
  <c r="X126" i="3" s="1"/>
  <c r="V127" i="3"/>
  <c r="W127" i="3" s="1"/>
  <c r="X127" i="3" s="1"/>
  <c r="V128" i="3"/>
  <c r="W128" i="3" s="1"/>
  <c r="X128" i="3" s="1"/>
  <c r="V129" i="3"/>
  <c r="W129" i="3" s="1"/>
  <c r="X129" i="3" s="1"/>
  <c r="V130" i="3"/>
  <c r="W130" i="3" s="1"/>
  <c r="X130" i="3" s="1"/>
  <c r="V131" i="3"/>
  <c r="W131" i="3" s="1"/>
  <c r="X131" i="3" s="1"/>
  <c r="V132" i="3"/>
  <c r="W132" i="3" s="1"/>
  <c r="X132" i="3" s="1"/>
  <c r="V133" i="3"/>
  <c r="W133" i="3" s="1"/>
  <c r="X133" i="3" s="1"/>
  <c r="V134" i="3"/>
  <c r="W134" i="3" s="1"/>
  <c r="X134" i="3" s="1"/>
  <c r="V135" i="3"/>
  <c r="W135" i="3" s="1"/>
  <c r="X135" i="3" s="1"/>
  <c r="V136" i="3"/>
  <c r="W136" i="3" s="1"/>
  <c r="X136" i="3" s="1"/>
  <c r="V137" i="3"/>
  <c r="W137" i="3" s="1"/>
  <c r="X137" i="3" s="1"/>
  <c r="V138" i="3"/>
  <c r="W138" i="3" s="1"/>
  <c r="X138" i="3" s="1"/>
  <c r="V139" i="3"/>
  <c r="W139" i="3" s="1"/>
  <c r="X139" i="3" s="1"/>
  <c r="V140" i="3"/>
  <c r="W140" i="3" s="1"/>
  <c r="X140" i="3" s="1"/>
  <c r="V141" i="3"/>
  <c r="W141" i="3" s="1"/>
  <c r="X141" i="3" s="1"/>
  <c r="V142" i="3"/>
  <c r="W142" i="3" s="1"/>
  <c r="X142" i="3" s="1"/>
  <c r="V143" i="3"/>
  <c r="W143" i="3" s="1"/>
  <c r="X143" i="3" s="1"/>
  <c r="V144" i="3"/>
  <c r="W144" i="3" s="1"/>
  <c r="X144" i="3" s="1"/>
  <c r="V145" i="3"/>
  <c r="W145" i="3" s="1"/>
  <c r="X145" i="3" s="1"/>
  <c r="V146" i="3"/>
  <c r="W146" i="3" s="1"/>
  <c r="X146" i="3" s="1"/>
  <c r="V147" i="3"/>
  <c r="W147" i="3" s="1"/>
  <c r="X147" i="3" s="1"/>
  <c r="V148" i="3"/>
  <c r="W148" i="3" s="1"/>
  <c r="X148" i="3" s="1"/>
  <c r="V149" i="3"/>
  <c r="W149" i="3" s="1"/>
  <c r="X149" i="3" s="1"/>
  <c r="V150" i="3"/>
  <c r="W150" i="3" s="1"/>
  <c r="X150" i="3" s="1"/>
  <c r="V151" i="3"/>
  <c r="W151" i="3" s="1"/>
  <c r="X151" i="3" s="1"/>
  <c r="V152" i="3"/>
  <c r="W152" i="3" s="1"/>
  <c r="X152" i="3" s="1"/>
  <c r="V153" i="3"/>
  <c r="W153" i="3" s="1"/>
  <c r="X153" i="3" s="1"/>
  <c r="V154" i="3"/>
  <c r="W154" i="3" s="1"/>
  <c r="X154" i="3" s="1"/>
  <c r="V155" i="3"/>
  <c r="W155" i="3" s="1"/>
  <c r="X155" i="3" s="1"/>
  <c r="V156" i="3"/>
  <c r="W156" i="3" s="1"/>
  <c r="X156" i="3" s="1"/>
  <c r="V157" i="3"/>
  <c r="W157" i="3" s="1"/>
  <c r="X157" i="3" s="1"/>
  <c r="V158" i="3"/>
  <c r="W158" i="3" s="1"/>
  <c r="X158" i="3" s="1"/>
  <c r="V159" i="3"/>
  <c r="W159" i="3" s="1"/>
  <c r="X159" i="3" s="1"/>
  <c r="V160" i="3"/>
  <c r="W160" i="3" s="1"/>
  <c r="X160" i="3" s="1"/>
  <c r="V161" i="3"/>
  <c r="W161" i="3" s="1"/>
  <c r="X161" i="3" s="1"/>
  <c r="V162" i="3"/>
  <c r="W162" i="3" s="1"/>
  <c r="X162" i="3" s="1"/>
  <c r="V163" i="3"/>
  <c r="W163" i="3" s="1"/>
  <c r="X163" i="3" s="1"/>
  <c r="V164" i="3"/>
  <c r="W164" i="3" s="1"/>
  <c r="X164" i="3" s="1"/>
  <c r="V165" i="3"/>
  <c r="W165" i="3" s="1"/>
  <c r="X165" i="3" s="1"/>
  <c r="V166" i="3"/>
  <c r="W166" i="3" s="1"/>
  <c r="X166" i="3" s="1"/>
  <c r="V167" i="3"/>
  <c r="W167" i="3" s="1"/>
  <c r="X167" i="3" s="1"/>
  <c r="V168" i="3"/>
  <c r="W168" i="3" s="1"/>
  <c r="X168" i="3" s="1"/>
  <c r="V169" i="3"/>
  <c r="W169" i="3" s="1"/>
  <c r="X169" i="3" s="1"/>
  <c r="V170" i="3"/>
  <c r="W170" i="3" s="1"/>
  <c r="X170" i="3" s="1"/>
  <c r="V171" i="3"/>
  <c r="W171" i="3" s="1"/>
  <c r="X171" i="3" s="1"/>
  <c r="V172" i="3"/>
  <c r="W172" i="3" s="1"/>
  <c r="X172" i="3" s="1"/>
  <c r="V173" i="3"/>
  <c r="W173" i="3" s="1"/>
  <c r="X173" i="3" s="1"/>
  <c r="V174" i="3"/>
  <c r="W174" i="3" s="1"/>
  <c r="X174" i="3" s="1"/>
  <c r="V175" i="3"/>
  <c r="W175" i="3" s="1"/>
  <c r="X175" i="3" s="1"/>
  <c r="V176" i="3"/>
  <c r="W176" i="3" s="1"/>
  <c r="X176" i="3" s="1"/>
  <c r="V177" i="3"/>
  <c r="W177" i="3" s="1"/>
  <c r="X177" i="3" s="1"/>
  <c r="V178" i="3"/>
  <c r="W178" i="3" s="1"/>
  <c r="X178" i="3" s="1"/>
  <c r="V179" i="3"/>
  <c r="W179" i="3" s="1"/>
  <c r="X179" i="3" s="1"/>
  <c r="V180" i="3"/>
  <c r="W180" i="3" s="1"/>
  <c r="X180" i="3" s="1"/>
  <c r="V181" i="3"/>
  <c r="W181" i="3" s="1"/>
  <c r="X181" i="3" s="1"/>
  <c r="V182" i="3"/>
  <c r="W182" i="3" s="1"/>
  <c r="X182" i="3" s="1"/>
  <c r="V183" i="3"/>
  <c r="W183" i="3" s="1"/>
  <c r="X183" i="3" s="1"/>
  <c r="V184" i="3"/>
  <c r="W184" i="3" s="1"/>
  <c r="X184" i="3" s="1"/>
  <c r="V185" i="3"/>
  <c r="W185" i="3" s="1"/>
  <c r="X185" i="3" s="1"/>
  <c r="V186" i="3"/>
  <c r="W186" i="3" s="1"/>
  <c r="X186" i="3" s="1"/>
  <c r="V187" i="3"/>
  <c r="W187" i="3" s="1"/>
  <c r="X187" i="3" s="1"/>
  <c r="V188" i="3"/>
  <c r="W188" i="3" s="1"/>
  <c r="X188" i="3" s="1"/>
  <c r="V189" i="3"/>
  <c r="W189" i="3" s="1"/>
  <c r="X189" i="3" s="1"/>
  <c r="V190" i="3"/>
  <c r="W190" i="3" s="1"/>
  <c r="X190" i="3" s="1"/>
  <c r="V191" i="3"/>
  <c r="W191" i="3" s="1"/>
  <c r="X191" i="3" s="1"/>
  <c r="V192" i="3"/>
  <c r="W192" i="3" s="1"/>
  <c r="X192" i="3" s="1"/>
  <c r="V193" i="3"/>
  <c r="W193" i="3" s="1"/>
  <c r="X193" i="3" s="1"/>
  <c r="V194" i="3"/>
  <c r="W194" i="3" s="1"/>
  <c r="X194" i="3" s="1"/>
  <c r="V195" i="3"/>
  <c r="W195" i="3" s="1"/>
  <c r="X195" i="3" s="1"/>
  <c r="V196" i="3"/>
  <c r="W196" i="3" s="1"/>
  <c r="X196" i="3" s="1"/>
  <c r="V197" i="3"/>
  <c r="W197" i="3" s="1"/>
  <c r="X197" i="3" s="1"/>
  <c r="V198" i="3"/>
  <c r="W198" i="3" s="1"/>
  <c r="X198" i="3" s="1"/>
  <c r="V199" i="3"/>
  <c r="W199" i="3" s="1"/>
  <c r="X199" i="3" s="1"/>
  <c r="V200" i="3"/>
  <c r="W200" i="3" s="1"/>
  <c r="X200" i="3" s="1"/>
  <c r="V201" i="3"/>
  <c r="W201" i="3" s="1"/>
  <c r="X201" i="3" s="1"/>
  <c r="V202" i="3"/>
  <c r="W202" i="3" s="1"/>
  <c r="X202" i="3" s="1"/>
  <c r="V203" i="3"/>
  <c r="W203" i="3" s="1"/>
  <c r="X203" i="3" s="1"/>
  <c r="V204" i="3"/>
  <c r="W204" i="3" s="1"/>
  <c r="X204" i="3" s="1"/>
  <c r="V205" i="3"/>
  <c r="W205" i="3" s="1"/>
  <c r="X205" i="3" s="1"/>
  <c r="V206" i="3"/>
  <c r="W206" i="3" s="1"/>
  <c r="X206" i="3" s="1"/>
  <c r="V207" i="3"/>
  <c r="W207" i="3" s="1"/>
  <c r="X207" i="3" s="1"/>
  <c r="V208" i="3"/>
  <c r="W208" i="3" s="1"/>
  <c r="X208" i="3" s="1"/>
  <c r="V209" i="3"/>
  <c r="W209" i="3" s="1"/>
  <c r="X209" i="3" s="1"/>
  <c r="V210" i="3"/>
  <c r="W210" i="3" s="1"/>
  <c r="X210" i="3" s="1"/>
  <c r="V211" i="3"/>
  <c r="W211" i="3" s="1"/>
  <c r="X211" i="3" s="1"/>
  <c r="V212" i="3"/>
  <c r="W212" i="3" s="1"/>
  <c r="X212" i="3" s="1"/>
  <c r="V213" i="3"/>
  <c r="W213" i="3" s="1"/>
  <c r="X213" i="3" s="1"/>
  <c r="V214" i="3"/>
  <c r="W214" i="3" s="1"/>
  <c r="X214" i="3" s="1"/>
  <c r="V215" i="3"/>
  <c r="W215" i="3" s="1"/>
  <c r="X215" i="3" s="1"/>
  <c r="V216" i="3"/>
  <c r="W216" i="3" s="1"/>
  <c r="X216" i="3" s="1"/>
  <c r="V217" i="3"/>
  <c r="W217" i="3" s="1"/>
  <c r="X217" i="3" s="1"/>
  <c r="V218" i="3"/>
  <c r="W218" i="3" s="1"/>
  <c r="X218" i="3" s="1"/>
  <c r="V219" i="3"/>
  <c r="W219" i="3" s="1"/>
  <c r="X219" i="3" s="1"/>
  <c r="V220" i="3"/>
  <c r="W220" i="3" s="1"/>
  <c r="X220" i="3" s="1"/>
  <c r="V221" i="3"/>
  <c r="W221" i="3" s="1"/>
  <c r="X221" i="3" s="1"/>
  <c r="V222" i="3"/>
  <c r="W222" i="3" s="1"/>
  <c r="X222" i="3" s="1"/>
  <c r="V223" i="3"/>
  <c r="W223" i="3" s="1"/>
  <c r="X223" i="3" s="1"/>
  <c r="V224" i="3"/>
  <c r="W224" i="3" s="1"/>
  <c r="X224" i="3" s="1"/>
  <c r="V225" i="3"/>
  <c r="W225" i="3" s="1"/>
  <c r="X225" i="3" s="1"/>
  <c r="V226" i="3"/>
  <c r="W226" i="3" s="1"/>
  <c r="X226" i="3" s="1"/>
  <c r="V227" i="3"/>
  <c r="W227" i="3" s="1"/>
  <c r="X227" i="3" s="1"/>
  <c r="V228" i="3"/>
  <c r="W228" i="3" s="1"/>
  <c r="X228" i="3" s="1"/>
  <c r="V229" i="3"/>
  <c r="W229" i="3" s="1"/>
  <c r="X229" i="3" s="1"/>
  <c r="V230" i="3"/>
  <c r="W230" i="3" s="1"/>
  <c r="X230" i="3" s="1"/>
  <c r="V231" i="3"/>
  <c r="W231" i="3" s="1"/>
  <c r="X231" i="3" s="1"/>
  <c r="V232" i="3"/>
  <c r="W232" i="3" s="1"/>
  <c r="X232" i="3" s="1"/>
  <c r="V233" i="3"/>
  <c r="W233" i="3" s="1"/>
  <c r="X233" i="3" s="1"/>
  <c r="V234" i="3"/>
  <c r="W234" i="3" s="1"/>
  <c r="X234" i="3" s="1"/>
  <c r="V235" i="3"/>
  <c r="W235" i="3" s="1"/>
  <c r="X235" i="3" s="1"/>
  <c r="V236" i="3"/>
  <c r="W236" i="3" s="1"/>
  <c r="X236" i="3" s="1"/>
  <c r="V237" i="3"/>
  <c r="W237" i="3" s="1"/>
  <c r="X237" i="3" s="1"/>
  <c r="V238" i="3"/>
  <c r="W238" i="3" s="1"/>
  <c r="X238" i="3" s="1"/>
  <c r="V239" i="3"/>
  <c r="W239" i="3" s="1"/>
  <c r="X239" i="3" s="1"/>
  <c r="V240" i="3"/>
  <c r="W240" i="3" s="1"/>
  <c r="X240" i="3" s="1"/>
  <c r="V241" i="3"/>
  <c r="W241" i="3" s="1"/>
  <c r="X241" i="3" s="1"/>
  <c r="V242" i="3"/>
  <c r="W242" i="3" s="1"/>
  <c r="X242" i="3" s="1"/>
  <c r="V243" i="3"/>
  <c r="W243" i="3" s="1"/>
  <c r="X243" i="3" s="1"/>
  <c r="V244" i="3"/>
  <c r="W244" i="3" s="1"/>
  <c r="X244" i="3" s="1"/>
  <c r="V245" i="3"/>
  <c r="W245" i="3" s="1"/>
  <c r="X245" i="3" s="1"/>
  <c r="V246" i="3"/>
  <c r="W246" i="3" s="1"/>
  <c r="X246" i="3" s="1"/>
  <c r="V247" i="3"/>
  <c r="W247" i="3" s="1"/>
  <c r="X247" i="3" s="1"/>
  <c r="V248" i="3"/>
  <c r="W248" i="3" s="1"/>
  <c r="X248" i="3" s="1"/>
  <c r="V249" i="3"/>
  <c r="W249" i="3" s="1"/>
  <c r="X249" i="3" s="1"/>
  <c r="V250" i="3"/>
  <c r="W250" i="3" s="1"/>
  <c r="X250" i="3" s="1"/>
  <c r="V251" i="3"/>
  <c r="W251" i="3" s="1"/>
  <c r="X251" i="3" s="1"/>
  <c r="V252" i="3"/>
  <c r="W252" i="3" s="1"/>
  <c r="X252" i="3" s="1"/>
  <c r="V253" i="3"/>
  <c r="W253" i="3" s="1"/>
  <c r="X253" i="3" s="1"/>
  <c r="V254" i="3"/>
  <c r="W254" i="3" s="1"/>
  <c r="X254" i="3" s="1"/>
  <c r="V255" i="3"/>
  <c r="W255" i="3" s="1"/>
  <c r="X255" i="3" s="1"/>
  <c r="V256" i="3"/>
  <c r="W256" i="3" s="1"/>
  <c r="X256" i="3" s="1"/>
  <c r="V257" i="3"/>
  <c r="W257" i="3" s="1"/>
  <c r="X257" i="3" s="1"/>
  <c r="V258" i="3"/>
  <c r="W258" i="3" s="1"/>
  <c r="X258" i="3" s="1"/>
  <c r="V259" i="3"/>
  <c r="W259" i="3" s="1"/>
  <c r="X259" i="3" s="1"/>
  <c r="V260" i="3"/>
  <c r="W260" i="3" s="1"/>
  <c r="X260" i="3" s="1"/>
  <c r="V261" i="3"/>
  <c r="W261" i="3" s="1"/>
  <c r="X261" i="3" s="1"/>
  <c r="V262" i="3"/>
  <c r="W262" i="3" s="1"/>
  <c r="X262" i="3" s="1"/>
  <c r="V263" i="3"/>
  <c r="W263" i="3" s="1"/>
  <c r="X263" i="3" s="1"/>
  <c r="V264" i="3"/>
  <c r="W264" i="3" s="1"/>
  <c r="X264" i="3" s="1"/>
  <c r="V265" i="3"/>
  <c r="W265" i="3" s="1"/>
  <c r="X265" i="3" s="1"/>
  <c r="V266" i="3"/>
  <c r="W266" i="3" s="1"/>
  <c r="X266" i="3" s="1"/>
  <c r="V267" i="3"/>
  <c r="W267" i="3" s="1"/>
  <c r="X267" i="3" s="1"/>
  <c r="V268" i="3"/>
  <c r="W268" i="3" s="1"/>
  <c r="X268" i="3" s="1"/>
  <c r="V269" i="3"/>
  <c r="W269" i="3" s="1"/>
  <c r="X269" i="3" s="1"/>
  <c r="V270" i="3"/>
  <c r="W270" i="3" s="1"/>
  <c r="X270" i="3" s="1"/>
  <c r="V271" i="3"/>
  <c r="W271" i="3" s="1"/>
  <c r="X271" i="3" s="1"/>
  <c r="V272" i="3"/>
  <c r="W272" i="3" s="1"/>
  <c r="X272" i="3" s="1"/>
  <c r="V273" i="3"/>
  <c r="W273" i="3" s="1"/>
  <c r="X273" i="3" s="1"/>
  <c r="V274" i="3"/>
  <c r="W274" i="3" s="1"/>
  <c r="X274" i="3" s="1"/>
  <c r="V275" i="3"/>
  <c r="W275" i="3" s="1"/>
  <c r="X275" i="3" s="1"/>
  <c r="V276" i="3"/>
  <c r="W276" i="3" s="1"/>
  <c r="X276" i="3" s="1"/>
  <c r="V277" i="3"/>
  <c r="W277" i="3" s="1"/>
  <c r="X277" i="3" s="1"/>
  <c r="V278" i="3"/>
  <c r="W278" i="3" s="1"/>
  <c r="X278" i="3" s="1"/>
  <c r="V279" i="3"/>
  <c r="W279" i="3" s="1"/>
  <c r="X279" i="3" s="1"/>
  <c r="V280" i="3"/>
  <c r="W280" i="3" s="1"/>
  <c r="X280" i="3" s="1"/>
  <c r="V281" i="3"/>
  <c r="W281" i="3" s="1"/>
  <c r="X281" i="3" s="1"/>
  <c r="V282" i="3"/>
  <c r="W282" i="3" s="1"/>
  <c r="X282" i="3" s="1"/>
  <c r="V283" i="3"/>
  <c r="W283" i="3" s="1"/>
  <c r="X283" i="3" s="1"/>
  <c r="V284" i="3"/>
  <c r="W284" i="3" s="1"/>
  <c r="X284" i="3" s="1"/>
  <c r="V285" i="3"/>
  <c r="W285" i="3" s="1"/>
  <c r="X285" i="3" s="1"/>
  <c r="V286" i="3"/>
  <c r="W286" i="3" s="1"/>
  <c r="X286" i="3" s="1"/>
  <c r="V287" i="3"/>
  <c r="W287" i="3" s="1"/>
  <c r="X287" i="3" s="1"/>
  <c r="V288" i="3"/>
  <c r="W288" i="3" s="1"/>
  <c r="X288" i="3" s="1"/>
  <c r="V289" i="3"/>
  <c r="W289" i="3" s="1"/>
  <c r="X289" i="3" s="1"/>
  <c r="V290" i="3"/>
  <c r="W290" i="3" s="1"/>
  <c r="X290" i="3" s="1"/>
  <c r="V291" i="3"/>
  <c r="W291" i="3" s="1"/>
  <c r="X291" i="3" s="1"/>
  <c r="V292" i="3"/>
  <c r="W292" i="3" s="1"/>
  <c r="X292" i="3" s="1"/>
  <c r="V293" i="3"/>
  <c r="W293" i="3" s="1"/>
  <c r="X293" i="3" s="1"/>
  <c r="V294" i="3"/>
  <c r="W294" i="3" s="1"/>
  <c r="X294" i="3" s="1"/>
  <c r="V295" i="3"/>
  <c r="W295" i="3" s="1"/>
  <c r="X295" i="3" s="1"/>
  <c r="V296" i="3"/>
  <c r="W296" i="3" s="1"/>
  <c r="X296" i="3" s="1"/>
  <c r="V297" i="3"/>
  <c r="W297" i="3" s="1"/>
  <c r="X297" i="3" s="1"/>
  <c r="V298" i="3"/>
  <c r="W298" i="3" s="1"/>
  <c r="X298" i="3" s="1"/>
  <c r="V299" i="3"/>
  <c r="W299" i="3" s="1"/>
  <c r="X299" i="3" s="1"/>
  <c r="V300" i="3"/>
  <c r="W300" i="3" s="1"/>
  <c r="X300" i="3" s="1"/>
  <c r="V301" i="3"/>
  <c r="W301" i="3" s="1"/>
  <c r="X301" i="3" s="1"/>
  <c r="V302" i="3"/>
  <c r="W302" i="3" s="1"/>
  <c r="X302" i="3" s="1"/>
  <c r="V303" i="3"/>
  <c r="W303" i="3" s="1"/>
  <c r="X303" i="3" s="1"/>
  <c r="V304" i="3"/>
  <c r="W304" i="3" s="1"/>
  <c r="X304" i="3" s="1"/>
  <c r="V305" i="3"/>
  <c r="W305" i="3" s="1"/>
  <c r="X305" i="3" s="1"/>
  <c r="V306" i="3"/>
  <c r="W306" i="3" s="1"/>
  <c r="X306" i="3" s="1"/>
  <c r="V307" i="3"/>
  <c r="W307" i="3" s="1"/>
  <c r="X307" i="3" s="1"/>
  <c r="V308" i="3"/>
  <c r="W308" i="3" s="1"/>
  <c r="X308" i="3" s="1"/>
  <c r="V309" i="3"/>
  <c r="W309" i="3" s="1"/>
  <c r="X309" i="3" s="1"/>
  <c r="V310" i="3"/>
  <c r="W310" i="3" s="1"/>
  <c r="X310" i="3" s="1"/>
  <c r="V311" i="3"/>
  <c r="W311" i="3" s="1"/>
  <c r="X311" i="3" s="1"/>
  <c r="V312" i="3"/>
  <c r="W312" i="3" s="1"/>
  <c r="X312" i="3" s="1"/>
  <c r="V313" i="3"/>
  <c r="W313" i="3" s="1"/>
  <c r="X313" i="3" s="1"/>
  <c r="V314" i="3"/>
  <c r="W314" i="3" s="1"/>
  <c r="X314" i="3" s="1"/>
  <c r="V315" i="3"/>
  <c r="W315" i="3" s="1"/>
  <c r="X315" i="3" s="1"/>
  <c r="V316" i="3"/>
  <c r="W316" i="3" s="1"/>
  <c r="X316" i="3" s="1"/>
  <c r="V317" i="3"/>
  <c r="W317" i="3" s="1"/>
  <c r="X317" i="3" s="1"/>
  <c r="V318" i="3"/>
  <c r="W318" i="3" s="1"/>
  <c r="X318" i="3" s="1"/>
  <c r="V319" i="3"/>
  <c r="W319" i="3" s="1"/>
  <c r="X319" i="3" s="1"/>
  <c r="V320" i="3"/>
  <c r="W320" i="3" s="1"/>
  <c r="X320" i="3" s="1"/>
  <c r="V321" i="3"/>
  <c r="W321" i="3" s="1"/>
  <c r="X321" i="3" s="1"/>
  <c r="V322" i="3"/>
  <c r="W322" i="3" s="1"/>
  <c r="X322" i="3" s="1"/>
  <c r="V323" i="3"/>
  <c r="W323" i="3" s="1"/>
  <c r="X323" i="3" s="1"/>
  <c r="V324" i="3"/>
  <c r="W324" i="3" s="1"/>
  <c r="X324" i="3" s="1"/>
  <c r="V325" i="3"/>
  <c r="W325" i="3" s="1"/>
  <c r="X325" i="3" s="1"/>
  <c r="V326" i="3"/>
  <c r="W326" i="3" s="1"/>
  <c r="X326" i="3" s="1"/>
  <c r="V327" i="3"/>
  <c r="W327" i="3" s="1"/>
  <c r="X327" i="3" s="1"/>
  <c r="V328" i="3"/>
  <c r="W328" i="3" s="1"/>
  <c r="X328" i="3" s="1"/>
  <c r="V329" i="3"/>
  <c r="W329" i="3" s="1"/>
  <c r="X329" i="3" s="1"/>
  <c r="V330" i="3"/>
  <c r="W330" i="3" s="1"/>
  <c r="X330" i="3" s="1"/>
  <c r="V331" i="3"/>
  <c r="W331" i="3" s="1"/>
  <c r="X331" i="3" s="1"/>
  <c r="V332" i="3"/>
  <c r="W332" i="3" s="1"/>
  <c r="X332" i="3" s="1"/>
  <c r="V333" i="3"/>
  <c r="W333" i="3" s="1"/>
  <c r="X333" i="3" s="1"/>
  <c r="V334" i="3"/>
  <c r="W334" i="3" s="1"/>
  <c r="X334" i="3" s="1"/>
  <c r="V335" i="3"/>
  <c r="W335" i="3" s="1"/>
  <c r="X335" i="3" s="1"/>
  <c r="V336" i="3"/>
  <c r="W336" i="3" s="1"/>
  <c r="X336" i="3" s="1"/>
  <c r="V337" i="3"/>
  <c r="W337" i="3" s="1"/>
  <c r="X337" i="3" s="1"/>
  <c r="V338" i="3"/>
  <c r="W338" i="3" s="1"/>
  <c r="X338" i="3" s="1"/>
  <c r="V339" i="3"/>
  <c r="W339" i="3" s="1"/>
  <c r="X339" i="3" s="1"/>
  <c r="V340" i="3"/>
  <c r="W340" i="3" s="1"/>
  <c r="X340" i="3" s="1"/>
  <c r="V341" i="3"/>
  <c r="W341" i="3" s="1"/>
  <c r="X341" i="3" s="1"/>
  <c r="V342" i="3"/>
  <c r="W342" i="3" s="1"/>
  <c r="X342" i="3" s="1"/>
  <c r="V343" i="3"/>
  <c r="W343" i="3" s="1"/>
  <c r="X343" i="3" s="1"/>
  <c r="V344" i="3"/>
  <c r="W344" i="3" s="1"/>
  <c r="X344" i="3" s="1"/>
  <c r="V345" i="3"/>
  <c r="W345" i="3" s="1"/>
  <c r="X345" i="3" s="1"/>
  <c r="V346" i="3"/>
  <c r="W346" i="3" s="1"/>
  <c r="X346" i="3" s="1"/>
  <c r="V347" i="3"/>
  <c r="W347" i="3" s="1"/>
  <c r="X347" i="3" s="1"/>
  <c r="V348" i="3"/>
  <c r="W348" i="3" s="1"/>
  <c r="X348" i="3" s="1"/>
  <c r="V349" i="3"/>
  <c r="W349" i="3" s="1"/>
  <c r="X349" i="3" s="1"/>
  <c r="V350" i="3"/>
  <c r="W350" i="3" s="1"/>
  <c r="X350" i="3" s="1"/>
  <c r="V351" i="3"/>
  <c r="W351" i="3" s="1"/>
  <c r="X351" i="3" s="1"/>
  <c r="V352" i="3"/>
  <c r="W352" i="3" s="1"/>
  <c r="X352" i="3" s="1"/>
  <c r="V353" i="3"/>
  <c r="W353" i="3" s="1"/>
  <c r="X353" i="3" s="1"/>
  <c r="V354" i="3"/>
  <c r="W354" i="3" s="1"/>
  <c r="X354" i="3" s="1"/>
  <c r="V355" i="3"/>
  <c r="W355" i="3" s="1"/>
  <c r="X355" i="3" s="1"/>
  <c r="V356" i="3"/>
  <c r="W356" i="3" s="1"/>
  <c r="X356" i="3" s="1"/>
  <c r="V357" i="3"/>
  <c r="W357" i="3" s="1"/>
  <c r="X357" i="3" s="1"/>
  <c r="V358" i="3"/>
  <c r="W358" i="3" s="1"/>
  <c r="X358" i="3" s="1"/>
  <c r="V359" i="3"/>
  <c r="W359" i="3" s="1"/>
  <c r="X359" i="3" s="1"/>
  <c r="V360" i="3"/>
  <c r="W360" i="3" s="1"/>
  <c r="X360" i="3" s="1"/>
  <c r="V361" i="3"/>
  <c r="W361" i="3" s="1"/>
  <c r="X361" i="3" s="1"/>
  <c r="V362" i="3"/>
  <c r="W362" i="3" s="1"/>
  <c r="X362" i="3" s="1"/>
  <c r="V363" i="3"/>
  <c r="W363" i="3" s="1"/>
  <c r="X363" i="3" s="1"/>
  <c r="V364" i="3"/>
  <c r="W364" i="3" s="1"/>
  <c r="X364" i="3" s="1"/>
  <c r="V365" i="3"/>
  <c r="W365" i="3" s="1"/>
  <c r="X365" i="3" s="1"/>
  <c r="V366" i="3"/>
  <c r="W366" i="3" s="1"/>
  <c r="X366" i="3" s="1"/>
  <c r="V367" i="3"/>
  <c r="W367" i="3" s="1"/>
  <c r="X367" i="3" s="1"/>
  <c r="V368" i="3"/>
  <c r="W368" i="3" s="1"/>
  <c r="X368" i="3" s="1"/>
  <c r="V369" i="3"/>
  <c r="W369" i="3" s="1"/>
  <c r="X369" i="3" s="1"/>
  <c r="V370" i="3"/>
  <c r="W370" i="3" s="1"/>
  <c r="X370" i="3" s="1"/>
  <c r="V371" i="3"/>
  <c r="W371" i="3" s="1"/>
  <c r="X371" i="3" s="1"/>
  <c r="V372" i="3"/>
  <c r="W372" i="3" s="1"/>
  <c r="X372" i="3" s="1"/>
  <c r="V373" i="3"/>
  <c r="W373" i="3" s="1"/>
  <c r="X373" i="3" s="1"/>
  <c r="V374" i="3"/>
  <c r="W374" i="3" s="1"/>
  <c r="X374" i="3" s="1"/>
  <c r="V375" i="3"/>
  <c r="W375" i="3" s="1"/>
  <c r="X375" i="3" s="1"/>
  <c r="V376" i="3"/>
  <c r="W376" i="3" s="1"/>
  <c r="X376" i="3" s="1"/>
  <c r="V377" i="3"/>
  <c r="W377" i="3" s="1"/>
  <c r="X377" i="3" s="1"/>
  <c r="V378" i="3"/>
  <c r="W378" i="3" s="1"/>
  <c r="X378" i="3" s="1"/>
  <c r="V379" i="3"/>
  <c r="W379" i="3" s="1"/>
  <c r="X379" i="3" s="1"/>
  <c r="V380" i="3"/>
  <c r="W380" i="3" s="1"/>
  <c r="X380" i="3" s="1"/>
  <c r="V381" i="3"/>
  <c r="W381" i="3" s="1"/>
  <c r="X381" i="3" s="1"/>
  <c r="V382" i="3"/>
  <c r="W382" i="3" s="1"/>
  <c r="X382" i="3" s="1"/>
  <c r="V383" i="3"/>
  <c r="W383" i="3" s="1"/>
  <c r="X383" i="3" s="1"/>
  <c r="V384" i="3"/>
  <c r="W384" i="3" s="1"/>
  <c r="X384" i="3" s="1"/>
  <c r="V385" i="3"/>
  <c r="W385" i="3" s="1"/>
  <c r="X385" i="3" s="1"/>
  <c r="V386" i="3"/>
  <c r="W386" i="3" s="1"/>
  <c r="X386" i="3" s="1"/>
  <c r="V387" i="3"/>
  <c r="W387" i="3" s="1"/>
  <c r="X387" i="3" s="1"/>
  <c r="V388" i="3"/>
  <c r="W388" i="3" s="1"/>
  <c r="X388" i="3" s="1"/>
  <c r="V389" i="3"/>
  <c r="W389" i="3" s="1"/>
  <c r="X389" i="3" s="1"/>
  <c r="V390" i="3"/>
  <c r="W390" i="3" s="1"/>
  <c r="X390" i="3" s="1"/>
  <c r="V391" i="3"/>
  <c r="W391" i="3" s="1"/>
  <c r="X391" i="3" s="1"/>
  <c r="V392" i="3"/>
  <c r="W392" i="3" s="1"/>
  <c r="X392" i="3" s="1"/>
  <c r="V393" i="3"/>
  <c r="W393" i="3" s="1"/>
  <c r="X393" i="3" s="1"/>
  <c r="V394" i="3"/>
  <c r="W394" i="3" s="1"/>
  <c r="X394" i="3" s="1"/>
  <c r="V395" i="3"/>
  <c r="W395" i="3" s="1"/>
  <c r="X395" i="3" s="1"/>
  <c r="V396" i="3"/>
  <c r="W396" i="3" s="1"/>
  <c r="X396" i="3" s="1"/>
  <c r="V397" i="3"/>
  <c r="W397" i="3" s="1"/>
  <c r="X397" i="3" s="1"/>
  <c r="V398" i="3"/>
  <c r="W398" i="3" s="1"/>
  <c r="X398" i="3" s="1"/>
  <c r="V399" i="3"/>
  <c r="W399" i="3" s="1"/>
  <c r="X399" i="3" s="1"/>
  <c r="V400" i="3"/>
  <c r="W400" i="3" s="1"/>
  <c r="X400" i="3" s="1"/>
  <c r="V401" i="3"/>
  <c r="W401" i="3" s="1"/>
  <c r="X401" i="3" s="1"/>
  <c r="V402" i="3"/>
  <c r="W402" i="3" s="1"/>
  <c r="X402" i="3" s="1"/>
  <c r="V403" i="3"/>
  <c r="W403" i="3" s="1"/>
  <c r="X403" i="3" s="1"/>
  <c r="V404" i="3"/>
  <c r="W404" i="3" s="1"/>
  <c r="X404" i="3" s="1"/>
  <c r="V405" i="3"/>
  <c r="W405" i="3" s="1"/>
  <c r="X405" i="3" s="1"/>
  <c r="V406" i="3"/>
  <c r="W406" i="3" s="1"/>
  <c r="X406" i="3" s="1"/>
  <c r="V407" i="3"/>
  <c r="W407" i="3" s="1"/>
  <c r="X407" i="3" s="1"/>
  <c r="V408" i="3"/>
  <c r="W408" i="3" s="1"/>
  <c r="X408" i="3" s="1"/>
  <c r="V409" i="3"/>
  <c r="W409" i="3" s="1"/>
  <c r="X409" i="3" s="1"/>
  <c r="V410" i="3"/>
  <c r="W410" i="3" s="1"/>
  <c r="X410" i="3" s="1"/>
  <c r="V411" i="3"/>
  <c r="W411" i="3" s="1"/>
  <c r="X411" i="3" s="1"/>
  <c r="V412" i="3"/>
  <c r="W412" i="3" s="1"/>
  <c r="X412" i="3" s="1"/>
  <c r="V413" i="3"/>
  <c r="W413" i="3" s="1"/>
  <c r="X413" i="3" s="1"/>
  <c r="V414" i="3"/>
  <c r="W414" i="3" s="1"/>
  <c r="X414" i="3" s="1"/>
  <c r="V415" i="3"/>
  <c r="W415" i="3" s="1"/>
  <c r="X415" i="3" s="1"/>
  <c r="V416" i="3"/>
  <c r="W416" i="3" s="1"/>
  <c r="X416" i="3" s="1"/>
  <c r="V417" i="3"/>
  <c r="W417" i="3" s="1"/>
  <c r="X417" i="3" s="1"/>
  <c r="V418" i="3"/>
  <c r="W418" i="3" s="1"/>
  <c r="X418" i="3" s="1"/>
  <c r="V419" i="3"/>
  <c r="W419" i="3" s="1"/>
  <c r="X419" i="3" s="1"/>
  <c r="V420" i="3"/>
  <c r="W420" i="3" s="1"/>
  <c r="X420" i="3" s="1"/>
  <c r="V421" i="3"/>
  <c r="W421" i="3" s="1"/>
  <c r="X421" i="3" s="1"/>
  <c r="V422" i="3"/>
  <c r="W422" i="3" s="1"/>
  <c r="X422" i="3" s="1"/>
  <c r="V423" i="3"/>
  <c r="W423" i="3" s="1"/>
  <c r="X423" i="3" s="1"/>
  <c r="V424" i="3"/>
  <c r="W424" i="3" s="1"/>
  <c r="X424" i="3" s="1"/>
  <c r="V425" i="3"/>
  <c r="W425" i="3" s="1"/>
  <c r="X425" i="3" s="1"/>
  <c r="V426" i="3"/>
  <c r="W426" i="3" s="1"/>
  <c r="X426" i="3" s="1"/>
  <c r="V427" i="3"/>
  <c r="W427" i="3" s="1"/>
  <c r="X427" i="3" s="1"/>
  <c r="V428" i="3"/>
  <c r="W428" i="3" s="1"/>
  <c r="X428" i="3" s="1"/>
  <c r="V429" i="3"/>
  <c r="W429" i="3" s="1"/>
  <c r="X429" i="3" s="1"/>
  <c r="V430" i="3"/>
  <c r="W430" i="3" s="1"/>
  <c r="X430" i="3" s="1"/>
  <c r="V431" i="3"/>
  <c r="W431" i="3" s="1"/>
  <c r="X431" i="3" s="1"/>
  <c r="V432" i="3"/>
  <c r="W432" i="3" s="1"/>
  <c r="X432" i="3" s="1"/>
  <c r="V433" i="3"/>
  <c r="W433" i="3" s="1"/>
  <c r="X433" i="3" s="1"/>
  <c r="V434" i="3"/>
  <c r="W434" i="3" s="1"/>
  <c r="X434" i="3" s="1"/>
  <c r="V435" i="3"/>
  <c r="W435" i="3" s="1"/>
  <c r="X435" i="3" s="1"/>
  <c r="V436" i="3"/>
  <c r="W436" i="3" s="1"/>
  <c r="X436" i="3" s="1"/>
  <c r="V437" i="3"/>
  <c r="W437" i="3" s="1"/>
  <c r="X437" i="3" s="1"/>
  <c r="V438" i="3"/>
  <c r="W438" i="3" s="1"/>
  <c r="X438" i="3" s="1"/>
  <c r="V439" i="3"/>
  <c r="W439" i="3" s="1"/>
  <c r="X439" i="3" s="1"/>
  <c r="V440" i="3"/>
  <c r="W440" i="3" s="1"/>
  <c r="X440" i="3" s="1"/>
  <c r="V441" i="3"/>
  <c r="W441" i="3" s="1"/>
  <c r="X441" i="3" s="1"/>
  <c r="V442" i="3"/>
  <c r="W442" i="3" s="1"/>
  <c r="X442" i="3" s="1"/>
  <c r="V443" i="3"/>
  <c r="W443" i="3" s="1"/>
  <c r="X443" i="3" s="1"/>
  <c r="V444" i="3"/>
  <c r="W444" i="3" s="1"/>
  <c r="X444" i="3" s="1"/>
  <c r="V445" i="3"/>
  <c r="W445" i="3" s="1"/>
  <c r="X445" i="3" s="1"/>
  <c r="V446" i="3"/>
  <c r="W446" i="3" s="1"/>
  <c r="X446" i="3" s="1"/>
  <c r="V447" i="3"/>
  <c r="W447" i="3" s="1"/>
  <c r="X447" i="3" s="1"/>
  <c r="V448" i="3"/>
  <c r="W448" i="3" s="1"/>
  <c r="X448" i="3" s="1"/>
  <c r="V449" i="3"/>
  <c r="W449" i="3" s="1"/>
  <c r="X449" i="3" s="1"/>
  <c r="V450" i="3"/>
  <c r="W450" i="3" s="1"/>
  <c r="X450" i="3" s="1"/>
  <c r="V451" i="3"/>
  <c r="W451" i="3" s="1"/>
  <c r="X451" i="3" s="1"/>
  <c r="V452" i="3"/>
  <c r="W452" i="3" s="1"/>
  <c r="X452" i="3" s="1"/>
  <c r="V453" i="3"/>
  <c r="W453" i="3" s="1"/>
  <c r="X453" i="3" s="1"/>
  <c r="V454" i="3"/>
  <c r="W454" i="3" s="1"/>
  <c r="X454" i="3" s="1"/>
  <c r="V455" i="3"/>
  <c r="W455" i="3" s="1"/>
  <c r="X455" i="3" s="1"/>
  <c r="V456" i="3"/>
  <c r="W456" i="3" s="1"/>
  <c r="X456" i="3" s="1"/>
  <c r="V457" i="3"/>
  <c r="W457" i="3" s="1"/>
  <c r="X457" i="3" s="1"/>
  <c r="V458" i="3"/>
  <c r="W458" i="3" s="1"/>
  <c r="X458" i="3" s="1"/>
  <c r="V459" i="3"/>
  <c r="W459" i="3" s="1"/>
  <c r="X459" i="3" s="1"/>
  <c r="V460" i="3"/>
  <c r="W460" i="3" s="1"/>
  <c r="X460" i="3" s="1"/>
  <c r="V461" i="3"/>
  <c r="W461" i="3" s="1"/>
  <c r="X461" i="3" s="1"/>
  <c r="V462" i="3"/>
  <c r="W462" i="3" s="1"/>
  <c r="X462" i="3" s="1"/>
  <c r="V463" i="3"/>
  <c r="W463" i="3" s="1"/>
  <c r="X463" i="3" s="1"/>
  <c r="V464" i="3"/>
  <c r="W464" i="3" s="1"/>
  <c r="X464" i="3" s="1"/>
  <c r="V465" i="3"/>
  <c r="W465" i="3" s="1"/>
  <c r="X465" i="3" s="1"/>
  <c r="V466" i="3"/>
  <c r="W466" i="3" s="1"/>
  <c r="X466" i="3" s="1"/>
  <c r="V467" i="3"/>
  <c r="W467" i="3" s="1"/>
  <c r="X467" i="3" s="1"/>
  <c r="V468" i="3"/>
  <c r="W468" i="3" s="1"/>
  <c r="X468" i="3" s="1"/>
  <c r="V469" i="3"/>
  <c r="W469" i="3" s="1"/>
  <c r="X469" i="3" s="1"/>
  <c r="V470" i="3"/>
  <c r="W470" i="3" s="1"/>
  <c r="X470" i="3" s="1"/>
  <c r="V471" i="3"/>
  <c r="W471" i="3" s="1"/>
  <c r="X471" i="3" s="1"/>
  <c r="V472" i="3"/>
  <c r="W472" i="3" s="1"/>
  <c r="X472" i="3" s="1"/>
  <c r="V473" i="3"/>
  <c r="W473" i="3" s="1"/>
  <c r="X473" i="3" s="1"/>
  <c r="V474" i="3"/>
  <c r="W474" i="3" s="1"/>
  <c r="X474" i="3" s="1"/>
  <c r="V475" i="3"/>
  <c r="W475" i="3" s="1"/>
  <c r="X475" i="3" s="1"/>
  <c r="V476" i="3"/>
  <c r="W476" i="3" s="1"/>
  <c r="X476" i="3" s="1"/>
  <c r="V477" i="3"/>
  <c r="W477" i="3" s="1"/>
  <c r="X477" i="3" s="1"/>
  <c r="V478" i="3"/>
  <c r="W478" i="3" s="1"/>
  <c r="X478" i="3" s="1"/>
  <c r="V479" i="3"/>
  <c r="W479" i="3" s="1"/>
  <c r="X479" i="3" s="1"/>
  <c r="V480" i="3"/>
  <c r="W480" i="3" s="1"/>
  <c r="X480" i="3" s="1"/>
  <c r="V481" i="3"/>
  <c r="W481" i="3" s="1"/>
  <c r="X481" i="3" s="1"/>
  <c r="V482" i="3"/>
  <c r="W482" i="3" s="1"/>
  <c r="X482" i="3" s="1"/>
  <c r="V483" i="3"/>
  <c r="W483" i="3" s="1"/>
  <c r="X483" i="3" s="1"/>
  <c r="V484" i="3"/>
  <c r="W484" i="3" s="1"/>
  <c r="X484" i="3" s="1"/>
  <c r="V485" i="3"/>
  <c r="W485" i="3" s="1"/>
  <c r="X485" i="3" s="1"/>
  <c r="V486" i="3"/>
  <c r="W486" i="3" s="1"/>
  <c r="X486" i="3" s="1"/>
  <c r="V487" i="3"/>
  <c r="W487" i="3" s="1"/>
  <c r="X487" i="3" s="1"/>
  <c r="V488" i="3"/>
  <c r="W488" i="3" s="1"/>
  <c r="X488" i="3" s="1"/>
  <c r="V489" i="3"/>
  <c r="W489" i="3" s="1"/>
  <c r="X489" i="3" s="1"/>
  <c r="V490" i="3"/>
  <c r="W490" i="3" s="1"/>
  <c r="X490" i="3" s="1"/>
  <c r="V491" i="3"/>
  <c r="W491" i="3" s="1"/>
  <c r="X491" i="3" s="1"/>
  <c r="V492" i="3"/>
  <c r="W492" i="3" s="1"/>
  <c r="X492" i="3" s="1"/>
  <c r="V493" i="3"/>
  <c r="W493" i="3" s="1"/>
  <c r="X493" i="3" s="1"/>
  <c r="V494" i="3"/>
  <c r="W494" i="3" s="1"/>
  <c r="X494" i="3" s="1"/>
  <c r="V495" i="3"/>
  <c r="W495" i="3" s="1"/>
  <c r="X495" i="3" s="1"/>
  <c r="V496" i="3"/>
  <c r="W496" i="3" s="1"/>
  <c r="X496" i="3" s="1"/>
  <c r="V497" i="3"/>
  <c r="W497" i="3" s="1"/>
  <c r="X497" i="3" s="1"/>
  <c r="V498" i="3"/>
  <c r="W498" i="3" s="1"/>
  <c r="X498" i="3" s="1"/>
  <c r="V499" i="3"/>
  <c r="W499" i="3" s="1"/>
  <c r="X499" i="3" s="1"/>
  <c r="V500" i="3"/>
  <c r="W500" i="3" s="1"/>
  <c r="X500" i="3" s="1"/>
  <c r="V501" i="3"/>
  <c r="W501" i="3" s="1"/>
  <c r="X501" i="3" s="1"/>
  <c r="V502" i="3"/>
  <c r="W502" i="3" s="1"/>
  <c r="X502" i="3" s="1"/>
  <c r="V503" i="3"/>
  <c r="W503" i="3" s="1"/>
  <c r="X503" i="3" s="1"/>
  <c r="V504" i="3"/>
  <c r="W504" i="3" s="1"/>
  <c r="X504" i="3" s="1"/>
  <c r="V505" i="3"/>
  <c r="W505" i="3" s="1"/>
  <c r="X505" i="3" s="1"/>
  <c r="V506" i="3"/>
  <c r="W506" i="3" s="1"/>
  <c r="X506" i="3" s="1"/>
  <c r="V507" i="3"/>
  <c r="W507" i="3" s="1"/>
  <c r="X507" i="3" s="1"/>
  <c r="V508" i="3"/>
  <c r="W508" i="3" s="1"/>
  <c r="X508" i="3" s="1"/>
  <c r="V509" i="3"/>
  <c r="W509" i="3" s="1"/>
  <c r="X509" i="3" s="1"/>
  <c r="V510" i="3"/>
  <c r="W510" i="3" s="1"/>
  <c r="X510" i="3" s="1"/>
  <c r="V511" i="3"/>
  <c r="W511" i="3" s="1"/>
  <c r="X511" i="3" s="1"/>
  <c r="V512" i="3"/>
  <c r="W512" i="3" s="1"/>
  <c r="X512" i="3" s="1"/>
  <c r="V513" i="3"/>
  <c r="W513" i="3" s="1"/>
  <c r="X513" i="3" s="1"/>
  <c r="V514" i="3"/>
  <c r="W514" i="3" s="1"/>
  <c r="X514" i="3" s="1"/>
  <c r="V515" i="3"/>
  <c r="W515" i="3" s="1"/>
  <c r="X515" i="3" s="1"/>
  <c r="V516" i="3"/>
  <c r="W516" i="3" s="1"/>
  <c r="X516" i="3" s="1"/>
  <c r="V517" i="3"/>
  <c r="W517" i="3" s="1"/>
  <c r="X517" i="3" s="1"/>
  <c r="V518" i="3"/>
  <c r="W518" i="3" s="1"/>
  <c r="X518" i="3" s="1"/>
  <c r="V519" i="3"/>
  <c r="W519" i="3" s="1"/>
  <c r="X519" i="3" s="1"/>
  <c r="V520" i="3"/>
  <c r="W520" i="3" s="1"/>
  <c r="X520" i="3" s="1"/>
  <c r="V521" i="3"/>
  <c r="W521" i="3" s="1"/>
  <c r="X521" i="3" s="1"/>
  <c r="V522" i="3"/>
  <c r="W522" i="3" s="1"/>
  <c r="X522" i="3" s="1"/>
  <c r="V523" i="3"/>
  <c r="W523" i="3" s="1"/>
  <c r="X523" i="3" s="1"/>
  <c r="V524" i="3"/>
  <c r="W524" i="3" s="1"/>
  <c r="X524" i="3" s="1"/>
  <c r="V525" i="3"/>
  <c r="W525" i="3" s="1"/>
  <c r="X525" i="3" s="1"/>
  <c r="V526" i="3"/>
  <c r="W526" i="3" s="1"/>
  <c r="X526" i="3" s="1"/>
  <c r="V527" i="3"/>
  <c r="W527" i="3" s="1"/>
  <c r="X527" i="3" s="1"/>
  <c r="V528" i="3"/>
  <c r="W528" i="3" s="1"/>
  <c r="X528" i="3" s="1"/>
  <c r="V529" i="3"/>
  <c r="W529" i="3" s="1"/>
  <c r="X529" i="3" s="1"/>
  <c r="V530" i="3"/>
  <c r="W530" i="3" s="1"/>
  <c r="X530" i="3" s="1"/>
  <c r="V531" i="3"/>
  <c r="W531" i="3" s="1"/>
  <c r="X531" i="3" s="1"/>
  <c r="V532" i="3"/>
  <c r="W532" i="3" s="1"/>
  <c r="X532" i="3" s="1"/>
  <c r="V533" i="3"/>
  <c r="W533" i="3" s="1"/>
  <c r="X533" i="3" s="1"/>
  <c r="V534" i="3"/>
  <c r="W534" i="3" s="1"/>
  <c r="X534" i="3" s="1"/>
  <c r="V535" i="3"/>
  <c r="W535" i="3" s="1"/>
  <c r="X535" i="3" s="1"/>
  <c r="V536" i="3"/>
  <c r="W536" i="3" s="1"/>
  <c r="X536" i="3" s="1"/>
  <c r="V537" i="3"/>
  <c r="W537" i="3" s="1"/>
  <c r="X537" i="3" s="1"/>
  <c r="V538" i="3"/>
  <c r="W538" i="3" s="1"/>
  <c r="X538" i="3" s="1"/>
  <c r="V539" i="3"/>
  <c r="W539" i="3" s="1"/>
  <c r="X539" i="3" s="1"/>
  <c r="V540" i="3"/>
  <c r="W540" i="3" s="1"/>
  <c r="X540" i="3" s="1"/>
  <c r="V541" i="3"/>
  <c r="W541" i="3" s="1"/>
  <c r="X541" i="3" s="1"/>
  <c r="V542" i="3"/>
  <c r="W542" i="3" s="1"/>
  <c r="X542" i="3" s="1"/>
  <c r="V543" i="3"/>
  <c r="W543" i="3" s="1"/>
  <c r="X543" i="3" s="1"/>
  <c r="V544" i="3"/>
  <c r="W544" i="3" s="1"/>
  <c r="X544" i="3" s="1"/>
  <c r="V545" i="3"/>
  <c r="W545" i="3" s="1"/>
  <c r="X545" i="3" s="1"/>
  <c r="V546" i="3"/>
  <c r="W546" i="3" s="1"/>
  <c r="X546" i="3" s="1"/>
  <c r="V547" i="3"/>
  <c r="W547" i="3" s="1"/>
  <c r="X547" i="3" s="1"/>
  <c r="V548" i="3"/>
  <c r="W548" i="3" s="1"/>
  <c r="X548" i="3" s="1"/>
  <c r="V549" i="3"/>
  <c r="W549" i="3" s="1"/>
  <c r="X549" i="3" s="1"/>
  <c r="V550" i="3"/>
  <c r="W550" i="3" s="1"/>
  <c r="X550" i="3" s="1"/>
  <c r="V551" i="3"/>
  <c r="W551" i="3" s="1"/>
  <c r="X551" i="3" s="1"/>
  <c r="V552" i="3"/>
  <c r="W552" i="3" s="1"/>
  <c r="X552" i="3" s="1"/>
  <c r="V553" i="3"/>
  <c r="W553" i="3" s="1"/>
  <c r="X553" i="3" s="1"/>
  <c r="V554" i="3"/>
  <c r="W554" i="3" s="1"/>
  <c r="X554" i="3" s="1"/>
  <c r="V555" i="3"/>
  <c r="W555" i="3" s="1"/>
  <c r="X555" i="3" s="1"/>
  <c r="V556" i="3"/>
  <c r="W556" i="3" s="1"/>
  <c r="X556" i="3" s="1"/>
  <c r="V557" i="3"/>
  <c r="W557" i="3" s="1"/>
  <c r="X557" i="3" s="1"/>
  <c r="V558" i="3"/>
  <c r="W558" i="3" s="1"/>
  <c r="X558" i="3" s="1"/>
  <c r="V559" i="3"/>
  <c r="W559" i="3" s="1"/>
  <c r="X559" i="3" s="1"/>
  <c r="V560" i="3"/>
  <c r="W560" i="3" s="1"/>
  <c r="X560" i="3" s="1"/>
  <c r="V561" i="3"/>
  <c r="W561" i="3" s="1"/>
  <c r="X561" i="3" s="1"/>
  <c r="V562" i="3"/>
  <c r="W562" i="3" s="1"/>
  <c r="X562" i="3" s="1"/>
  <c r="V563" i="3"/>
  <c r="W563" i="3" s="1"/>
  <c r="X563" i="3" s="1"/>
  <c r="V564" i="3"/>
  <c r="W564" i="3" s="1"/>
  <c r="X564" i="3" s="1"/>
  <c r="V565" i="3"/>
  <c r="W565" i="3" s="1"/>
  <c r="X565" i="3" s="1"/>
  <c r="V566" i="3"/>
  <c r="W566" i="3" s="1"/>
  <c r="X566" i="3" s="1"/>
  <c r="V567" i="3"/>
  <c r="W567" i="3" s="1"/>
  <c r="X567" i="3" s="1"/>
  <c r="V568" i="3"/>
  <c r="W568" i="3" s="1"/>
  <c r="X568" i="3" s="1"/>
  <c r="V569" i="3"/>
  <c r="W569" i="3" s="1"/>
  <c r="X569" i="3" s="1"/>
  <c r="V570" i="3"/>
  <c r="W570" i="3" s="1"/>
  <c r="X570" i="3" s="1"/>
  <c r="V571" i="3"/>
  <c r="W571" i="3" s="1"/>
  <c r="X571" i="3" s="1"/>
  <c r="V572" i="3"/>
  <c r="W572" i="3" s="1"/>
  <c r="X572" i="3" s="1"/>
  <c r="V573" i="3"/>
  <c r="W573" i="3" s="1"/>
  <c r="X573" i="3" s="1"/>
  <c r="V574" i="3"/>
  <c r="W574" i="3" s="1"/>
  <c r="X574" i="3" s="1"/>
  <c r="V575" i="3"/>
  <c r="W575" i="3" s="1"/>
  <c r="X575" i="3" s="1"/>
  <c r="V576" i="3"/>
  <c r="W576" i="3" s="1"/>
  <c r="X576" i="3" s="1"/>
  <c r="V577" i="3"/>
  <c r="W577" i="3" s="1"/>
  <c r="X577" i="3" s="1"/>
  <c r="V578" i="3"/>
  <c r="W578" i="3" s="1"/>
  <c r="X578" i="3" s="1"/>
  <c r="V579" i="3"/>
  <c r="W579" i="3" s="1"/>
  <c r="X579" i="3" s="1"/>
  <c r="V580" i="3"/>
  <c r="W580" i="3" s="1"/>
  <c r="X580" i="3" s="1"/>
  <c r="V581" i="3"/>
  <c r="W581" i="3" s="1"/>
  <c r="X581" i="3" s="1"/>
  <c r="V582" i="3"/>
  <c r="W582" i="3" s="1"/>
  <c r="X582" i="3" s="1"/>
  <c r="V583" i="3"/>
  <c r="W583" i="3" s="1"/>
  <c r="X583" i="3" s="1"/>
  <c r="V584" i="3"/>
  <c r="W584" i="3" s="1"/>
  <c r="X584" i="3" s="1"/>
  <c r="V585" i="3"/>
  <c r="W585" i="3" s="1"/>
  <c r="X585" i="3" s="1"/>
  <c r="V586" i="3"/>
  <c r="W586" i="3" s="1"/>
  <c r="X586" i="3" s="1"/>
  <c r="V587" i="3"/>
  <c r="W587" i="3" s="1"/>
  <c r="X587" i="3" s="1"/>
  <c r="V588" i="3"/>
  <c r="W588" i="3" s="1"/>
  <c r="X588" i="3" s="1"/>
  <c r="V589" i="3"/>
  <c r="W589" i="3" s="1"/>
  <c r="X589" i="3" s="1"/>
  <c r="V590" i="3"/>
  <c r="W590" i="3" s="1"/>
  <c r="X590" i="3" s="1"/>
  <c r="V591" i="3"/>
  <c r="W591" i="3" s="1"/>
  <c r="X591" i="3" s="1"/>
  <c r="V592" i="3"/>
  <c r="W592" i="3" s="1"/>
  <c r="X592" i="3" s="1"/>
  <c r="V593" i="3"/>
  <c r="W593" i="3" s="1"/>
  <c r="X593" i="3" s="1"/>
  <c r="V594" i="3"/>
  <c r="W594" i="3" s="1"/>
  <c r="X594" i="3" s="1"/>
  <c r="V595" i="3"/>
  <c r="W595" i="3" s="1"/>
  <c r="X595" i="3" s="1"/>
  <c r="V596" i="3"/>
  <c r="W596" i="3" s="1"/>
  <c r="X596" i="3" s="1"/>
  <c r="V597" i="3"/>
  <c r="W597" i="3" s="1"/>
  <c r="X597" i="3" s="1"/>
  <c r="V598" i="3"/>
  <c r="W598" i="3" s="1"/>
  <c r="X598" i="3" s="1"/>
  <c r="V599" i="3"/>
  <c r="W599" i="3" s="1"/>
  <c r="X599" i="3" s="1"/>
  <c r="V600" i="3"/>
  <c r="W600" i="3" s="1"/>
  <c r="X600" i="3" s="1"/>
  <c r="V601" i="3"/>
  <c r="W601" i="3" s="1"/>
  <c r="X601" i="3" s="1"/>
  <c r="V602" i="3"/>
  <c r="W602" i="3" s="1"/>
  <c r="X602" i="3" s="1"/>
  <c r="V603" i="3"/>
  <c r="W603" i="3" s="1"/>
  <c r="X603" i="3" s="1"/>
  <c r="V604" i="3"/>
  <c r="W604" i="3" s="1"/>
  <c r="X604" i="3" s="1"/>
  <c r="V605" i="3"/>
  <c r="W605" i="3" s="1"/>
  <c r="X605" i="3" s="1"/>
  <c r="V606" i="3"/>
  <c r="W606" i="3" s="1"/>
  <c r="X606" i="3" s="1"/>
  <c r="V607" i="3"/>
  <c r="W607" i="3" s="1"/>
  <c r="X607" i="3" s="1"/>
  <c r="V608" i="3"/>
  <c r="W608" i="3" s="1"/>
  <c r="X608" i="3" s="1"/>
  <c r="V609" i="3"/>
  <c r="W609" i="3" s="1"/>
  <c r="X609" i="3" s="1"/>
  <c r="V610" i="3"/>
  <c r="W610" i="3" s="1"/>
  <c r="X610" i="3" s="1"/>
  <c r="V611" i="3"/>
  <c r="W611" i="3" s="1"/>
  <c r="X611" i="3" s="1"/>
  <c r="V612" i="3"/>
  <c r="W612" i="3" s="1"/>
  <c r="X612" i="3" s="1"/>
  <c r="V613" i="3"/>
  <c r="W613" i="3" s="1"/>
  <c r="X613" i="3" s="1"/>
  <c r="V614" i="3"/>
  <c r="W614" i="3" s="1"/>
  <c r="X614" i="3" s="1"/>
  <c r="V615" i="3"/>
  <c r="W615" i="3" s="1"/>
  <c r="X615" i="3" s="1"/>
  <c r="V616" i="3"/>
  <c r="W616" i="3" s="1"/>
  <c r="X616" i="3" s="1"/>
  <c r="V617" i="3"/>
  <c r="W617" i="3" s="1"/>
  <c r="X617" i="3" s="1"/>
  <c r="V618" i="3"/>
  <c r="W618" i="3" s="1"/>
  <c r="X618" i="3" s="1"/>
  <c r="V619" i="3"/>
  <c r="W619" i="3" s="1"/>
  <c r="X619" i="3" s="1"/>
  <c r="V620" i="3"/>
  <c r="W620" i="3" s="1"/>
  <c r="X620" i="3" s="1"/>
  <c r="V621" i="3"/>
  <c r="W621" i="3" s="1"/>
  <c r="X621" i="3" s="1"/>
  <c r="V622" i="3"/>
  <c r="W622" i="3" s="1"/>
  <c r="X622" i="3" s="1"/>
  <c r="V623" i="3"/>
  <c r="W623" i="3" s="1"/>
  <c r="X623" i="3" s="1"/>
  <c r="V624" i="3"/>
  <c r="W624" i="3" s="1"/>
  <c r="X624" i="3" s="1"/>
  <c r="V625" i="3"/>
  <c r="W625" i="3" s="1"/>
  <c r="X625" i="3" s="1"/>
  <c r="V626" i="3"/>
  <c r="W626" i="3" s="1"/>
  <c r="X626" i="3" s="1"/>
  <c r="V627" i="3"/>
  <c r="W627" i="3" s="1"/>
  <c r="X627" i="3" s="1"/>
  <c r="V628" i="3"/>
  <c r="W628" i="3" s="1"/>
  <c r="X628" i="3" s="1"/>
  <c r="V629" i="3"/>
  <c r="W629" i="3" s="1"/>
  <c r="X629" i="3" s="1"/>
  <c r="V630" i="3"/>
  <c r="W630" i="3" s="1"/>
  <c r="X630" i="3" s="1"/>
  <c r="V631" i="3"/>
  <c r="W631" i="3" s="1"/>
  <c r="X631" i="3" s="1"/>
  <c r="V632" i="3"/>
  <c r="W632" i="3" s="1"/>
  <c r="X632" i="3" s="1"/>
  <c r="V633" i="3"/>
  <c r="W633" i="3" s="1"/>
  <c r="X633" i="3" s="1"/>
  <c r="V634" i="3"/>
  <c r="W634" i="3" s="1"/>
  <c r="X634" i="3" s="1"/>
  <c r="V635" i="3"/>
  <c r="W635" i="3" s="1"/>
  <c r="X635" i="3" s="1"/>
  <c r="V636" i="3"/>
  <c r="W636" i="3" s="1"/>
  <c r="X636" i="3" s="1"/>
  <c r="V637" i="3"/>
  <c r="W637" i="3" s="1"/>
  <c r="X637" i="3" s="1"/>
  <c r="V638" i="3"/>
  <c r="W638" i="3" s="1"/>
  <c r="X638" i="3" s="1"/>
  <c r="V639" i="3"/>
  <c r="W639" i="3" s="1"/>
  <c r="X639" i="3" s="1"/>
  <c r="V640" i="3"/>
  <c r="W640" i="3" s="1"/>
  <c r="X640" i="3" s="1"/>
  <c r="V641" i="3"/>
  <c r="W641" i="3" s="1"/>
  <c r="X641" i="3" s="1"/>
  <c r="V642" i="3"/>
  <c r="W642" i="3" s="1"/>
  <c r="X642" i="3" s="1"/>
  <c r="V643" i="3"/>
  <c r="W643" i="3" s="1"/>
  <c r="X643" i="3" s="1"/>
  <c r="V644" i="3"/>
  <c r="W644" i="3" s="1"/>
  <c r="X644" i="3" s="1"/>
  <c r="V645" i="3"/>
  <c r="W645" i="3" s="1"/>
  <c r="X645" i="3" s="1"/>
  <c r="V646" i="3"/>
  <c r="W646" i="3" s="1"/>
  <c r="X646" i="3" s="1"/>
  <c r="V647" i="3"/>
  <c r="W647" i="3" s="1"/>
  <c r="X647" i="3" s="1"/>
  <c r="V648" i="3"/>
  <c r="W648" i="3" s="1"/>
  <c r="X648" i="3" s="1"/>
  <c r="V649" i="3"/>
  <c r="W649" i="3" s="1"/>
  <c r="X649" i="3" s="1"/>
  <c r="V650" i="3"/>
  <c r="W650" i="3" s="1"/>
  <c r="X650" i="3" s="1"/>
  <c r="V651" i="3"/>
  <c r="W651" i="3" s="1"/>
  <c r="X651" i="3" s="1"/>
  <c r="V652" i="3"/>
  <c r="W652" i="3" s="1"/>
  <c r="X652" i="3" s="1"/>
  <c r="V653" i="3"/>
  <c r="W653" i="3" s="1"/>
  <c r="X653" i="3" s="1"/>
  <c r="V654" i="3"/>
  <c r="W654" i="3" s="1"/>
  <c r="X654" i="3" s="1"/>
  <c r="V655" i="3"/>
  <c r="W655" i="3" s="1"/>
  <c r="X655" i="3" s="1"/>
  <c r="V656" i="3"/>
  <c r="W656" i="3" s="1"/>
  <c r="X656" i="3" s="1"/>
  <c r="V657" i="3"/>
  <c r="W657" i="3" s="1"/>
  <c r="X657" i="3" s="1"/>
  <c r="V658" i="3"/>
  <c r="W658" i="3" s="1"/>
  <c r="X658" i="3" s="1"/>
  <c r="V659" i="3"/>
  <c r="W659" i="3" s="1"/>
  <c r="X659" i="3" s="1"/>
  <c r="V660" i="3"/>
  <c r="W660" i="3" s="1"/>
  <c r="X660" i="3" s="1"/>
  <c r="V661" i="3"/>
  <c r="W661" i="3" s="1"/>
  <c r="X661" i="3" s="1"/>
  <c r="V662" i="3"/>
  <c r="W662" i="3" s="1"/>
  <c r="X662" i="3" s="1"/>
  <c r="V663" i="3"/>
  <c r="W663" i="3" s="1"/>
  <c r="X663" i="3" s="1"/>
  <c r="V664" i="3"/>
  <c r="W664" i="3" s="1"/>
  <c r="X664" i="3" s="1"/>
  <c r="V665" i="3"/>
  <c r="W665" i="3" s="1"/>
  <c r="X665" i="3" s="1"/>
  <c r="V666" i="3"/>
  <c r="W666" i="3" s="1"/>
  <c r="X666" i="3" s="1"/>
  <c r="V667" i="3"/>
  <c r="W667" i="3" s="1"/>
  <c r="X667" i="3" s="1"/>
  <c r="V668" i="3"/>
  <c r="W668" i="3" s="1"/>
  <c r="X668" i="3" s="1"/>
  <c r="V669" i="3"/>
  <c r="W669" i="3" s="1"/>
  <c r="X669" i="3" s="1"/>
  <c r="V670" i="3"/>
  <c r="W670" i="3" s="1"/>
  <c r="X670" i="3" s="1"/>
  <c r="V671" i="3"/>
  <c r="W671" i="3" s="1"/>
  <c r="X671" i="3" s="1"/>
  <c r="V672" i="3"/>
  <c r="W672" i="3" s="1"/>
  <c r="X672" i="3" s="1"/>
  <c r="V673" i="3"/>
  <c r="W673" i="3" s="1"/>
  <c r="X673" i="3" s="1"/>
  <c r="V674" i="3"/>
  <c r="W674" i="3" s="1"/>
  <c r="X674" i="3" s="1"/>
  <c r="V675" i="3"/>
  <c r="W675" i="3" s="1"/>
  <c r="X675" i="3" s="1"/>
  <c r="V676" i="3"/>
  <c r="W676" i="3" s="1"/>
  <c r="X676" i="3" s="1"/>
  <c r="V677" i="3"/>
  <c r="W677" i="3" s="1"/>
  <c r="X677" i="3" s="1"/>
  <c r="V678" i="3"/>
  <c r="W678" i="3" s="1"/>
  <c r="X678" i="3" s="1"/>
  <c r="V679" i="3"/>
  <c r="W679" i="3" s="1"/>
  <c r="X679" i="3" s="1"/>
  <c r="V680" i="3"/>
  <c r="W680" i="3" s="1"/>
  <c r="X680" i="3" s="1"/>
  <c r="V681" i="3"/>
  <c r="W681" i="3" s="1"/>
  <c r="X681" i="3" s="1"/>
  <c r="V682" i="3"/>
  <c r="W682" i="3" s="1"/>
  <c r="X682" i="3" s="1"/>
  <c r="V683" i="3"/>
  <c r="W683" i="3" s="1"/>
  <c r="X683" i="3" s="1"/>
  <c r="V684" i="3"/>
  <c r="W684" i="3" s="1"/>
  <c r="X684" i="3" s="1"/>
  <c r="V685" i="3"/>
  <c r="W685" i="3" s="1"/>
  <c r="X685" i="3" s="1"/>
  <c r="V686" i="3"/>
  <c r="W686" i="3" s="1"/>
  <c r="X686" i="3" s="1"/>
  <c r="V687" i="3"/>
  <c r="W687" i="3" s="1"/>
  <c r="X687" i="3" s="1"/>
  <c r="V688" i="3"/>
  <c r="W688" i="3" s="1"/>
  <c r="X688" i="3" s="1"/>
  <c r="V689" i="3"/>
  <c r="W689" i="3" s="1"/>
  <c r="X689" i="3" s="1"/>
  <c r="V690" i="3"/>
  <c r="W690" i="3" s="1"/>
  <c r="X690" i="3" s="1"/>
  <c r="V691" i="3"/>
  <c r="W691" i="3" s="1"/>
  <c r="X691" i="3" s="1"/>
  <c r="V692" i="3"/>
  <c r="W692" i="3" s="1"/>
  <c r="X692" i="3" s="1"/>
  <c r="V693" i="3"/>
  <c r="W693" i="3" s="1"/>
  <c r="X693" i="3" s="1"/>
  <c r="V694" i="3"/>
  <c r="W694" i="3" s="1"/>
  <c r="X694" i="3" s="1"/>
  <c r="V695" i="3"/>
  <c r="W695" i="3" s="1"/>
  <c r="X695" i="3" s="1"/>
  <c r="V696" i="3"/>
  <c r="W696" i="3" s="1"/>
  <c r="X696" i="3" s="1"/>
  <c r="V697" i="3"/>
  <c r="W697" i="3" s="1"/>
  <c r="X697" i="3" s="1"/>
  <c r="V698" i="3"/>
  <c r="W698" i="3" s="1"/>
  <c r="X698" i="3" s="1"/>
  <c r="V699" i="3"/>
  <c r="W699" i="3" s="1"/>
  <c r="X699" i="3" s="1"/>
  <c r="V700" i="3"/>
  <c r="W700" i="3" s="1"/>
  <c r="X700" i="3" s="1"/>
  <c r="V701" i="3"/>
  <c r="W701" i="3" s="1"/>
  <c r="X701" i="3" s="1"/>
  <c r="V702" i="3"/>
  <c r="W702" i="3" s="1"/>
  <c r="X702" i="3" s="1"/>
  <c r="V703" i="3"/>
  <c r="W703" i="3" s="1"/>
  <c r="X703" i="3" s="1"/>
  <c r="V704" i="3"/>
  <c r="W704" i="3" s="1"/>
  <c r="X704" i="3" s="1"/>
  <c r="V705" i="3"/>
  <c r="W705" i="3" s="1"/>
  <c r="X705" i="3" s="1"/>
  <c r="V706" i="3"/>
  <c r="W706" i="3" s="1"/>
  <c r="X706" i="3" s="1"/>
  <c r="V707" i="3"/>
  <c r="W707" i="3" s="1"/>
  <c r="X707" i="3" s="1"/>
  <c r="V708" i="3"/>
  <c r="W708" i="3" s="1"/>
  <c r="X708" i="3" s="1"/>
  <c r="V709" i="3"/>
  <c r="W709" i="3" s="1"/>
  <c r="X709" i="3" s="1"/>
  <c r="V710" i="3"/>
  <c r="W710" i="3" s="1"/>
  <c r="X710" i="3" s="1"/>
  <c r="V711" i="3"/>
  <c r="W711" i="3" s="1"/>
  <c r="X711" i="3" s="1"/>
  <c r="V712" i="3"/>
  <c r="W712" i="3" s="1"/>
  <c r="X712" i="3" s="1"/>
  <c r="V713" i="3"/>
  <c r="W713" i="3" s="1"/>
  <c r="X713" i="3" s="1"/>
  <c r="V714" i="3"/>
  <c r="W714" i="3" s="1"/>
  <c r="X714" i="3" s="1"/>
  <c r="V715" i="3"/>
  <c r="W715" i="3" s="1"/>
  <c r="X715" i="3" s="1"/>
  <c r="V716" i="3"/>
  <c r="W716" i="3" s="1"/>
  <c r="X716" i="3" s="1"/>
  <c r="V717" i="3"/>
  <c r="W717" i="3" s="1"/>
  <c r="X717" i="3" s="1"/>
  <c r="V718" i="3"/>
  <c r="W718" i="3" s="1"/>
  <c r="X718" i="3" s="1"/>
  <c r="V719" i="3"/>
  <c r="W719" i="3" s="1"/>
  <c r="X719" i="3" s="1"/>
  <c r="V720" i="3"/>
  <c r="W720" i="3" s="1"/>
  <c r="X720" i="3" s="1"/>
  <c r="V721" i="3"/>
  <c r="W721" i="3" s="1"/>
  <c r="X721" i="3" s="1"/>
  <c r="V722" i="3"/>
  <c r="W722" i="3" s="1"/>
  <c r="X722" i="3" s="1"/>
  <c r="V723" i="3"/>
  <c r="W723" i="3" s="1"/>
  <c r="X723" i="3" s="1"/>
  <c r="V724" i="3"/>
  <c r="W724" i="3" s="1"/>
  <c r="X724" i="3" s="1"/>
  <c r="V725" i="3"/>
  <c r="W725" i="3" s="1"/>
  <c r="X725" i="3" s="1"/>
  <c r="V726" i="3"/>
  <c r="W726" i="3" s="1"/>
  <c r="X726" i="3" s="1"/>
  <c r="V727" i="3"/>
  <c r="W727" i="3" s="1"/>
  <c r="X727" i="3" s="1"/>
  <c r="V728" i="3"/>
  <c r="W728" i="3" s="1"/>
  <c r="X728" i="3" s="1"/>
  <c r="V729" i="3"/>
  <c r="W729" i="3" s="1"/>
  <c r="X729" i="3" s="1"/>
  <c r="V730" i="3"/>
  <c r="W730" i="3" s="1"/>
  <c r="X730" i="3" s="1"/>
  <c r="V731" i="3"/>
  <c r="W731" i="3" s="1"/>
  <c r="X731" i="3" s="1"/>
  <c r="V732" i="3"/>
  <c r="W732" i="3" s="1"/>
  <c r="X732" i="3" s="1"/>
  <c r="V733" i="3"/>
  <c r="W733" i="3" s="1"/>
  <c r="X733" i="3" s="1"/>
  <c r="V734" i="3"/>
  <c r="W734" i="3" s="1"/>
  <c r="X734" i="3" s="1"/>
  <c r="V735" i="3"/>
  <c r="W735" i="3" s="1"/>
  <c r="X735" i="3" s="1"/>
  <c r="V736" i="3"/>
  <c r="W736" i="3" s="1"/>
  <c r="X736" i="3" s="1"/>
  <c r="V737" i="3"/>
  <c r="W737" i="3" s="1"/>
  <c r="X737" i="3" s="1"/>
  <c r="V738" i="3"/>
  <c r="W738" i="3" s="1"/>
  <c r="X738" i="3" s="1"/>
  <c r="V739" i="3"/>
  <c r="W739" i="3" s="1"/>
  <c r="X739" i="3" s="1"/>
  <c r="V740" i="3"/>
  <c r="W740" i="3" s="1"/>
  <c r="X740" i="3" s="1"/>
  <c r="V741" i="3"/>
  <c r="W741" i="3" s="1"/>
  <c r="X741" i="3" s="1"/>
  <c r="V742" i="3"/>
  <c r="W742" i="3" s="1"/>
  <c r="X742" i="3" s="1"/>
  <c r="V743" i="3"/>
  <c r="W743" i="3" s="1"/>
  <c r="X743" i="3" s="1"/>
  <c r="V744" i="3"/>
  <c r="W744" i="3" s="1"/>
  <c r="X744" i="3" s="1"/>
  <c r="V745" i="3"/>
  <c r="W745" i="3" s="1"/>
  <c r="X745" i="3" s="1"/>
  <c r="V746" i="3"/>
  <c r="W746" i="3" s="1"/>
  <c r="X746" i="3" s="1"/>
  <c r="V747" i="3"/>
  <c r="W747" i="3" s="1"/>
  <c r="X747" i="3" s="1"/>
  <c r="V748" i="3"/>
  <c r="W748" i="3" s="1"/>
  <c r="X748" i="3" s="1"/>
  <c r="V749" i="3"/>
  <c r="W749" i="3" s="1"/>
  <c r="X749" i="3" s="1"/>
  <c r="V750" i="3"/>
  <c r="W750" i="3" s="1"/>
  <c r="X750" i="3" s="1"/>
  <c r="V751" i="3"/>
  <c r="W751" i="3" s="1"/>
  <c r="X751" i="3" s="1"/>
  <c r="V752" i="3"/>
  <c r="W752" i="3" s="1"/>
  <c r="X752" i="3" s="1"/>
  <c r="V753" i="3"/>
  <c r="W753" i="3" s="1"/>
  <c r="X753" i="3" s="1"/>
  <c r="V754" i="3"/>
  <c r="W754" i="3" s="1"/>
  <c r="X754" i="3" s="1"/>
  <c r="V755" i="3"/>
  <c r="W755" i="3" s="1"/>
  <c r="X755" i="3" s="1"/>
  <c r="V756" i="3"/>
  <c r="W756" i="3" s="1"/>
  <c r="X756" i="3" s="1"/>
  <c r="V757" i="3"/>
  <c r="W757" i="3" s="1"/>
  <c r="X757" i="3" s="1"/>
  <c r="V758" i="3"/>
  <c r="W758" i="3" s="1"/>
  <c r="X758" i="3" s="1"/>
  <c r="V759" i="3"/>
  <c r="W759" i="3" s="1"/>
  <c r="X759" i="3" s="1"/>
  <c r="V760" i="3"/>
  <c r="W760" i="3" s="1"/>
  <c r="X760" i="3" s="1"/>
  <c r="V761" i="3"/>
  <c r="W761" i="3" s="1"/>
  <c r="X761" i="3" s="1"/>
  <c r="V762" i="3"/>
  <c r="W762" i="3" s="1"/>
  <c r="X762" i="3" s="1"/>
  <c r="V763" i="3"/>
  <c r="W763" i="3" s="1"/>
  <c r="X763" i="3" s="1"/>
  <c r="V764" i="3"/>
  <c r="W764" i="3" s="1"/>
  <c r="X764" i="3" s="1"/>
  <c r="V765" i="3"/>
  <c r="W765" i="3" s="1"/>
  <c r="X765" i="3" s="1"/>
  <c r="V766" i="3"/>
  <c r="W766" i="3" s="1"/>
  <c r="X766" i="3" s="1"/>
  <c r="V767" i="3"/>
  <c r="W767" i="3" s="1"/>
  <c r="X767" i="3" s="1"/>
  <c r="V768" i="3"/>
  <c r="W768" i="3" s="1"/>
  <c r="X768" i="3" s="1"/>
  <c r="V769" i="3"/>
  <c r="W769" i="3" s="1"/>
  <c r="X769" i="3" s="1"/>
  <c r="V770" i="3"/>
  <c r="W770" i="3" s="1"/>
  <c r="X770" i="3" s="1"/>
  <c r="V771" i="3"/>
  <c r="W771" i="3" s="1"/>
  <c r="X771" i="3" s="1"/>
  <c r="V772" i="3"/>
  <c r="W772" i="3" s="1"/>
  <c r="X772" i="3" s="1"/>
  <c r="V773" i="3"/>
  <c r="W773" i="3" s="1"/>
  <c r="X773" i="3" s="1"/>
  <c r="V774" i="3"/>
  <c r="W774" i="3" s="1"/>
  <c r="X774" i="3" s="1"/>
  <c r="V775" i="3"/>
  <c r="W775" i="3" s="1"/>
  <c r="X775" i="3" s="1"/>
  <c r="V776" i="3"/>
  <c r="W776" i="3" s="1"/>
  <c r="X776" i="3" s="1"/>
  <c r="V777" i="3"/>
  <c r="W777" i="3" s="1"/>
  <c r="X777" i="3" s="1"/>
  <c r="V778" i="3"/>
  <c r="W778" i="3" s="1"/>
  <c r="X778" i="3" s="1"/>
  <c r="V779" i="3"/>
  <c r="W779" i="3" s="1"/>
  <c r="X779" i="3" s="1"/>
  <c r="V780" i="3"/>
  <c r="W780" i="3" s="1"/>
  <c r="X780" i="3" s="1"/>
  <c r="V781" i="3"/>
  <c r="W781" i="3" s="1"/>
  <c r="X781" i="3" s="1"/>
  <c r="V782" i="3"/>
  <c r="W782" i="3" s="1"/>
  <c r="X782" i="3" s="1"/>
  <c r="V783" i="3"/>
  <c r="W783" i="3" s="1"/>
  <c r="X783" i="3" s="1"/>
  <c r="V784" i="3"/>
  <c r="W784" i="3" s="1"/>
  <c r="X784" i="3" s="1"/>
  <c r="V785" i="3"/>
  <c r="W785" i="3" s="1"/>
  <c r="X785" i="3" s="1"/>
  <c r="V786" i="3"/>
  <c r="W786" i="3" s="1"/>
  <c r="X786" i="3" s="1"/>
  <c r="V787" i="3"/>
  <c r="W787" i="3" s="1"/>
  <c r="X787" i="3" s="1"/>
  <c r="V788" i="3"/>
  <c r="W788" i="3" s="1"/>
  <c r="X788" i="3" s="1"/>
  <c r="V789" i="3"/>
  <c r="W789" i="3" s="1"/>
  <c r="X789" i="3" s="1"/>
  <c r="V790" i="3"/>
  <c r="W790" i="3" s="1"/>
  <c r="X790" i="3" s="1"/>
  <c r="V791" i="3"/>
  <c r="W791" i="3" s="1"/>
  <c r="X791" i="3" s="1"/>
  <c r="V792" i="3"/>
  <c r="W792" i="3" s="1"/>
  <c r="X792" i="3" s="1"/>
  <c r="V793" i="3"/>
  <c r="W793" i="3" s="1"/>
  <c r="X793" i="3" s="1"/>
  <c r="V794" i="3"/>
  <c r="W794" i="3" s="1"/>
  <c r="X794" i="3" s="1"/>
  <c r="V795" i="3"/>
  <c r="W795" i="3" s="1"/>
  <c r="X795" i="3" s="1"/>
  <c r="V796" i="3"/>
  <c r="W796" i="3" s="1"/>
  <c r="X796" i="3" s="1"/>
  <c r="V797" i="3"/>
  <c r="W797" i="3" s="1"/>
  <c r="X797" i="3" s="1"/>
  <c r="V798" i="3"/>
  <c r="W798" i="3" s="1"/>
  <c r="X798" i="3" s="1"/>
  <c r="V799" i="3"/>
  <c r="W799" i="3" s="1"/>
  <c r="X799" i="3" s="1"/>
  <c r="V800" i="3"/>
  <c r="W800" i="3" s="1"/>
  <c r="X800" i="3" s="1"/>
  <c r="V801" i="3"/>
  <c r="W801" i="3" s="1"/>
  <c r="X801" i="3" s="1"/>
  <c r="V802" i="3"/>
  <c r="W802" i="3" s="1"/>
  <c r="X802" i="3" s="1"/>
  <c r="V803" i="3"/>
  <c r="W803" i="3" s="1"/>
  <c r="X803" i="3" s="1"/>
  <c r="V804" i="3"/>
  <c r="W804" i="3" s="1"/>
  <c r="X804" i="3" s="1"/>
  <c r="V805" i="3"/>
  <c r="W805" i="3" s="1"/>
  <c r="X805" i="3" s="1"/>
  <c r="V806" i="3"/>
  <c r="W806" i="3" s="1"/>
  <c r="X806" i="3" s="1"/>
  <c r="V807" i="3"/>
  <c r="W807" i="3" s="1"/>
  <c r="X807" i="3" s="1"/>
  <c r="V808" i="3"/>
  <c r="W808" i="3" s="1"/>
  <c r="X808" i="3" s="1"/>
  <c r="V809" i="3"/>
  <c r="W809" i="3" s="1"/>
  <c r="X809" i="3" s="1"/>
  <c r="V810" i="3"/>
  <c r="W810" i="3" s="1"/>
  <c r="X810" i="3" s="1"/>
  <c r="V811" i="3"/>
  <c r="W811" i="3" s="1"/>
  <c r="X811" i="3" s="1"/>
  <c r="V812" i="3"/>
  <c r="W812" i="3" s="1"/>
  <c r="X812" i="3" s="1"/>
  <c r="V813" i="3"/>
  <c r="W813" i="3" s="1"/>
  <c r="X813" i="3" s="1"/>
  <c r="V814" i="3"/>
  <c r="W814" i="3" s="1"/>
  <c r="X814" i="3" s="1"/>
  <c r="V815" i="3"/>
  <c r="W815" i="3" s="1"/>
  <c r="X815" i="3" s="1"/>
  <c r="V816" i="3"/>
  <c r="W816" i="3" s="1"/>
  <c r="X816" i="3" s="1"/>
  <c r="V817" i="3"/>
  <c r="W817" i="3" s="1"/>
  <c r="X817" i="3" s="1"/>
  <c r="V818" i="3"/>
  <c r="W818" i="3" s="1"/>
  <c r="X818" i="3" s="1"/>
  <c r="V819" i="3"/>
  <c r="W819" i="3" s="1"/>
  <c r="X819" i="3" s="1"/>
  <c r="V820" i="3"/>
  <c r="W820" i="3" s="1"/>
  <c r="X820" i="3" s="1"/>
  <c r="V821" i="3"/>
  <c r="W821" i="3" s="1"/>
  <c r="X821" i="3" s="1"/>
  <c r="V822" i="3"/>
  <c r="W822" i="3" s="1"/>
  <c r="X822" i="3" s="1"/>
  <c r="V823" i="3"/>
  <c r="W823" i="3" s="1"/>
  <c r="X823" i="3" s="1"/>
  <c r="V824" i="3"/>
  <c r="W824" i="3" s="1"/>
  <c r="X824" i="3" s="1"/>
  <c r="V825" i="3"/>
  <c r="W825" i="3" s="1"/>
  <c r="X825" i="3" s="1"/>
  <c r="V826" i="3"/>
  <c r="W826" i="3" s="1"/>
  <c r="X826" i="3" s="1"/>
  <c r="V827" i="3"/>
  <c r="W827" i="3" s="1"/>
  <c r="X827" i="3" s="1"/>
  <c r="V828" i="3"/>
  <c r="W828" i="3" s="1"/>
  <c r="X828" i="3" s="1"/>
  <c r="V829" i="3"/>
  <c r="W829" i="3" s="1"/>
  <c r="X829" i="3" s="1"/>
  <c r="V830" i="3"/>
  <c r="W830" i="3" s="1"/>
  <c r="X830" i="3" s="1"/>
  <c r="V831" i="3"/>
  <c r="W831" i="3" s="1"/>
  <c r="X831" i="3" s="1"/>
  <c r="V832" i="3"/>
  <c r="W832" i="3" s="1"/>
  <c r="X832" i="3" s="1"/>
  <c r="V833" i="3"/>
  <c r="W833" i="3" s="1"/>
  <c r="X833" i="3" s="1"/>
  <c r="V834" i="3"/>
  <c r="W834" i="3" s="1"/>
  <c r="X834" i="3" s="1"/>
  <c r="V835" i="3"/>
  <c r="W835" i="3" s="1"/>
  <c r="X835" i="3" s="1"/>
  <c r="V836" i="3"/>
  <c r="W836" i="3" s="1"/>
  <c r="X836" i="3" s="1"/>
  <c r="V837" i="3"/>
  <c r="W837" i="3" s="1"/>
  <c r="X837" i="3" s="1"/>
  <c r="V838" i="3"/>
  <c r="W838" i="3" s="1"/>
  <c r="X838" i="3" s="1"/>
  <c r="V839" i="3"/>
  <c r="W839" i="3" s="1"/>
  <c r="X839" i="3" s="1"/>
  <c r="V840" i="3"/>
  <c r="W840" i="3" s="1"/>
  <c r="X840" i="3" s="1"/>
  <c r="V841" i="3"/>
  <c r="W841" i="3" s="1"/>
  <c r="X841" i="3" s="1"/>
  <c r="V842" i="3"/>
  <c r="W842" i="3" s="1"/>
  <c r="X842" i="3" s="1"/>
  <c r="V843" i="3"/>
  <c r="W843" i="3" s="1"/>
  <c r="X843" i="3" s="1"/>
  <c r="V844" i="3"/>
  <c r="W844" i="3" s="1"/>
  <c r="X844" i="3" s="1"/>
  <c r="V845" i="3"/>
  <c r="W845" i="3" s="1"/>
  <c r="X845" i="3" s="1"/>
  <c r="V846" i="3"/>
  <c r="W846" i="3" s="1"/>
  <c r="X846" i="3" s="1"/>
  <c r="V847" i="3"/>
  <c r="W847" i="3" s="1"/>
  <c r="X847" i="3" s="1"/>
  <c r="V848" i="3"/>
  <c r="W848" i="3" s="1"/>
  <c r="X848" i="3" s="1"/>
  <c r="V849" i="3"/>
  <c r="W849" i="3" s="1"/>
  <c r="X849" i="3" s="1"/>
  <c r="V850" i="3"/>
  <c r="W850" i="3" s="1"/>
  <c r="X850" i="3" s="1"/>
  <c r="V851" i="3"/>
  <c r="W851" i="3" s="1"/>
  <c r="X851" i="3" s="1"/>
  <c r="V852" i="3"/>
  <c r="W852" i="3" s="1"/>
  <c r="X852" i="3" s="1"/>
  <c r="V853" i="3"/>
  <c r="W853" i="3" s="1"/>
  <c r="X853" i="3" s="1"/>
  <c r="V854" i="3"/>
  <c r="W854" i="3" s="1"/>
  <c r="X854" i="3" s="1"/>
  <c r="V855" i="3"/>
  <c r="W855" i="3" s="1"/>
  <c r="X855" i="3" s="1"/>
  <c r="V856" i="3"/>
  <c r="W856" i="3" s="1"/>
  <c r="X856" i="3" s="1"/>
  <c r="V857" i="3"/>
  <c r="W857" i="3" s="1"/>
  <c r="X857" i="3" s="1"/>
  <c r="V858" i="3"/>
  <c r="W858" i="3" s="1"/>
  <c r="X858" i="3" s="1"/>
  <c r="V859" i="3"/>
  <c r="W859" i="3" s="1"/>
  <c r="X859" i="3" s="1"/>
  <c r="V860" i="3"/>
  <c r="W860" i="3" s="1"/>
  <c r="X860" i="3" s="1"/>
  <c r="V861" i="3"/>
  <c r="W861" i="3" s="1"/>
  <c r="X861" i="3" s="1"/>
  <c r="V862" i="3"/>
  <c r="W862" i="3" s="1"/>
  <c r="X862" i="3" s="1"/>
  <c r="V863" i="3"/>
  <c r="W863" i="3" s="1"/>
  <c r="X863" i="3" s="1"/>
  <c r="V864" i="3"/>
  <c r="W864" i="3" s="1"/>
  <c r="X864" i="3" s="1"/>
  <c r="V865" i="3"/>
  <c r="W865" i="3" s="1"/>
  <c r="X865" i="3" s="1"/>
  <c r="V866" i="3"/>
  <c r="W866" i="3" s="1"/>
  <c r="X866" i="3" s="1"/>
  <c r="V867" i="3"/>
  <c r="W867" i="3" s="1"/>
  <c r="X867" i="3" s="1"/>
  <c r="V868" i="3"/>
  <c r="W868" i="3" s="1"/>
  <c r="X868" i="3" s="1"/>
  <c r="V869" i="3"/>
  <c r="W869" i="3" s="1"/>
  <c r="X869" i="3" s="1"/>
  <c r="V870" i="3"/>
  <c r="W870" i="3" s="1"/>
  <c r="X870" i="3" s="1"/>
  <c r="V871" i="3"/>
  <c r="W871" i="3" s="1"/>
  <c r="X871" i="3" s="1"/>
  <c r="V872" i="3"/>
  <c r="W872" i="3" s="1"/>
  <c r="X872" i="3" s="1"/>
  <c r="V873" i="3"/>
  <c r="W873" i="3" s="1"/>
  <c r="X873" i="3" s="1"/>
  <c r="V874" i="3"/>
  <c r="W874" i="3" s="1"/>
  <c r="X874" i="3" s="1"/>
  <c r="V875" i="3"/>
  <c r="W875" i="3" s="1"/>
  <c r="X875" i="3" s="1"/>
  <c r="V876" i="3"/>
  <c r="W876" i="3" s="1"/>
  <c r="X876" i="3" s="1"/>
  <c r="V877" i="3"/>
  <c r="W877" i="3" s="1"/>
  <c r="X877" i="3" s="1"/>
  <c r="V878" i="3"/>
  <c r="W878" i="3" s="1"/>
  <c r="X878" i="3" s="1"/>
  <c r="V879" i="3"/>
  <c r="W879" i="3" s="1"/>
  <c r="X879" i="3" s="1"/>
  <c r="V880" i="3"/>
  <c r="W880" i="3" s="1"/>
  <c r="X880" i="3" s="1"/>
  <c r="V881" i="3"/>
  <c r="W881" i="3" s="1"/>
  <c r="X881" i="3" s="1"/>
  <c r="V882" i="3"/>
  <c r="W882" i="3" s="1"/>
  <c r="X882" i="3" s="1"/>
  <c r="V883" i="3"/>
  <c r="W883" i="3" s="1"/>
  <c r="X883" i="3" s="1"/>
  <c r="V884" i="3"/>
  <c r="W884" i="3" s="1"/>
  <c r="X884" i="3" s="1"/>
  <c r="V885" i="3"/>
  <c r="W885" i="3" s="1"/>
  <c r="X885" i="3" s="1"/>
  <c r="V886" i="3"/>
  <c r="W886" i="3" s="1"/>
  <c r="X886" i="3" s="1"/>
  <c r="V887" i="3"/>
  <c r="W887" i="3" s="1"/>
  <c r="X887" i="3" s="1"/>
  <c r="V888" i="3"/>
  <c r="W888" i="3" s="1"/>
  <c r="X888" i="3" s="1"/>
  <c r="V889" i="3"/>
  <c r="W889" i="3" s="1"/>
  <c r="X889" i="3" s="1"/>
  <c r="V890" i="3"/>
  <c r="W890" i="3" s="1"/>
  <c r="X890" i="3" s="1"/>
  <c r="V891" i="3"/>
  <c r="W891" i="3" s="1"/>
  <c r="X891" i="3" s="1"/>
  <c r="V892" i="3"/>
  <c r="W892" i="3" s="1"/>
  <c r="X892" i="3" s="1"/>
  <c r="V2" i="3"/>
  <c r="W2" i="3" s="1"/>
  <c r="X2" i="3" s="1"/>
  <c r="Y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14391-7A44-42AF-BDF3-72A505DFFF94}" keepAlive="1" name="Запит – test" description="Підключення до запита &quot;test&quot; у книзі.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<sst xmlns="http://schemas.openxmlformats.org/spreadsheetml/2006/main" count="6628" uniqueCount="2470">
  <si>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</si>
  <si>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</si>
  <si>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</si>
  <si>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</si>
  <si>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</si>
  <si>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</si>
  <si>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</si>
  <si>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</si>
  <si>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</si>
  <si>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</si>
  <si>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</si>
  <si>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</si>
  <si>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</si>
  <si>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</si>
  <si>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</si>
  <si>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</si>
  <si>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</si>
  <si>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</si>
  <si>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</si>
  <si>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</si>
  <si>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</si>
  <si>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</si>
  <si>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</si>
  <si>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</si>
  <si>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</si>
  <si>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</si>
  <si>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</si>
  <si>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</si>
  <si>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</si>
  <si>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</si>
  <si>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</si>
  <si>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</si>
  <si>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</si>
  <si>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</si>
  <si>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</si>
  <si>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</si>
  <si>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</si>
  <si>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</si>
  <si>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</si>
  <si>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</si>
  <si>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</si>
  <si>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</si>
  <si>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</si>
  <si>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</si>
  <si>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</si>
  <si>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</si>
  <si>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</si>
  <si>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</si>
  <si>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/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</si>
  <si>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</si>
  <si>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</si>
  <si>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</si>
  <si>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</si>
  <si>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</si>
  <si>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</si>
  <si>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</si>
  <si>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</si>
  <si>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</si>
  <si>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</si>
  <si>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</si>
  <si>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</si>
  <si>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</si>
  <si>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</si>
  <si>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</si>
  <si>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</si>
  <si>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</si>
  <si>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</si>
  <si>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</si>
  <si>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</si>
  <si>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</si>
  <si>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</si>
  <si>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</si>
  <si>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</si>
  <si>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</si>
  <si>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</si>
  <si>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</si>
  <si>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</si>
  <si>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</si>
  <si>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</si>
  <si>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</si>
  <si>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</si>
  <si>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</si>
  <si>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</si>
  <si>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</si>
  <si>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</si>
  <si>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</si>
  <si>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</si>
  <si>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</si>
  <si>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</si>
  <si>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</si>
  <si>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</si>
  <si>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</si>
  <si>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</si>
  <si>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</si>
  <si>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</si>
  <si>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</si>
  <si>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</si>
  <si>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</si>
  <si>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</si>
  <si>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</si>
  <si>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</si>
  <si>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</si>
  <si>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</si>
  <si>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</si>
  <si>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</si>
  <si>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</si>
  <si>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</si>
  <si>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</si>
  <si>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</si>
  <si>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</si>
  <si>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</si>
  <si>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</si>
  <si>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</si>
  <si>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</si>
  <si>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</si>
  <si>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</si>
  <si>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</si>
  <si>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</si>
  <si>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</si>
  <si>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</si>
  <si>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</si>
  <si>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</si>
  <si>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</si>
  <si>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</si>
  <si>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</si>
  <si>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</si>
  <si>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</si>
  <si>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</si>
  <si>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</si>
  <si>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</si>
  <si>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</si>
  <si>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</si>
  <si>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</si>
  <si>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</si>
  <si>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</si>
  <si>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</si>
  <si>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</si>
  <si>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</si>
  <si>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</si>
  <si>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</si>
  <si>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</si>
  <si>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</si>
  <si>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</si>
  <si>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</si>
  <si>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</si>
  <si>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</si>
  <si>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</si>
  <si>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</si>
  <si>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</si>
  <si>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</si>
  <si>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</si>
  <si>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</si>
  <si>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</si>
  <si>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</si>
  <si>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</si>
  <si>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</si>
  <si>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</si>
  <si>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</si>
  <si>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</si>
  <si>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</si>
  <si>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</si>
  <si>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</si>
  <si>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</si>
  <si>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</si>
  <si>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</si>
  <si>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</si>
  <si>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</si>
  <si>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</si>
  <si>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</si>
  <si>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</si>
  <si>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</si>
  <si>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</si>
  <si>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</si>
  <si>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</si>
  <si>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</si>
  <si>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</si>
  <si>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</si>
  <si>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</si>
  <si>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</si>
  <si>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</si>
  <si>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</si>
  <si>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</si>
  <si>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</si>
  <si>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</si>
  <si>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</si>
  <si>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</si>
  <si>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</si>
  <si>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</si>
  <si>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</si>
  <si>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</si>
  <si>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</si>
  <si>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</si>
  <si>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</si>
  <si>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</si>
  <si>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</si>
  <si>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</si>
  <si>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</si>
  <si>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</si>
  <si>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</si>
  <si>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</si>
  <si>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</si>
  <si>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</si>
  <si>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</si>
  <si>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</si>
  <si>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</si>
  <si>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</si>
  <si>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</si>
  <si>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</si>
  <si>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</si>
  <si>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</si>
  <si>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</si>
  <si>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</si>
  <si>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</si>
  <si>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</si>
  <si>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</si>
  <si>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</si>
  <si>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</si>
  <si>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</si>
  <si>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</si>
  <si>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</si>
  <si>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</si>
  <si>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</si>
  <si>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</si>
  <si>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</si>
  <si>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</si>
  <si>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</si>
  <si>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</si>
  <si>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</si>
  <si>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</si>
  <si>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</si>
  <si>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</si>
  <si>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</si>
  <si>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</si>
  <si>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</si>
  <si>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</si>
  <si>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</si>
  <si>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</si>
  <si>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</si>
  <si>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</si>
  <si>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</si>
  <si>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</si>
  <si>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</si>
  <si>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</si>
  <si>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</si>
  <si>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</si>
  <si>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</si>
  <si>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</si>
  <si>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</si>
  <si>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</si>
  <si>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</si>
  <si>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</si>
  <si>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</si>
  <si>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</si>
  <si>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</si>
  <si>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</si>
  <si>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</si>
  <si>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</si>
  <si>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</si>
  <si>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</si>
  <si>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</si>
  <si>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</si>
  <si>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</si>
  <si>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</si>
  <si>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</si>
  <si>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</si>
  <si>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</si>
  <si>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</si>
  <si>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</si>
  <si>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</si>
  <si>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</si>
  <si>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</si>
  <si>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</si>
  <si>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</si>
  <si>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</si>
  <si>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</si>
  <si>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</si>
  <si>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</si>
  <si>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</si>
  <si>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</si>
  <si>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</si>
  <si>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</si>
  <si>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</si>
  <si>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</si>
  <si>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</si>
  <si>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</si>
  <si>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</si>
  <si>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</si>
  <si>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</si>
  <si>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</si>
  <si>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</si>
  <si>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</si>
  <si>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</si>
  <si>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</si>
  <si>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</si>
  <si>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</si>
  <si>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</si>
  <si>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</si>
  <si>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</si>
  <si>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</si>
  <si>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</si>
  <si>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</si>
  <si>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</si>
  <si>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</si>
  <si>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</si>
  <si>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</si>
  <si>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</si>
  <si>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</si>
  <si>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</si>
  <si>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</si>
  <si>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</si>
  <si>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</si>
  <si>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</si>
  <si>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</si>
  <si>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</si>
  <si>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</si>
  <si>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</si>
  <si>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</si>
  <si>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</si>
  <si>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</si>
  <si>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</si>
  <si>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</si>
  <si>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</si>
  <si>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</si>
  <si>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</si>
  <si>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</si>
  <si>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</si>
  <si>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</si>
  <si>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</si>
  <si>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</si>
  <si>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</si>
  <si>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</si>
  <si>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</si>
  <si>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</si>
  <si>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</si>
  <si>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</si>
  <si>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</si>
  <si>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</si>
  <si>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</si>
  <si>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</si>
  <si>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</si>
  <si>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</si>
  <si>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</si>
  <si>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</si>
  <si>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</si>
  <si>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</si>
  <si>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</si>
  <si>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</si>
  <si>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</si>
  <si>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</si>
  <si>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</si>
  <si>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</si>
  <si>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</si>
  <si>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</si>
  <si>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</si>
  <si>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</si>
  <si>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</si>
  <si>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</si>
  <si>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</si>
  <si>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</si>
  <si>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</si>
  <si>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</si>
  <si>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</si>
  <si>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</si>
  <si>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</si>
  <si>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</si>
  <si>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</si>
  <si>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</si>
  <si>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</si>
  <si>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</si>
  <si>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</si>
  <si>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</si>
  <si>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</si>
  <si>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</si>
  <si>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</si>
  <si>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</si>
  <si>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</si>
  <si>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</si>
  <si>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</si>
  <si>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</si>
  <si>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</si>
  <si>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</si>
  <si>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</si>
  <si>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</si>
  <si>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</si>
  <si>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</si>
  <si>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</si>
  <si>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</si>
  <si>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</si>
  <si>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</si>
  <si>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</si>
  <si>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</si>
  <si>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</si>
  <si>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</si>
  <si>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</si>
  <si>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</si>
  <si>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</si>
  <si>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</si>
  <si>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</si>
  <si>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</si>
  <si>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</si>
  <si>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</si>
  <si>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</si>
  <si>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</si>
  <si>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</si>
  <si>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</si>
  <si>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</si>
  <si>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</si>
  <si>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</si>
  <si>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</si>
  <si>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</si>
  <si>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</si>
  <si>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</si>
  <si>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</si>
  <si>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</si>
  <si>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</si>
  <si>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</si>
  <si>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</si>
  <si>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</si>
  <si>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</si>
  <si>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</si>
  <si>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</si>
  <si>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</si>
  <si>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</si>
  <si>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</si>
  <si>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</si>
  <si>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</si>
  <si>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</si>
  <si>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</si>
  <si>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</si>
  <si>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</si>
  <si>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</si>
  <si>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</si>
  <si>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</si>
  <si>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</si>
  <si>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</si>
  <si>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</si>
  <si>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</si>
  <si>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</si>
  <si>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</si>
  <si>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</si>
  <si>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</si>
  <si>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</si>
  <si>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</si>
  <si>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</si>
  <si>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</si>
  <si>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</si>
  <si>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</si>
  <si>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</si>
  <si>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</si>
  <si>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</si>
  <si>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</si>
  <si>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</si>
  <si>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</si>
  <si>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</si>
  <si>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</si>
  <si>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</si>
  <si>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</si>
  <si>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</si>
  <si>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</si>
  <si>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</si>
  <si>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</si>
  <si>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</si>
  <si>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</si>
  <si>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</si>
  <si>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</si>
  <si>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</si>
  <si>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</si>
  <si>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</si>
  <si>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</si>
  <si>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</si>
  <si>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</si>
  <si>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</si>
  <si>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</si>
  <si>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</si>
  <si>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</si>
  <si>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</si>
  <si>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</si>
  <si>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</si>
  <si>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</si>
  <si>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</si>
  <si>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</si>
  <si>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</si>
  <si>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</si>
  <si>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</si>
  <si>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</si>
  <si>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</si>
  <si>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</si>
  <si>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</si>
  <si>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</si>
  <si>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</si>
  <si>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</si>
  <si>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</si>
  <si>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</si>
  <si>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</si>
  <si>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</si>
  <si>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</si>
  <si>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</si>
  <si>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</si>
  <si>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</si>
  <si>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</si>
  <si>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</si>
  <si>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</si>
  <si>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</si>
  <si>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</si>
  <si>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</si>
  <si>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</si>
  <si>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</si>
  <si>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</si>
  <si>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</si>
  <si>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</si>
  <si>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</si>
  <si>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</si>
  <si>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</si>
  <si>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</si>
  <si>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</si>
  <si>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</si>
  <si>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</si>
  <si>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</si>
  <si>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</si>
  <si>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</si>
  <si>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</si>
  <si>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</si>
  <si>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</si>
  <si>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</si>
  <si>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</si>
  <si>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</si>
  <si>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</si>
  <si>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</si>
  <si>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</si>
  <si>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</si>
  <si>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</si>
  <si>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</si>
  <si>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</si>
  <si>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</si>
  <si>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</si>
  <si>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</si>
  <si>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</si>
  <si>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</si>
  <si>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</si>
  <si>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</si>
  <si>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</si>
  <si>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</si>
  <si>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</si>
  <si>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</si>
  <si>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</si>
  <si>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</si>
  <si>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</si>
  <si>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</si>
  <si>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</si>
  <si>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</si>
  <si>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</si>
  <si>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</si>
  <si>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</si>
  <si>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</si>
  <si>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</si>
  <si>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</si>
  <si>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</si>
  <si>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</si>
  <si>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</si>
  <si>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</si>
  <si>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</si>
  <si>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</si>
  <si>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</si>
  <si>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</si>
  <si>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</si>
  <si>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</si>
  <si>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</si>
  <si>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</si>
  <si>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</si>
  <si>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</si>
  <si>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</si>
  <si>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</si>
  <si>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</si>
  <si>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</si>
  <si>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</si>
  <si>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</si>
  <si>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</si>
  <si>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</si>
  <si>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</si>
  <si>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</si>
  <si>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</si>
  <si>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</si>
  <si>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</si>
  <si>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</si>
  <si>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</si>
  <si>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</si>
  <si>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</si>
  <si>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</si>
  <si>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</si>
  <si>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</si>
  <si>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</si>
  <si>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</si>
  <si>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</si>
  <si>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</si>
  <si>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</si>
  <si>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</si>
  <si>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</si>
  <si>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</si>
  <si>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</si>
  <si>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</si>
  <si>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</si>
  <si>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</si>
  <si>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</si>
  <si>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</si>
  <si>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</si>
  <si>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</si>
  <si>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</si>
  <si>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</si>
  <si>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</si>
  <si>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</si>
  <si>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</si>
  <si>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</si>
  <si>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</si>
  <si>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</si>
  <si>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</si>
  <si>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</si>
  <si>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</si>
  <si>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</si>
  <si>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</si>
  <si>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</si>
  <si>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</si>
  <si>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</si>
  <si>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</si>
  <si>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</si>
  <si>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</si>
  <si>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</si>
  <si>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</si>
  <si>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</si>
  <si>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</si>
  <si>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</si>
  <si>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</si>
  <si>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</si>
  <si>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</si>
  <si>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</si>
  <si>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</si>
  <si>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</si>
  <si>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</si>
  <si>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</si>
  <si>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</si>
  <si>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</si>
  <si>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</si>
  <si>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</si>
  <si>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</si>
  <si>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</si>
  <si>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</si>
  <si>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</si>
  <si>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</si>
  <si>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</si>
  <si>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</si>
  <si>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</si>
  <si>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</si>
  <si>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</si>
  <si>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</si>
  <si>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</si>
  <si>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</si>
  <si>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</si>
  <si>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</si>
  <si>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</si>
  <si>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</si>
  <si>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</si>
  <si>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</si>
  <si>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</si>
  <si>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</si>
  <si>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</si>
  <si>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</si>
  <si>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</si>
  <si>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</si>
  <si>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</si>
  <si>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</si>
  <si>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</si>
  <si>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</si>
  <si>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</si>
  <si>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</si>
  <si>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</si>
  <si>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</si>
  <si>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</si>
  <si>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</si>
  <si>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</si>
  <si>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</si>
  <si>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</si>
  <si>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</si>
  <si>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</si>
  <si>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</si>
  <si>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</si>
  <si>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</si>
  <si>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</si>
  <si>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</si>
  <si>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</si>
  <si>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</si>
  <si>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</si>
  <si>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</si>
  <si>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</si>
  <si>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</si>
  <si>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</si>
  <si>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</si>
  <si>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</si>
  <si>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</si>
  <si>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</si>
  <si>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</si>
  <si>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</si>
  <si>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</si>
  <si>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</si>
  <si>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</si>
  <si>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</si>
  <si>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</si>
  <si>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</si>
  <si>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</si>
  <si>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</si>
  <si>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</si>
  <si>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</si>
  <si>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</si>
  <si>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</si>
  <si>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</si>
  <si>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</si>
  <si>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</si>
  <si>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</si>
  <si>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</si>
  <si>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</si>
  <si>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</si>
  <si>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</si>
  <si>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</si>
  <si>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</si>
  <si>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</si>
  <si>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</si>
  <si>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</si>
  <si>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</si>
  <si>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</si>
  <si>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</si>
  <si>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</si>
  <si>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</si>
  <si>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</si>
  <si>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</si>
  <si>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</si>
  <si>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</si>
  <si>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</si>
  <si>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</si>
  <si>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</si>
  <si>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</si>
  <si>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</si>
  <si>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</si>
  <si>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</si>
  <si>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</si>
  <si>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</si>
  <si>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</si>
  <si>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</si>
  <si>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</si>
  <si>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</si>
  <si>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</si>
  <si>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</si>
  <si>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</si>
  <si>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</si>
  <si>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</si>
  <si>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</si>
  <si>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</si>
  <si>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</si>
  <si>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</si>
  <si>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</si>
  <si>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</si>
  <si>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</si>
  <si>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</si>
  <si>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</si>
  <si>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</si>
  <si>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</si>
  <si>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</si>
  <si>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</si>
  <si>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</si>
  <si>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</si>
  <si>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</si>
  <si>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</si>
  <si>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</si>
  <si>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</si>
  <si>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</si>
  <si>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</si>
  <si>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</si>
  <si>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</si>
  <si>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</si>
  <si>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</si>
  <si>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</si>
  <si>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</si>
  <si>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</si>
  <si>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</si>
  <si>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</si>
  <si>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</si>
  <si>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</si>
  <si>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</si>
  <si>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</si>
  <si>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</si>
  <si>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</si>
  <si>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</si>
  <si>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</si>
  <si>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</si>
  <si>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</si>
  <si>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</si>
  <si>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</si>
  <si>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</si>
  <si>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</si>
  <si>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</si>
  <si>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</si>
  <si>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</si>
  <si>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</si>
  <si>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</si>
  <si>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</si>
  <si>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</si>
  <si>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</si>
  <si>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</si>
  <si>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</si>
  <si>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</si>
  <si>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</si>
  <si>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</si>
  <si>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</si>
  <si>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</si>
  <si>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</si>
  <si>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</si>
  <si>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</si>
  <si>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</si>
  <si>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</si>
  <si>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</si>
  <si>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</si>
  <si>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</si>
  <si>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</si>
  <si>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</si>
  <si>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</si>
  <si>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</si>
  <si>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</si>
  <si>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</si>
  <si>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</si>
  <si>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</si>
  <si>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</si>
  <si>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</si>
  <si>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</si>
  <si>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</si>
  <si>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</si>
  <si>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</si>
  <si>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</si>
  <si>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</si>
  <si>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</si>
  <si>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</si>
  <si>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</si>
  <si>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</si>
  <si>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</si>
  <si>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</si>
  <si>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</si>
  <si>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</si>
  <si>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</si>
  <si>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</si>
  <si>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</si>
  <si>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</si>
  <si>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</si>
  <si>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</si>
  <si>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</si>
  <si>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</si>
  <si>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</si>
  <si>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</si>
  <si>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</si>
  <si>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</si>
  <si>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</si>
  <si>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</si>
  <si>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</si>
  <si>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</si>
  <si>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</si>
  <si>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</si>
  <si>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</si>
  <si>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</si>
  <si>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</si>
  <si>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</si>
  <si>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</si>
  <si>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</si>
  <si>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</si>
  <si>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</si>
  <si>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</si>
  <si>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</si>
  <si>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</si>
  <si>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</si>
  <si>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</si>
  <si>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</si>
  <si>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</si>
  <si>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</si>
  <si>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</si>
  <si>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</si>
  <si>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</si>
  <si>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</si>
  <si>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</si>
  <si>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</si>
  <si>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</si>
  <si>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</si>
  <si>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</si>
  <si>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</si>
  <si>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</si>
  <si>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</si>
  <si>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</si>
  <si>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</si>
  <si>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</si>
  <si>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</si>
  <si>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</si>
  <si>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</si>
  <si>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</si>
  <si>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</si>
  <si>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</si>
  <si>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</si>
  <si>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</si>
  <si>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</si>
  <si>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</si>
  <si>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</si>
  <si>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</si>
  <si>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</si>
  <si>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</si>
  <si>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</si>
  <si>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</si>
  <si>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</si>
  <si>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</si>
  <si>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</si>
  <si>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</si>
  <si>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</si>
  <si>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</si>
  <si>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</si>
  <si>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</si>
  <si>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</si>
  <si>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</si>
  <si>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</si>
  <si>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</si>
  <si>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</si>
  <si>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</si>
  <si>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</si>
  <si>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</si>
  <si>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</si>
  <si>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</si>
  <si>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</si>
  <si>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</si>
  <si>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</si>
  <si>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</si>
  <si>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</si>
  <si>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</si>
  <si>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</si>
  <si>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</si>
  <si>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</si>
  <si>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</si>
  <si>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</si>
  <si>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</si>
  <si>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</si>
  <si>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</si>
  <si>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</si>
  <si>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</si>
  <si>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</si>
  <si>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</si>
  <si>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</si>
  <si>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</si>
  <si>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</si>
  <si>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</si>
  <si>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</si>
  <si>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</si>
  <si>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</si>
  <si>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</si>
  <si>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</si>
  <si>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</si>
  <si>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</si>
  <si>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</si>
  <si>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</si>
  <si>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</si>
  <si>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</si>
  <si>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</si>
  <si>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</si>
  <si>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</si>
  <si>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</si>
  <si>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</si>
  <si>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</si>
  <si>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</si>
  <si>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</si>
  <si>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</si>
  <si>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</si>
  <si>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</si>
  <si>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</si>
  <si>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</si>
  <si>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</si>
  <si>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</si>
  <si>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</si>
  <si>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</si>
  <si>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</si>
  <si>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</si>
  <si>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</si>
  <si>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</si>
  <si>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</si>
  <si>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</si>
  <si>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</si>
  <si>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</si>
  <si>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</si>
  <si>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</si>
  <si>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</si>
  <si>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</si>
  <si>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</si>
  <si>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</si>
  <si>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</si>
  <si>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</si>
  <si>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</si>
  <si>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</si>
  <si>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</si>
  <si>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</si>
  <si>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</si>
  <si>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</si>
  <si>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</si>
  <si>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</si>
  <si>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</si>
  <si>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</si>
  <si>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</si>
  <si>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</si>
  <si>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</si>
  <si>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</si>
  <si>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</si>
  <si>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</si>
  <si>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</si>
  <si>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</si>
  <si>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</si>
  <si>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</si>
  <si>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</si>
  <si>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</si>
  <si>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</si>
  <si>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</si>
  <si>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</si>
  <si>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</si>
  <si>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</si>
  <si>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</si>
  <si>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</si>
  <si>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</si>
  <si>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</si>
  <si>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</si>
  <si>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</si>
  <si>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</si>
  <si>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</si>
  <si>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</si>
  <si>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</si>
  <si>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</si>
  <si>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</si>
  <si>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</si>
  <si>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</si>
  <si>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</si>
  <si>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</si>
  <si>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</si>
  <si>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</si>
  <si>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</si>
  <si>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</si>
  <si>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</si>
  <si>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</si>
  <si>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</si>
  <si>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</si>
  <si>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</si>
  <si>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</si>
  <si>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</si>
  <si>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</si>
  <si>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</si>
  <si>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</si>
  <si>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</si>
  <si>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</si>
  <si>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</si>
  <si>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</si>
  <si>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</si>
  <si>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</si>
  <si>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</si>
  <si>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</si>
  <si>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</si>
  <si>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</si>
  <si>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</si>
  <si>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</si>
  <si>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</si>
  <si>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</si>
  <si>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</si>
  <si>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</si>
  <si>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</si>
  <si>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</si>
  <si>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</si>
  <si>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</si>
  <si>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</si>
  <si>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</si>
  <si>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</si>
  <si>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</si>
  <si>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</si>
  <si>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</si>
  <si>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</si>
  <si>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</si>
  <si>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</si>
  <si>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</si>
  <si>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</si>
  <si>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</si>
  <si>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</si>
  <si>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</si>
  <si>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</si>
  <si>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</si>
  <si>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</si>
  <si>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</si>
  <si>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</si>
  <si>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</si>
  <si>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</si>
  <si>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</si>
  <si>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</si>
  <si>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</si>
  <si>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</si>
  <si>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</si>
  <si>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</si>
  <si>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</si>
  <si>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</si>
  <si>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</si>
  <si>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</si>
  <si>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</si>
  <si>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</si>
  <si>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</si>
  <si>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</si>
  <si>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</si>
  <si>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</si>
  <si>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</si>
  <si>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</si>
  <si>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</si>
  <si>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</si>
  <si>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</si>
  <si>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</si>
  <si>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</si>
  <si>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</si>
  <si>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</si>
  <si>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</si>
  <si>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</si>
  <si>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</si>
  <si>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</si>
  <si>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</si>
  <si>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</si>
  <si>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</si>
  <si>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</si>
  <si>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</si>
  <si>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</si>
  <si>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</si>
  <si>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</si>
  <si>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</si>
  <si>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</si>
  <si>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</si>
  <si>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</si>
  <si>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</si>
  <si>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</si>
  <si>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</si>
  <si>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</si>
  <si>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</si>
  <si>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</si>
  <si>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</si>
  <si>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</si>
  <si>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</si>
  <si>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</si>
  <si>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</si>
  <si>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</si>
  <si>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</si>
  <si>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</si>
  <si>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</si>
  <si>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</si>
  <si>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</si>
  <si>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</si>
  <si>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</si>
  <si>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</si>
  <si>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</si>
  <si>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</si>
  <si>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</si>
  <si>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</si>
  <si>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</si>
  <si>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</si>
  <si>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</si>
  <si>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</si>
  <si>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</si>
  <si>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</si>
  <si>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</si>
  <si>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</si>
  <si>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</si>
  <si>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</si>
  <si>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</si>
  <si>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</si>
  <si>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</si>
  <si>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</si>
  <si>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</si>
  <si>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</si>
  <si>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</si>
  <si>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</si>
  <si>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</si>
  <si>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</si>
  <si>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</si>
  <si>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</si>
  <si>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</si>
  <si>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</si>
  <si>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</si>
  <si>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</si>
  <si>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</si>
  <si>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</si>
  <si>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</si>
  <si>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</si>
  <si>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</si>
  <si>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</si>
  <si>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</si>
  <si>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</si>
  <si>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</si>
  <si>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</si>
  <si>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</si>
  <si>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</si>
  <si>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</si>
  <si>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</si>
  <si>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</si>
  <si>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</si>
  <si>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</si>
  <si>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</si>
  <si>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</si>
  <si>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</si>
  <si>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</si>
  <si>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</si>
  <si>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</si>
  <si>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</si>
  <si>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</si>
  <si>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</si>
  <si>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</si>
  <si>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</si>
  <si>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</si>
  <si>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</si>
  <si>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</si>
  <si>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</si>
  <si>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</si>
  <si>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</si>
  <si>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</si>
  <si>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</si>
  <si>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</si>
  <si>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</si>
  <si>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</si>
  <si>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</si>
  <si>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</si>
  <si>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</si>
  <si>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</si>
  <si>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</si>
  <si>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</si>
  <si>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</si>
  <si>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</si>
  <si>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</si>
  <si>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</si>
  <si>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</si>
  <si>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</si>
  <si>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</si>
  <si>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</si>
  <si>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</si>
  <si>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</si>
  <si>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</si>
  <si>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</si>
  <si>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</si>
  <si>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</si>
  <si>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</si>
  <si>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</si>
  <si>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</si>
  <si>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</si>
  <si>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</si>
  <si>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</si>
  <si>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</si>
  <si>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</si>
  <si>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</si>
  <si>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</si>
  <si>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</si>
  <si>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</si>
  <si>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</si>
  <si>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</si>
  <si>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</si>
  <si>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</si>
  <si>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</si>
  <si>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</si>
  <si>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</si>
  <si>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</si>
  <si>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</si>
  <si>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</si>
  <si>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</si>
  <si>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</si>
  <si>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</si>
  <si>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</si>
  <si>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</si>
  <si>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</si>
  <si>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</si>
  <si>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</si>
  <si>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</si>
  <si>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</si>
  <si>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</si>
  <si>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</si>
  <si>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</si>
  <si>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</si>
  <si>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</si>
  <si>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</si>
  <si>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</si>
  <si>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</si>
  <si>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</si>
  <si>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</si>
  <si>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</si>
  <si>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</si>
  <si>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</si>
  <si>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</si>
  <si>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</si>
  <si>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</si>
  <si>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</si>
  <si>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</si>
  <si>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</si>
  <si>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</si>
  <si>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</si>
  <si>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</si>
  <si>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</si>
  <si>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</si>
  <si>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</si>
  <si>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</si>
  <si>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</si>
  <si>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</si>
  <si>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</si>
  <si>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</si>
  <si>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</si>
  <si>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</si>
  <si>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</si>
  <si>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</si>
  <si>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</si>
  <si>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</si>
  <si>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</si>
  <si>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</si>
  <si>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</si>
  <si>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</si>
  <si>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</si>
  <si>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</si>
  <si>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</si>
  <si>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</si>
  <si>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</si>
  <si>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</si>
  <si>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</si>
  <si>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</si>
  <si>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</si>
  <si>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</si>
  <si>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</si>
  <si>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</si>
  <si>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</si>
  <si>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</si>
  <si>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</si>
  <si>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</si>
  <si>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</si>
  <si>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</si>
  <si>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</si>
  <si>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</si>
  <si>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</si>
  <si>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</si>
  <si>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</si>
  <si>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</si>
  <si>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</si>
  <si>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</si>
  <si>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</si>
  <si>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</si>
  <si>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</si>
  <si>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</si>
  <si>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</si>
  <si>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</si>
  <si>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</si>
  <si>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</si>
  <si>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</si>
  <si>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</si>
  <si>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</si>
  <si>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</si>
  <si>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</si>
  <si>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</si>
  <si>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</si>
  <si>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</si>
  <si>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</si>
  <si>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</si>
  <si>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</si>
  <si>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</si>
  <si>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</si>
  <si>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</si>
  <si>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</si>
  <si>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</si>
  <si>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</si>
  <si>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</si>
  <si>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</si>
  <si>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</si>
  <si>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</si>
  <si>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</si>
  <si>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</si>
  <si>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</si>
  <si>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</si>
  <si>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</si>
  <si>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</si>
  <si>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</si>
  <si>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</si>
  <si>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</si>
  <si>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</si>
  <si>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</si>
  <si>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</si>
  <si>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</si>
  <si>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</si>
  <si>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</si>
  <si>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</si>
  <si>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</si>
  <si>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</si>
  <si>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</si>
  <si>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</si>
  <si>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</si>
  <si>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</si>
  <si>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</si>
  <si>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</si>
  <si>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</si>
  <si>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</si>
  <si>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</si>
  <si>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</si>
  <si>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</si>
  <si>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</si>
  <si>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</si>
  <si>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</si>
  <si>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</si>
  <si>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</si>
  <si>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</si>
  <si>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</si>
  <si>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</si>
  <si>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</si>
  <si>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</si>
  <si>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</si>
  <si>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</si>
  <si>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</si>
  <si>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</si>
  <si>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</si>
  <si>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</si>
  <si>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</si>
  <si>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</si>
  <si>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</si>
  <si>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</si>
  <si>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</si>
  <si>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</si>
  <si>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</si>
  <si>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</si>
  <si>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</si>
  <si>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</si>
  <si>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</si>
  <si>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</si>
  <si>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</si>
  <si>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</si>
  <si>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</si>
  <si>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</si>
  <si>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</si>
  <si>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</si>
  <si>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</si>
  <si>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</si>
  <si>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</si>
  <si>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</si>
  <si>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</si>
  <si>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</si>
  <si>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</si>
  <si>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</si>
  <si>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</si>
  <si>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</si>
  <si>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</si>
  <si>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</si>
  <si>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</si>
  <si>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</si>
  <si>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</si>
  <si>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</si>
  <si>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</si>
  <si>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</si>
  <si>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</si>
  <si>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</si>
  <si>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</si>
  <si>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</si>
  <si>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</si>
  <si>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</si>
  <si>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</si>
  <si>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</si>
  <si>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</si>
  <si>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</si>
  <si>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</si>
  <si>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</si>
  <si>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</si>
  <si>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</si>
  <si>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</si>
  <si>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</si>
  <si>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</si>
  <si>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</si>
  <si>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</si>
  <si>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</si>
  <si>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</si>
  <si>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</si>
  <si>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</si>
  <si>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</si>
  <si>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</si>
  <si>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</si>
  <si>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</si>
  <si>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</si>
  <si>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</si>
  <si>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</si>
  <si>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</si>
  <si>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</si>
  <si>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</si>
  <si>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</si>
  <si>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</si>
  <si>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</si>
  <si>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</si>
  <si>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</si>
  <si>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</si>
  <si>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</si>
  <si>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</si>
  <si>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</si>
  <si>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</si>
  <si>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</si>
  <si>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</si>
  <si>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</si>
  <si>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</si>
  <si>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</si>
  <si>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</si>
  <si>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</si>
  <si>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</si>
  <si>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</si>
  <si>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</si>
  <si>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</si>
  <si>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</si>
  <si>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</si>
  <si>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</si>
  <si>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</si>
  <si>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</si>
  <si>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</si>
  <si>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</si>
  <si>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</si>
  <si>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</si>
  <si>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</si>
  <si>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</si>
  <si>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</si>
  <si>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</si>
  <si>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</si>
  <si>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</si>
  <si>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</si>
  <si>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</si>
  <si>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</si>
  <si>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</si>
  <si>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</si>
  <si>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</si>
  <si>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</si>
  <si>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</si>
  <si>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</si>
  <si>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</si>
  <si>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</si>
  <si>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</si>
  <si>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</si>
  <si>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</si>
  <si>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</si>
  <si>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</si>
  <si>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</si>
  <si>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</si>
  <si>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</si>
  <si>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</si>
  <si>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</si>
  <si>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</si>
  <si>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</si>
  <si>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</si>
  <si>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</si>
  <si>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</si>
  <si>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</si>
  <si>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</si>
  <si>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</si>
  <si>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</si>
  <si>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</si>
  <si>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</si>
  <si>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</si>
  <si>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</si>
  <si>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</si>
  <si>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</si>
  <si>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</si>
  <si>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</si>
  <si>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</si>
  <si>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</si>
  <si>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</si>
  <si>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</si>
  <si>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</si>
  <si>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</si>
  <si>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</si>
  <si>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</si>
  <si>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</si>
  <si>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</si>
  <si>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</si>
  <si>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</si>
  <si>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</si>
  <si>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</si>
  <si>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</si>
  <si>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</si>
  <si>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</si>
  <si>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</si>
  <si>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</si>
  <si>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</si>
  <si>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</si>
  <si>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</si>
  <si>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</si>
  <si>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</si>
  <si>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</si>
  <si>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</si>
  <si>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</si>
  <si>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</si>
  <si>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</si>
  <si>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</si>
  <si>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</si>
  <si>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</si>
  <si>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</si>
  <si>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</si>
  <si>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</si>
  <si>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</si>
  <si>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</si>
  <si>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</si>
  <si>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</si>
  <si>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</si>
  <si>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</si>
  <si>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</si>
  <si>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</si>
  <si>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</si>
  <si>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</si>
  <si>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</si>
  <si>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</si>
  <si>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</si>
  <si>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</si>
  <si>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</si>
  <si>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</si>
  <si>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</si>
  <si>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</si>
  <si>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</si>
  <si>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</si>
  <si>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</si>
  <si>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</si>
  <si>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</si>
  <si>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</si>
  <si>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</si>
  <si>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</si>
  <si>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</si>
  <si>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</si>
  <si>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</si>
  <si>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</si>
  <si>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</si>
  <si>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</si>
  <si>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</si>
  <si>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</si>
  <si>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</si>
  <si>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</si>
  <si>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</si>
  <si>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</si>
  <si>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</si>
  <si>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</si>
  <si>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</si>
  <si>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</si>
  <si>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</si>
  <si>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</si>
  <si>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</si>
  <si>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</si>
  <si>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</si>
  <si>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</si>
  <si>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</si>
  <si>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</si>
  <si>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</si>
  <si>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</si>
  <si>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</si>
  <si>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</si>
  <si>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</si>
  <si>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</si>
  <si>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</si>
  <si>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</si>
  <si>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</si>
  <si>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</si>
  <si>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</si>
  <si>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</si>
  <si>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</si>
  <si>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</si>
  <si>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</si>
  <si>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</si>
  <si>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</si>
  <si>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</si>
  <si>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</si>
  <si>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</si>
  <si>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</si>
  <si>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</si>
  <si>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</si>
  <si>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</si>
  <si>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</si>
  <si>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</si>
  <si>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</si>
  <si>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</si>
  <si>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</si>
  <si>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</si>
  <si>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</si>
  <si>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</si>
  <si>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</si>
  <si>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</si>
  <si>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</si>
  <si>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</si>
  <si>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</si>
  <si>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</si>
  <si>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</si>
  <si>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</si>
  <si>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</si>
  <si>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</si>
  <si>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</si>
  <si>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</si>
  <si>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</si>
  <si>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</si>
  <si>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</si>
  <si>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</si>
  <si>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</si>
  <si>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</si>
  <si>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</si>
  <si>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</si>
  <si>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</si>
  <si>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</si>
  <si>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</si>
  <si>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</si>
  <si>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</si>
  <si>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</si>
  <si>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</si>
  <si>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</si>
  <si>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</si>
  <si>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</si>
  <si>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</si>
  <si>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</si>
  <si>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</si>
  <si>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</si>
  <si>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</si>
  <si>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</si>
  <si>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</si>
  <si>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</si>
  <si>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</si>
  <si>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</si>
  <si>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</si>
  <si>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</si>
  <si>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</si>
  <si>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</si>
  <si>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</si>
  <si>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</si>
  <si>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</si>
  <si>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</si>
  <si>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</si>
  <si>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</si>
  <si>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</si>
  <si>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</si>
  <si>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</si>
  <si>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</si>
  <si>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</si>
  <si>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</si>
  <si>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</si>
  <si>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</si>
  <si>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</si>
  <si>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</si>
  <si>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</si>
  <si>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</si>
  <si>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</si>
  <si>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Embarked_S</t>
  </si>
  <si>
    <t>Embarked_C</t>
  </si>
  <si>
    <t>Embarked_Q</t>
  </si>
  <si>
    <t>Title</t>
  </si>
  <si>
    <t>Miss</t>
  </si>
  <si>
    <t>Mrs</t>
  </si>
  <si>
    <t>Mr</t>
  </si>
  <si>
    <t>Master</t>
  </si>
  <si>
    <t>Rare</t>
  </si>
  <si>
    <t>Don</t>
  </si>
  <si>
    <t>Rev</t>
  </si>
  <si>
    <t>Dr</t>
  </si>
  <si>
    <t>Mme</t>
  </si>
  <si>
    <t>Ms</t>
  </si>
  <si>
    <t>Major</t>
  </si>
  <si>
    <t>Lady</t>
  </si>
  <si>
    <t>Sir</t>
  </si>
  <si>
    <t>Mlle</t>
  </si>
  <si>
    <t>Col</t>
  </si>
  <si>
    <t>Capt</t>
  </si>
  <si>
    <t>the Countess</t>
  </si>
  <si>
    <t>Jonkheer</t>
  </si>
  <si>
    <t>Позначки рядків</t>
  </si>
  <si>
    <t>(пусто)</t>
  </si>
  <si>
    <t>Загальний підсумок</t>
  </si>
  <si>
    <t>Кількість з PassengerId</t>
  </si>
  <si>
    <t>Середнє з Age</t>
  </si>
  <si>
    <t>330911</t>
  </si>
  <si>
    <t>Wilkes, Mrs. James (Ellen Needs)</t>
  </si>
  <si>
    <t>363272</t>
  </si>
  <si>
    <t>Myles, Mr. Thomas Francis</t>
  </si>
  <si>
    <t>240276</t>
  </si>
  <si>
    <t>Wirz, Mr. Albert</t>
  </si>
  <si>
    <t>Hirvonen, Mrs. Alexander (Helga E Lindqvist)</t>
  </si>
  <si>
    <t>Svensson, Mr. Johan Cervin</t>
  </si>
  <si>
    <t>7538</t>
  </si>
  <si>
    <t>330972</t>
  </si>
  <si>
    <t>Caldwell, Mr. Albert Francis</t>
  </si>
  <si>
    <t>Abrahim, Mrs. Joseph (Sophie Halaut Easu)</t>
  </si>
  <si>
    <t>2657</t>
  </si>
  <si>
    <t>Davies, Mr. John Samuel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</si>
  <si>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</si>
  <si>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</si>
  <si>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</si>
  <si>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</si>
  <si>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</si>
  <si>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</si>
  <si>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</si>
  <si>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</si>
  <si>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</si>
  <si>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</si>
  <si>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del Carlo, Mrs. Sebastiano (Argenia Genovesi)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</si>
  <si>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</si>
  <si>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</si>
  <si>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</si>
  <si>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</si>
  <si>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</si>
  <si>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</si>
  <si>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</si>
  <si>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</si>
  <si>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</si>
  <si>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</si>
  <si>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</si>
  <si>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</si>
  <si>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</si>
  <si>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</si>
  <si>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</si>
  <si>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</si>
  <si>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</si>
  <si>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</si>
  <si>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</si>
  <si>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</si>
  <si>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</si>
  <si>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</si>
  <si>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</si>
  <si>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</si>
  <si>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</si>
  <si>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</si>
  <si>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</si>
  <si>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</si>
  <si>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</si>
  <si>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</si>
  <si>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</si>
  <si>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</si>
  <si>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</si>
  <si>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</si>
  <si>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</si>
  <si>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</si>
  <si>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</si>
  <si>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</si>
  <si>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</si>
  <si>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</si>
  <si>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Karun, Mr. Franz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</si>
  <si>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</si>
  <si>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</si>
  <si>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</si>
  <si>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</si>
  <si>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</si>
  <si>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</si>
  <si>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</si>
  <si>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</si>
  <si>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</si>
  <si>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</si>
  <si>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</si>
  <si>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</si>
  <si>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</si>
  <si>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</si>
  <si>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</si>
  <si>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</si>
  <si>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Coutts, Mrs. William (Winnie Minnie" Treanor)"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</si>
  <si>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</si>
  <si>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</si>
  <si>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</si>
  <si>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</si>
  <si>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</si>
  <si>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</si>
  <si>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</si>
  <si>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</si>
  <si>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</si>
  <si>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</si>
  <si>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</si>
  <si>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349230</t>
  </si>
  <si>
    <t>Abelseth, Mr. Olaus Jorgensen</t>
  </si>
  <si>
    <t>348122</t>
  </si>
  <si>
    <t>Davison, Mr. Thomas Henry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</si>
  <si>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</si>
  <si>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</si>
  <si>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</si>
  <si>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</si>
  <si>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</si>
  <si>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</si>
  <si>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</si>
  <si>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</si>
  <si>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</si>
  <si>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</si>
  <si>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</si>
  <si>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</si>
  <si>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</si>
  <si>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</si>
  <si>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</si>
  <si>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</si>
  <si>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</si>
  <si>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</si>
  <si>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</si>
  <si>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</si>
  <si>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</si>
  <si>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</si>
  <si>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</si>
  <si>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</si>
  <si>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</si>
  <si>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</si>
  <si>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</si>
  <si>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</si>
  <si>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</si>
  <si>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</si>
  <si>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</si>
  <si>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</si>
  <si>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</si>
  <si>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</si>
  <si>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</si>
  <si>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</si>
  <si>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</si>
  <si>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</si>
  <si>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</si>
  <si>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</si>
  <si>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</si>
  <si>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</si>
  <si>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Straus, Mr. Isidor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</si>
  <si>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</si>
  <si>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</si>
  <si>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</si>
  <si>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</si>
  <si>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</si>
  <si>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</si>
  <si>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</si>
  <si>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</si>
  <si>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</si>
  <si>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</si>
  <si>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</si>
  <si>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</si>
  <si>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</si>
  <si>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</si>
  <si>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</si>
  <si>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</si>
  <si>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</si>
  <si>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</si>
  <si>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</si>
  <si>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</si>
  <si>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</si>
  <si>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</si>
  <si>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</si>
  <si>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</si>
  <si>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</si>
  <si>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</si>
  <si>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</si>
  <si>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</si>
  <si>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</si>
  <si>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</si>
  <si>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</si>
  <si>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</si>
  <si>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</si>
  <si>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</si>
  <si>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</si>
  <si>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</si>
  <si>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</si>
  <si>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</si>
  <si>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Foley, Mr. William</t>
  </si>
  <si>
    <t>365235</t>
  </si>
  <si>
    <t>Johansson Palmquist, Mr. Oskar Leander</t>
  </si>
  <si>
    <t>347070</t>
  </si>
  <si>
    <t>Thomas, Mrs. Alexander (Thamine Thelma")"</t>
  </si>
  <si>
    <t>Holthen, Mr. Johan Martin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</si>
  <si>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</si>
  <si>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</si>
  <si>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</si>
  <si>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</si>
  <si>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</si>
  <si>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</si>
  <si>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</si>
  <si>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</si>
  <si>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</si>
  <si>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</si>
  <si>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</si>
  <si>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</si>
  <si>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</si>
  <si>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</si>
  <si>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</si>
  <si>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</si>
  <si>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</si>
  <si>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</si>
  <si>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</si>
  <si>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</si>
  <si>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Thomas, Mr. John</t>
  </si>
  <si>
    <t>2681</t>
  </si>
  <si>
    <t>Sandstrom, Miss. Beatrice Irene</t>
  </si>
  <si>
    <t>Beattie, Mr. Thomson</t>
  </si>
  <si>
    <t>13050</t>
  </si>
  <si>
    <t>C6</t>
  </si>
  <si>
    <t>Chapman, Mrs. John Henry (Sara Elizabeth Lawry)</t>
  </si>
  <si>
    <t>Watt, Miss. Bertha J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</si>
  <si>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</si>
  <si>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</si>
  <si>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</si>
  <si>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</si>
  <si>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</si>
  <si>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</si>
  <si>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</si>
  <si>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</si>
  <si>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</si>
  <si>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Brobeck, Mr. Karl Rudolf</t>
  </si>
  <si>
    <t>350045</t>
  </si>
  <si>
    <t>McCoy, Miss. Alicia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</si>
  <si>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</si>
  <si>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</si>
  <si>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</si>
  <si>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</si>
  <si>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</si>
  <si>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</si>
  <si>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</si>
  <si>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</si>
  <si>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</si>
  <si>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</si>
  <si>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</si>
  <si>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</si>
  <si>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</si>
  <si>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</si>
  <si>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</si>
  <si>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</si>
  <si>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</si>
  <si>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</si>
  <si>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</si>
  <si>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</si>
  <si>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</si>
  <si>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</si>
  <si>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</si>
  <si>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</si>
  <si>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</si>
  <si>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</si>
  <si>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</si>
  <si>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</si>
  <si>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17475</t>
  </si>
  <si>
    <t>Vander Planke, Mr. Julius</t>
  </si>
  <si>
    <t>Hilliard, Mr. Herbert Henry</t>
  </si>
  <si>
    <t>Davies, Mr. Evan</t>
  </si>
  <si>
    <t>SC/A4 23568</t>
  </si>
  <si>
    <t>Crafton, Mr. John Bertram</t>
  </si>
  <si>
    <t>113791</t>
  </si>
  <si>
    <t>Lahtinen, Rev. William</t>
  </si>
  <si>
    <t>Earnshaw, Mrs. Boulton (Olive Potter)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</si>
  <si>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</si>
  <si>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</si>
  <si>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</si>
  <si>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</si>
  <si>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</si>
  <si>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</si>
  <si>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</si>
  <si>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</si>
  <si>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</si>
  <si>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</si>
  <si>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</si>
  <si>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</si>
  <si>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</si>
  <si>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</si>
  <si>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</si>
  <si>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</si>
  <si>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</si>
  <si>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</si>
  <si>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</si>
  <si>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</si>
  <si>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</si>
  <si>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</si>
  <si>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</si>
  <si>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</si>
  <si>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</si>
  <si>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</si>
  <si>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</si>
  <si>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</si>
  <si>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</si>
  <si>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</si>
  <si>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</si>
  <si>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</si>
  <si>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</si>
  <si>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</si>
  <si>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</si>
  <si>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</si>
  <si>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</si>
  <si>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</si>
  <si>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</si>
  <si>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</si>
  <si>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</si>
  <si>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</si>
  <si>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</si>
  <si>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</si>
  <si>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</si>
  <si>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</si>
  <si>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</si>
  <si>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</si>
  <si>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</si>
  <si>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</si>
  <si>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</si>
  <si>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</si>
  <si>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</si>
  <si>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</si>
  <si>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</si>
  <si>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Lane, Mr. Patrick</t>
  </si>
  <si>
    <t>7935</t>
  </si>
  <si>
    <t>Douglas, Mrs. Frederick Charles (Mary Helene Baxter)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</si>
  <si>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</si>
  <si>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</si>
  <si>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</si>
  <si>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</si>
  <si>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</si>
  <si>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</si>
  <si>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</si>
  <si>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</si>
  <si>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28221</t>
  </si>
  <si>
    <t>Angle, Mr. William A</t>
  </si>
  <si>
    <t>Salomon, Mr. Abraham L</t>
  </si>
  <si>
    <t>111163</t>
  </si>
  <si>
    <t>van Billiard, Master. Walter John</t>
  </si>
  <si>
    <t>Lingane, Mr. John</t>
  </si>
  <si>
    <t>235509</t>
  </si>
  <si>
    <t>Drew, Master. Marshall Brines</t>
  </si>
  <si>
    <t>Karlsson, Mr. Julius Konrad Eugen</t>
  </si>
  <si>
    <t>347465</t>
  </si>
  <si>
    <t>Spedden, Master. Robert Douglas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</si>
  <si>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</si>
  <si>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</si>
  <si>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</si>
  <si>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</si>
  <si>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</si>
  <si>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</si>
  <si>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</si>
  <si>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</si>
  <si>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</si>
  <si>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</si>
  <si>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</si>
  <si>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</si>
  <si>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</si>
  <si>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</si>
  <si>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</si>
  <si>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</si>
  <si>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</si>
  <si>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</si>
  <si>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</si>
  <si>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</si>
  <si>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</si>
  <si>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</si>
  <si>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</si>
  <si>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</si>
  <si>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</si>
  <si>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</si>
  <si>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</si>
  <si>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</si>
  <si>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</si>
  <si>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</si>
  <si>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</si>
  <si>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</si>
  <si>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</si>
  <si>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</si>
  <si>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</si>
  <si>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</si>
  <si>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</si>
  <si>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</si>
  <si>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</si>
  <si>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</si>
  <si>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</si>
  <si>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</si>
  <si>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</si>
  <si>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</si>
  <si>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</si>
  <si>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</si>
  <si>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</si>
  <si>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</si>
  <si>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</si>
  <si>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</si>
  <si>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</si>
  <si>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Asplund, Mr. Johan Charles</t>
  </si>
  <si>
    <t>350054</t>
  </si>
  <si>
    <t>McNeill, Miss. Bridget</t>
  </si>
  <si>
    <t>370368</t>
  </si>
  <si>
    <t>Everett, Mr. Thomas James</t>
  </si>
  <si>
    <t>Hocking, Mr. Samuel James Metcalfe</t>
  </si>
  <si>
    <t>242963</t>
  </si>
  <si>
    <t>Sweet, Mr. George Frederick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</si>
  <si>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</si>
  <si>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</si>
  <si>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</si>
  <si>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</si>
  <si>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</si>
  <si>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</si>
  <si>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</si>
  <si>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Vendel, Mr. Olof Edvin</t>
  </si>
  <si>
    <t>350416</t>
  </si>
  <si>
    <t>Warren, Mr. Frank Manley</t>
  </si>
  <si>
    <t>Baccos, Mr. Raffull</t>
  </si>
  <si>
    <t>2679</t>
  </si>
  <si>
    <t>Hiltunen, Miss. Marta</t>
  </si>
  <si>
    <t>250650</t>
  </si>
  <si>
    <t>Douglas, Mrs. Walter Donald (Mahala Dutton)</t>
  </si>
  <si>
    <t>Lindstrom, Mrs. Carl Johan (Sigrid Posse)</t>
  </si>
  <si>
    <t>112377</t>
  </si>
  <si>
    <t>Christy, Mrs. (Alice Frances)</t>
  </si>
  <si>
    <t>Spedden, Mr. Frederic Oakley</t>
  </si>
  <si>
    <t>Hyman, Mr. Abraham</t>
  </si>
  <si>
    <t>3470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</si>
  <si>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</si>
  <si>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</si>
  <si>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</si>
  <si>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</si>
  <si>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</si>
  <si>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</si>
  <si>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</si>
  <si>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</si>
  <si>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</si>
  <si>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</si>
  <si>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</si>
  <si>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</si>
  <si>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</si>
  <si>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</si>
  <si>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</si>
  <si>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</si>
  <si>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</si>
  <si>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</si>
  <si>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</si>
  <si>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</si>
  <si>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</si>
  <si>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</si>
  <si>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</si>
  <si>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</si>
  <si>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</si>
  <si>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</si>
  <si>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</si>
  <si>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</si>
  <si>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</si>
  <si>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</si>
  <si>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</si>
  <si>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</si>
  <si>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</si>
  <si>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</si>
  <si>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</si>
  <si>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</si>
  <si>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</si>
  <si>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</si>
  <si>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</si>
  <si>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</si>
  <si>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</si>
  <si>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</si>
  <si>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</si>
  <si>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</si>
  <si>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</si>
  <si>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</si>
  <si>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</si>
  <si>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</si>
  <si>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Saade, Mr. Jean Nassr</t>
  </si>
  <si>
    <t>2676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</si>
  <si>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</si>
  <si>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</si>
  <si>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</si>
  <si>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</si>
  <si>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</si>
  <si>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</si>
  <si>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</si>
  <si>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</si>
  <si>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</si>
  <si>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</si>
  <si>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</si>
  <si>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</si>
  <si>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</si>
  <si>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</si>
  <si>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</si>
  <si>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</si>
  <si>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</si>
  <si>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</si>
  <si>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</si>
  <si>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</si>
  <si>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</si>
  <si>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</si>
  <si>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</si>
  <si>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</si>
  <si>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</si>
  <si>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</si>
  <si>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</si>
  <si>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</si>
  <si>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</si>
  <si>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</si>
  <si>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</si>
  <si>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</si>
  <si>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Wittevrongel, Mr. Camille</t>
  </si>
  <si>
    <t>345771</t>
  </si>
  <si>
    <t>Angheloff, Mr. Minko</t>
  </si>
  <si>
    <t>349202</t>
  </si>
  <si>
    <t>Laroche, Miss. Louise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</si>
  <si>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</si>
  <si>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</si>
  <si>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</si>
  <si>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</si>
  <si>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</si>
  <si>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</si>
  <si>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</si>
  <si>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</si>
  <si>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</si>
  <si>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</si>
  <si>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</si>
  <si>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</si>
  <si>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</si>
  <si>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</si>
  <si>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</si>
  <si>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</si>
  <si>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</si>
  <si>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</si>
  <si>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</si>
  <si>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</si>
  <si>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</si>
  <si>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</si>
  <si>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</si>
  <si>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</si>
  <si>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</si>
  <si>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</si>
  <si>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</si>
  <si>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</si>
  <si>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</si>
  <si>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</si>
  <si>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</si>
  <si>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</si>
  <si>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</si>
  <si>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</si>
  <si>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</si>
  <si>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</si>
  <si>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</si>
  <si>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</si>
  <si>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</si>
  <si>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</si>
  <si>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</si>
  <si>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</si>
  <si>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</si>
  <si>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</si>
  <si>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</si>
  <si>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Rowe, Mr. Alfred G</t>
  </si>
  <si>
    <t>113790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</si>
  <si>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</si>
  <si>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</si>
  <si>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</si>
  <si>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</si>
  <si>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</si>
  <si>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</si>
  <si>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</si>
  <si>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</si>
  <si>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</si>
  <si>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</si>
  <si>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</si>
  <si>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</si>
  <si>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</si>
  <si>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</si>
  <si>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</si>
  <si>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</si>
  <si>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</si>
  <si>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</si>
  <si>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</si>
  <si>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</si>
  <si>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</si>
  <si>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</si>
  <si>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</si>
  <si>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</si>
  <si>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</si>
  <si>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</si>
  <si>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</si>
  <si>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</si>
  <si>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</si>
  <si>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</si>
  <si>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</si>
  <si>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</si>
  <si>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</si>
  <si>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</si>
  <si>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</si>
  <si>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</si>
  <si>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</si>
  <si>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</si>
  <si>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</si>
  <si>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</si>
  <si>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</si>
  <si>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</si>
  <si>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</si>
  <si>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</si>
  <si>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</si>
  <si>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</si>
  <si>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</si>
  <si>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</si>
  <si>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</si>
  <si>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</si>
  <si>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</si>
  <si>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</si>
  <si>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Lockyer, Mr. Edward</t>
  </si>
  <si>
    <t>1222</t>
  </si>
  <si>
    <t>O'Keefe, Mr. Patrick</t>
  </si>
  <si>
    <t>368402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</si>
  <si>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</si>
  <si>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</si>
  <si>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</si>
  <si>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</si>
  <si>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</si>
  <si>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315083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</si>
  <si>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</si>
  <si>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</si>
  <si>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</si>
  <si>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</si>
  <si>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</si>
  <si>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</si>
  <si>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</si>
  <si>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</si>
  <si>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</si>
  <si>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</si>
  <si>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</si>
  <si>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</si>
  <si>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</si>
  <si>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</si>
  <si>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</si>
  <si>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</si>
  <si>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</si>
  <si>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</si>
  <si>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</si>
  <si>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</si>
  <si>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</si>
  <si>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</si>
  <si>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</si>
  <si>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</si>
  <si>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</si>
  <si>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</si>
  <si>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</si>
  <si>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</si>
  <si>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</si>
  <si>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</si>
  <si>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</si>
  <si>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</si>
  <si>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</si>
  <si>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</si>
  <si>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</si>
  <si>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</si>
  <si>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</si>
  <si>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</si>
  <si>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</si>
  <si>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</si>
  <si>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</si>
  <si>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</si>
  <si>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</si>
  <si>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</si>
  <si>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</si>
  <si>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</si>
  <si>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</si>
  <si>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</si>
  <si>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</si>
  <si>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</si>
  <si>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</si>
  <si>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</si>
  <si>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</si>
  <si>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</si>
  <si>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</si>
  <si>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</si>
  <si>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</si>
  <si>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</si>
  <si>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</si>
  <si>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</si>
  <si>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</si>
  <si>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</si>
  <si>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</si>
  <si>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</si>
  <si>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</si>
  <si>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</si>
  <si>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</si>
  <si>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</si>
  <si>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</si>
  <si>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</si>
  <si>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</si>
  <si>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</si>
  <si>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</si>
  <si>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</si>
  <si>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</si>
  <si>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</si>
  <si>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Henriksson, Miss. Jenny Lovisa</t>
  </si>
  <si>
    <t>347086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</si>
  <si>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</si>
  <si>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</si>
  <si>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</si>
  <si>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</si>
  <si>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</si>
  <si>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</si>
  <si>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</si>
  <si>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</si>
  <si>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</si>
  <si>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Dona</t>
  </si>
  <si>
    <t>z</t>
  </si>
  <si>
    <t>b0</t>
  </si>
  <si>
    <t>p</t>
  </si>
  <si>
    <t>log loss</t>
  </si>
  <si>
    <t>sum 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</si>
</sst>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EA61CC8D-9DF9-4EEA-BDDA-8DEB1F55B371}">
          <cx:tx>
            <cx:txData>
              <cx:f>_xlchart.v1.2</cx:f>
              <cx:v>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16</xdr:row>
      <xdr:rowOff>14817</xdr:rowOff>
    </xdr:from>
    <xdr:to>
      <xdr:col>32</xdr:col>
      <xdr:colOff>275167</xdr:colOff>
      <xdr:row>30</xdr:row>
      <xdr:rowOff>91017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іаграма 1">
              <a:extLst>
                <a:ext uri="{FF2B5EF4-FFF2-40B4-BE49-F238E27FC236}">
                  <a16:creationId xmlns:a16="http://schemas.microsoft.com/office/drawing/2014/main" id="{86485005-C297-412F-BBAD-EA58E75AD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7250" y="306281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SS" refreshedDate="46028.569338773152" createdVersion="7" refreshedVersion="7" minRefreshableVersion="3" recordCount="891" xr:uid="{00000000-000A-0000-FFFF-FFFF08000000}">
  <cacheSource type="worksheet">
    <worksheetSource name="train"/>
  </cacheSource>
  <cacheFields count="21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ntainsSemiMixedTypes="0" containsString="0" containsNumber="1" containsInteger="1" minValue="0" maxValue="1"/>
    </cacheField>
    <cacheField name="Age" numFmtId="0">
      <sharedItems containsString="0" containsBlank="1" containsNumber="1" containsInteger="1" minValue="1" maxValue="80" count="71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5"/>
        <n v="11"/>
        <n v="45"/>
        <n v="17"/>
        <n v="32"/>
        <n v="16"/>
        <n v="25"/>
        <n v="30"/>
        <n v="33"/>
        <n v="23"/>
        <n v="24"/>
        <n v="46"/>
        <n v="59"/>
        <n v="71"/>
        <n v="37"/>
        <n v="47"/>
        <n v="12"/>
        <n v="9"/>
        <n v="51"/>
        <n v="44"/>
        <n v="1"/>
        <n v="61"/>
        <n v="56"/>
        <n v="50"/>
        <n v="36"/>
        <n v="62"/>
        <n v="41"/>
        <n v="52"/>
        <n v="63"/>
        <n v="43"/>
        <n v="60"/>
        <n v="10"/>
        <n v="64"/>
        <n v="13"/>
        <n v="48"/>
        <n v="53"/>
        <n v="57"/>
        <n v="80"/>
        <n v="70"/>
        <n v="6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/>
    </cacheField>
    <cacheField name="Fare" numFmtId="0">
      <sharedItems containsSemiMixedTypes="0" containsString="0" containsNumber="1" minValue="0" maxValue="512.32920000000001"/>
    </cacheField>
    <cacheField name="Cabin" numFmtId="0">
      <sharedItems/>
    </cacheField>
    <cacheField name="Embarked" numFmtId="0">
      <sharedItems/>
    </cacheField>
    <cacheField name="Embarked_S" numFmtId="0">
      <sharedItems containsSemiMixedTypes="0" containsString="0" containsNumber="1" containsInteger="1" minValue="0" maxValue="1"/>
    </cacheField>
    <cacheField name="Embarked_C" numFmtId="0">
      <sharedItems containsSemiMixedTypes="0" containsString="0" containsNumber="1" containsInteger="1" minValue="0" maxValue="1"/>
    </cacheField>
    <cacheField name="Embarked_Q" numFmtId="0">
      <sharedItems containsSemiMixedTypes="0" containsString="0" containsNumber="1" containsInteger="1" minValue="0" maxValue="1"/>
    </cacheField>
    <cacheField name="Title" numFmtId="0">
      <sharedItems count="17">
        <s v="Mr"/>
        <s v="Mrs"/>
        <s v="Miss"/>
        <s v="Master"/>
        <s v="Don"/>
        <s v="Rev"/>
        <s v="Dr"/>
        <s v="Mme"/>
        <s v="Ms"/>
        <s v="Major"/>
        <s v="Lady"/>
        <s v="Sir"/>
        <s v="Mlle"/>
        <s v="Col"/>
        <s v="Capt"/>
        <s v="the Countess"/>
        <s v="Jonkheer"/>
      </sharedItems>
    </cacheField>
    <cacheField name="Miss" numFmtId="0">
      <sharedItems containsSemiMixedTypes="0" containsString="0" containsNumber="1" containsInteger="1" minValue="0" maxValue="1"/>
    </cacheField>
    <cacheField name="Mrs" numFmtId="0">
      <sharedItems containsSemiMixedTypes="0" containsString="0" containsNumber="1" containsInteger="1" minValue="0" maxValue="1"/>
    </cacheField>
    <cacheField name="Mr" numFmtId="0">
      <sharedItems containsSemiMixedTypes="0" containsString="0" containsNumber="1" containsInteger="1" minValue="0" maxValue="1"/>
    </cacheField>
    <cacheField name="Master" numFmtId="0">
      <sharedItems containsSemiMixedTypes="0" containsString="0" containsNumber="1" containsInteger="1" minValue="0" maxValue="1"/>
    </cacheField>
    <cacheField name="Rar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SS" refreshedDate="46028.570407175925" createdVersion="7" refreshedVersion="7" minRefreshableVersion="3" recordCount="892" xr:uid="{00000000-000A-0000-FFFF-FFFF0A000000}">
  <cacheSource type="worksheet">
    <worksheetSource ref="A1:U1048576" sheet="train"/>
  </cacheSource>
  <cacheFields count="21">
    <cacheField name="PassengerId" numFmtId="0">
      <sharedItems containsString="0" containsBlank="1" containsNumber="1" containsInteger="1" minValue="1" maxValue="891"/>
    </cacheField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/>
    </cacheField>
    <cacheField name="Name" numFmtId="0">
      <sharedItems containsBlank="1"/>
    </cacheField>
    <cacheField name="Sex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1" maxValue="80" count="71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5"/>
        <n v="11"/>
        <n v="45"/>
        <n v="17"/>
        <n v="32"/>
        <n v="16"/>
        <n v="25"/>
        <n v="30"/>
        <n v="33"/>
        <n v="23"/>
        <n v="24"/>
        <n v="46"/>
        <n v="59"/>
        <n v="71"/>
        <n v="37"/>
        <n v="47"/>
        <n v="12"/>
        <n v="9"/>
        <n v="51"/>
        <n v="44"/>
        <n v="1"/>
        <n v="61"/>
        <n v="56"/>
        <n v="50"/>
        <n v="36"/>
        <n v="62"/>
        <n v="41"/>
        <n v="52"/>
        <n v="63"/>
        <n v="43"/>
        <n v="60"/>
        <n v="10"/>
        <n v="64"/>
        <n v="13"/>
        <n v="48"/>
        <n v="53"/>
        <n v="57"/>
        <n v="80"/>
        <n v="70"/>
        <n v="6"/>
        <n v="74"/>
      </sharedItems>
    </cacheField>
    <cacheField name="SibSp" numFmtId="0">
      <sharedItems containsString="0" containsBlank="1" containsNumber="1" containsInteger="1" minValue="0" maxValue="8"/>
    </cacheField>
    <cacheField name="Parch" numFmtId="0">
      <sharedItems containsString="0" containsBlank="1" containsNumber="1" containsInteger="1" minValue="0" maxValue="6"/>
    </cacheField>
    <cacheField name="Ticket" numFmtId="0">
      <sharedItems containsBlank="1"/>
    </cacheField>
    <cacheField name="Fare" numFmtId="0">
      <sharedItems containsString="0" containsBlank="1" containsNumber="1" minValue="0" maxValue="512.32920000000001"/>
    </cacheField>
    <cacheField name="Cabin" numFmtId="0">
      <sharedItems containsBlank="1"/>
    </cacheField>
    <cacheField name="Embarked" numFmtId="0">
      <sharedItems containsBlank="1" count="5">
        <s v="S"/>
        <s v="C"/>
        <s v="Q"/>
        <s v=""/>
        <m/>
      </sharedItems>
    </cacheField>
    <cacheField name="Embarked_S" numFmtId="0">
      <sharedItems containsString="0" containsBlank="1" containsNumber="1" containsInteger="1" minValue="0" maxValue="1"/>
    </cacheField>
    <cacheField name="Embarked_C" numFmtId="0">
      <sharedItems containsString="0" containsBlank="1" containsNumber="1" containsInteger="1" minValue="0" maxValue="1"/>
    </cacheField>
    <cacheField name="Embarked_Q" numFmtId="0">
      <sharedItems containsString="0" containsBlank="1" containsNumber="1" containsInteger="1" minValue="0" maxValue="1"/>
    </cacheField>
    <cacheField name="Title" numFmtId="0">
      <sharedItems containsBlank="1" count="18">
        <s v="Mr"/>
        <s v="Mrs"/>
        <s v="Miss"/>
        <s v="Master"/>
        <s v="Don"/>
        <s v="Rev"/>
        <s v="Dr"/>
        <s v="Mme"/>
        <s v="Ms"/>
        <s v="Major"/>
        <s v="Lady"/>
        <s v="Sir"/>
        <s v="Mlle"/>
        <s v="Col"/>
        <s v="Capt"/>
        <s v="the Countess"/>
        <s v="Jonkheer"/>
        <m/>
      </sharedItems>
    </cacheField>
    <cacheField name="Miss" numFmtId="0">
      <sharedItems containsString="0" containsBlank="1" containsNumber="1" containsInteger="1" minValue="0" maxValue="1"/>
    </cacheField>
    <cacheField name="Mrs" numFmtId="0">
      <sharedItems containsString="0" containsBlank="1" containsNumber="1" containsInteger="1" minValue="0" maxValue="1"/>
    </cacheField>
    <cacheField name="Mr" numFmtId="0">
      <sharedItems containsString="0" containsBlank="1" containsNumber="1" containsInteger="1" minValue="0" maxValue="1"/>
    </cacheField>
    <cacheField name="Master" numFmtId="0">
      <sharedItems containsString="0" containsBlank="1" containsNumber="1" containsInteger="1" minValue="0" maxValue="1"/>
    </cacheField>
    <cacheField name="Rar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n v="1"/>
    <n v="0"/>
    <n v="3"/>
    <s v="Braund, Mr. Owen Harris"/>
    <n v="0"/>
    <x v="0"/>
    <n v="1"/>
    <n v="0"/>
    <s v="A/5 21171"/>
    <n v="7.25"/>
    <s v=""/>
    <s v="S"/>
    <n v="1"/>
    <n v="0"/>
    <n v="0"/>
    <x v="0"/>
    <n v="0"/>
    <n v="0"/>
    <n v="1"/>
    <n v="0"/>
    <n v="0"/>
  </r>
  <r>
    <n v="2"/>
    <n v="1"/>
    <n v="1"/>
    <s v="Cumings, Mrs. John Bradley (Florence Briggs Thayer)"/>
    <n v="1"/>
    <x v="1"/>
    <n v="1"/>
    <n v="0"/>
    <s v="PC 17599"/>
    <n v="71.283299999999997"/>
    <s v="C85"/>
    <s v="C"/>
    <n v="0"/>
    <n v="1"/>
    <n v="0"/>
    <x v="1"/>
    <n v="0"/>
    <n v="1"/>
    <n v="0"/>
    <n v="0"/>
    <n v="0"/>
  </r>
  <r>
    <n v="3"/>
    <n v="1"/>
    <n v="3"/>
    <s v="Heikkinen, Miss. Laina"/>
    <n v="1"/>
    <x v="2"/>
    <n v="0"/>
    <n v="0"/>
    <s v="STON/O2. 3101282"/>
    <n v="7.9249999999999998"/>
    <s v=""/>
    <s v="S"/>
    <n v="1"/>
    <n v="0"/>
    <n v="0"/>
    <x v="2"/>
    <n v="1"/>
    <n v="0"/>
    <n v="0"/>
    <n v="0"/>
    <n v="0"/>
  </r>
  <r>
    <n v="4"/>
    <n v="1"/>
    <n v="1"/>
    <s v="Futrelle, Mrs. Jacques Heath (Lily May Peel)"/>
    <n v="1"/>
    <x v="3"/>
    <n v="1"/>
    <n v="0"/>
    <s v="113803"/>
    <n v="53.1"/>
    <s v="C123"/>
    <s v="S"/>
    <n v="1"/>
    <n v="0"/>
    <n v="0"/>
    <x v="1"/>
    <n v="0"/>
    <n v="1"/>
    <n v="0"/>
    <n v="0"/>
    <n v="0"/>
  </r>
  <r>
    <n v="5"/>
    <n v="0"/>
    <n v="3"/>
    <s v="Allen, Mr. William Henry"/>
    <n v="0"/>
    <x v="3"/>
    <n v="0"/>
    <n v="0"/>
    <s v="373450"/>
    <n v="8.0500000000000007"/>
    <s v=""/>
    <s v="S"/>
    <n v="1"/>
    <n v="0"/>
    <n v="0"/>
    <x v="0"/>
    <n v="0"/>
    <n v="0"/>
    <n v="1"/>
    <n v="0"/>
    <n v="0"/>
  </r>
  <r>
    <n v="6"/>
    <n v="0"/>
    <n v="3"/>
    <s v="Moran, Mr. James"/>
    <n v="0"/>
    <x v="4"/>
    <n v="0"/>
    <n v="0"/>
    <s v="330877"/>
    <n v="8.4582999999999995"/>
    <s v=""/>
    <s v="Q"/>
    <n v="0"/>
    <n v="0"/>
    <n v="1"/>
    <x v="0"/>
    <n v="0"/>
    <n v="0"/>
    <n v="1"/>
    <n v="0"/>
    <n v="0"/>
  </r>
  <r>
    <n v="7"/>
    <n v="0"/>
    <n v="1"/>
    <s v="McCarthy, Mr. Timothy J"/>
    <n v="0"/>
    <x v="5"/>
    <n v="0"/>
    <n v="0"/>
    <s v="17463"/>
    <n v="51.862499999999997"/>
    <s v="E46"/>
    <s v="S"/>
    <n v="1"/>
    <n v="0"/>
    <n v="0"/>
    <x v="0"/>
    <n v="0"/>
    <n v="0"/>
    <n v="1"/>
    <n v="0"/>
    <n v="0"/>
  </r>
  <r>
    <n v="8"/>
    <n v="0"/>
    <n v="3"/>
    <s v="Palsson, Master. Gosta Leonard"/>
    <n v="0"/>
    <x v="6"/>
    <n v="3"/>
    <n v="1"/>
    <s v="349909"/>
    <n v="21.074999999999999"/>
    <s v=""/>
    <s v="S"/>
    <n v="1"/>
    <n v="0"/>
    <n v="0"/>
    <x v="3"/>
    <n v="0"/>
    <n v="0"/>
    <n v="0"/>
    <n v="1"/>
    <n v="0"/>
  </r>
  <r>
    <n v="9"/>
    <n v="1"/>
    <n v="3"/>
    <s v="Johnson, Mrs. Oscar W (Elisabeth Vilhelmina Berg)"/>
    <n v="1"/>
    <x v="7"/>
    <n v="0"/>
    <n v="2"/>
    <s v="347742"/>
    <n v="11.1333"/>
    <s v=""/>
    <s v="S"/>
    <n v="1"/>
    <n v="0"/>
    <n v="0"/>
    <x v="1"/>
    <n v="0"/>
    <n v="1"/>
    <n v="0"/>
    <n v="0"/>
    <n v="0"/>
  </r>
  <r>
    <n v="10"/>
    <n v="1"/>
    <n v="2"/>
    <s v="Nasser, Mrs. Nicholas (Adele Achem)"/>
    <n v="1"/>
    <x v="8"/>
    <n v="1"/>
    <n v="0"/>
    <s v="237736"/>
    <n v="30.070799999999998"/>
    <s v=""/>
    <s v="C"/>
    <n v="0"/>
    <n v="1"/>
    <n v="0"/>
    <x v="1"/>
    <n v="0"/>
    <n v="1"/>
    <n v="0"/>
    <n v="0"/>
    <n v="0"/>
  </r>
  <r>
    <n v="11"/>
    <n v="1"/>
    <n v="3"/>
    <s v="Sandstrom, Miss. Marguerite Rut"/>
    <n v="1"/>
    <x v="9"/>
    <n v="1"/>
    <n v="1"/>
    <s v="PP 9549"/>
    <n v="16.7"/>
    <s v="G6"/>
    <s v="S"/>
    <n v="1"/>
    <n v="0"/>
    <n v="0"/>
    <x v="2"/>
    <n v="1"/>
    <n v="0"/>
    <n v="0"/>
    <n v="0"/>
    <n v="0"/>
  </r>
  <r>
    <n v="12"/>
    <n v="1"/>
    <n v="1"/>
    <s v="Bonnell, Miss. Elizabeth"/>
    <n v="1"/>
    <x v="10"/>
    <n v="0"/>
    <n v="0"/>
    <s v="113783"/>
    <n v="26.55"/>
    <s v="C103"/>
    <s v="S"/>
    <n v="1"/>
    <n v="0"/>
    <n v="0"/>
    <x v="2"/>
    <n v="1"/>
    <n v="0"/>
    <n v="0"/>
    <n v="0"/>
    <n v="0"/>
  </r>
  <r>
    <n v="13"/>
    <n v="0"/>
    <n v="3"/>
    <s v="Saundercock, Mr. William Henry"/>
    <n v="0"/>
    <x v="11"/>
    <n v="0"/>
    <n v="0"/>
    <s v="A/5. 2151"/>
    <n v="8.0500000000000007"/>
    <s v=""/>
    <s v="S"/>
    <n v="1"/>
    <n v="0"/>
    <n v="0"/>
    <x v="0"/>
    <n v="0"/>
    <n v="0"/>
    <n v="1"/>
    <n v="0"/>
    <n v="0"/>
  </r>
  <r>
    <n v="14"/>
    <n v="0"/>
    <n v="3"/>
    <s v="Andersson, Mr. Anders Johan"/>
    <n v="0"/>
    <x v="12"/>
    <n v="1"/>
    <n v="5"/>
    <s v="347082"/>
    <n v="31.274999999999999"/>
    <s v=""/>
    <s v="S"/>
    <n v="1"/>
    <n v="0"/>
    <n v="0"/>
    <x v="0"/>
    <n v="0"/>
    <n v="0"/>
    <n v="1"/>
    <n v="0"/>
    <n v="0"/>
  </r>
  <r>
    <n v="15"/>
    <n v="0"/>
    <n v="3"/>
    <s v="Vestrom, Miss. Hulda Amanda Adolfina"/>
    <n v="1"/>
    <x v="8"/>
    <n v="0"/>
    <n v="0"/>
    <s v="350406"/>
    <n v="7.8541999999999996"/>
    <s v=""/>
    <s v="S"/>
    <n v="1"/>
    <n v="0"/>
    <n v="0"/>
    <x v="2"/>
    <n v="1"/>
    <n v="0"/>
    <n v="0"/>
    <n v="0"/>
    <n v="0"/>
  </r>
  <r>
    <n v="16"/>
    <n v="1"/>
    <n v="2"/>
    <s v="Hewlett, Mrs. (Mary D Kingcome) "/>
    <n v="1"/>
    <x v="13"/>
    <n v="0"/>
    <n v="0"/>
    <s v="248706"/>
    <n v="16"/>
    <s v=""/>
    <s v="S"/>
    <n v="1"/>
    <n v="0"/>
    <n v="0"/>
    <x v="1"/>
    <n v="0"/>
    <n v="1"/>
    <n v="0"/>
    <n v="0"/>
    <n v="0"/>
  </r>
  <r>
    <n v="17"/>
    <n v="0"/>
    <n v="3"/>
    <s v="Rice, Master. Eugene"/>
    <n v="0"/>
    <x v="6"/>
    <n v="4"/>
    <n v="1"/>
    <s v="382652"/>
    <n v="29.125"/>
    <s v=""/>
    <s v="Q"/>
    <n v="0"/>
    <n v="0"/>
    <n v="1"/>
    <x v="3"/>
    <n v="0"/>
    <n v="0"/>
    <n v="0"/>
    <n v="1"/>
    <n v="0"/>
  </r>
  <r>
    <n v="18"/>
    <n v="1"/>
    <n v="2"/>
    <s v="Williams, Mr. Charles Eugene"/>
    <n v="0"/>
    <x v="4"/>
    <n v="0"/>
    <n v="0"/>
    <s v="244373"/>
    <n v="13"/>
    <s v=""/>
    <s v="S"/>
    <n v="1"/>
    <n v="0"/>
    <n v="0"/>
    <x v="0"/>
    <n v="0"/>
    <n v="0"/>
    <n v="1"/>
    <n v="0"/>
    <n v="0"/>
  </r>
  <r>
    <n v="19"/>
    <n v="0"/>
    <n v="3"/>
    <s v="Vander Planke, Mrs. Julius (Emelia Maria Vandemoortele)"/>
    <n v="1"/>
    <x v="14"/>
    <n v="1"/>
    <n v="0"/>
    <s v="345763"/>
    <n v="18"/>
    <s v=""/>
    <s v="S"/>
    <n v="1"/>
    <n v="0"/>
    <n v="0"/>
    <x v="1"/>
    <n v="0"/>
    <n v="1"/>
    <n v="0"/>
    <n v="0"/>
    <n v="0"/>
  </r>
  <r>
    <n v="20"/>
    <n v="1"/>
    <n v="3"/>
    <s v="Masselmani, Mrs. Fatima"/>
    <n v="1"/>
    <x v="4"/>
    <n v="0"/>
    <n v="0"/>
    <s v="2649"/>
    <n v="7.2249999999999996"/>
    <s v=""/>
    <s v="C"/>
    <n v="0"/>
    <n v="1"/>
    <n v="0"/>
    <x v="1"/>
    <n v="0"/>
    <n v="1"/>
    <n v="0"/>
    <n v="0"/>
    <n v="0"/>
  </r>
  <r>
    <n v="21"/>
    <n v="0"/>
    <n v="2"/>
    <s v="Fynney, Mr. Joseph J"/>
    <n v="0"/>
    <x v="3"/>
    <n v="0"/>
    <n v="0"/>
    <s v="239865"/>
    <n v="26"/>
    <s v=""/>
    <s v="S"/>
    <n v="1"/>
    <n v="0"/>
    <n v="0"/>
    <x v="0"/>
    <n v="0"/>
    <n v="0"/>
    <n v="1"/>
    <n v="0"/>
    <n v="0"/>
  </r>
  <r>
    <n v="22"/>
    <n v="1"/>
    <n v="2"/>
    <s v="Beesley, Mr. Lawrence"/>
    <n v="0"/>
    <x v="15"/>
    <n v="0"/>
    <n v="0"/>
    <s v="248698"/>
    <n v="13"/>
    <s v="D56"/>
    <s v="S"/>
    <n v="1"/>
    <n v="0"/>
    <n v="0"/>
    <x v="0"/>
    <n v="0"/>
    <n v="0"/>
    <n v="1"/>
    <n v="0"/>
    <n v="0"/>
  </r>
  <r>
    <n v="23"/>
    <n v="1"/>
    <n v="3"/>
    <s v="McGowan, Miss. Anna &quot;Annie&quot;"/>
    <n v="1"/>
    <x v="16"/>
    <n v="0"/>
    <n v="0"/>
    <s v="330923"/>
    <n v="8.0291999999999994"/>
    <s v=""/>
    <s v="Q"/>
    <n v="0"/>
    <n v="0"/>
    <n v="1"/>
    <x v="2"/>
    <n v="1"/>
    <n v="0"/>
    <n v="0"/>
    <n v="0"/>
    <n v="0"/>
  </r>
  <r>
    <n v="24"/>
    <n v="1"/>
    <n v="1"/>
    <s v="Sloper, Mr. William Thompson"/>
    <n v="0"/>
    <x v="17"/>
    <n v="0"/>
    <n v="0"/>
    <s v="113788"/>
    <n v="35.5"/>
    <s v="A6"/>
    <s v="S"/>
    <n v="1"/>
    <n v="0"/>
    <n v="0"/>
    <x v="0"/>
    <n v="0"/>
    <n v="0"/>
    <n v="1"/>
    <n v="0"/>
    <n v="0"/>
  </r>
  <r>
    <n v="25"/>
    <n v="0"/>
    <n v="3"/>
    <s v="Palsson, Miss. Torborg Danira"/>
    <n v="1"/>
    <x v="18"/>
    <n v="3"/>
    <n v="1"/>
    <s v="349909"/>
    <n v="21.074999999999999"/>
    <s v=""/>
    <s v="S"/>
    <n v="1"/>
    <n v="0"/>
    <n v="0"/>
    <x v="2"/>
    <n v="1"/>
    <n v="0"/>
    <n v="0"/>
    <n v="0"/>
    <n v="0"/>
  </r>
  <r>
    <n v="26"/>
    <n v="1"/>
    <n v="3"/>
    <s v="Asplund, Mrs. Carl Oscar (Selma Augusta Emilia Johansson)"/>
    <n v="1"/>
    <x v="1"/>
    <n v="1"/>
    <n v="5"/>
    <s v="347077"/>
    <n v="31.387499999999999"/>
    <s v=""/>
    <s v="S"/>
    <n v="1"/>
    <n v="0"/>
    <n v="0"/>
    <x v="1"/>
    <n v="0"/>
    <n v="1"/>
    <n v="0"/>
    <n v="0"/>
    <n v="0"/>
  </r>
  <r>
    <n v="27"/>
    <n v="0"/>
    <n v="3"/>
    <s v="Emir, Mr. Farred Chehab"/>
    <n v="0"/>
    <x v="4"/>
    <n v="0"/>
    <n v="0"/>
    <s v="2631"/>
    <n v="7.2249999999999996"/>
    <s v=""/>
    <s v="C"/>
    <n v="0"/>
    <n v="1"/>
    <n v="0"/>
    <x v="0"/>
    <n v="0"/>
    <n v="0"/>
    <n v="1"/>
    <n v="0"/>
    <n v="0"/>
  </r>
  <r>
    <n v="28"/>
    <n v="0"/>
    <n v="1"/>
    <s v="Fortune, Mr. Charles Alexander"/>
    <n v="0"/>
    <x v="19"/>
    <n v="3"/>
    <n v="2"/>
    <s v="19950"/>
    <n v="263"/>
    <s v="C23 C25 C27"/>
    <s v="S"/>
    <n v="1"/>
    <n v="0"/>
    <n v="0"/>
    <x v="0"/>
    <n v="0"/>
    <n v="0"/>
    <n v="1"/>
    <n v="0"/>
    <n v="0"/>
  </r>
  <r>
    <n v="29"/>
    <n v="1"/>
    <n v="3"/>
    <s v="O'Dwyer, Miss. Ellen &quot;Nellie&quot;"/>
    <n v="1"/>
    <x v="4"/>
    <n v="0"/>
    <n v="0"/>
    <s v="330959"/>
    <n v="7.8792"/>
    <s v=""/>
    <s v="Q"/>
    <n v="0"/>
    <n v="0"/>
    <n v="1"/>
    <x v="2"/>
    <n v="1"/>
    <n v="0"/>
    <n v="0"/>
    <n v="0"/>
    <n v="0"/>
  </r>
  <r>
    <n v="30"/>
    <n v="0"/>
    <n v="3"/>
    <s v="Todoroff, Mr. Lalio"/>
    <n v="0"/>
    <x v="4"/>
    <n v="0"/>
    <n v="0"/>
    <s v="349216"/>
    <n v="7.8958000000000004"/>
    <s v=""/>
    <s v="S"/>
    <n v="1"/>
    <n v="0"/>
    <n v="0"/>
    <x v="0"/>
    <n v="0"/>
    <n v="0"/>
    <n v="1"/>
    <n v="0"/>
    <n v="0"/>
  </r>
  <r>
    <n v="31"/>
    <n v="0"/>
    <n v="1"/>
    <s v="Uruchurtu, Don. Manuel E"/>
    <n v="0"/>
    <x v="20"/>
    <n v="0"/>
    <n v="0"/>
    <s v="PC 17601"/>
    <n v="27.720800000000001"/>
    <s v=""/>
    <s v="C"/>
    <n v="0"/>
    <n v="1"/>
    <n v="0"/>
    <x v="4"/>
    <n v="0"/>
    <n v="0"/>
    <n v="0"/>
    <n v="0"/>
    <n v="1"/>
  </r>
  <r>
    <n v="32"/>
    <n v="1"/>
    <n v="1"/>
    <s v="Spencer, Mrs. William Augustus (Marie Eugenie)"/>
    <n v="1"/>
    <x v="4"/>
    <n v="1"/>
    <n v="0"/>
    <s v="PC 17569"/>
    <n v="146.52080000000001"/>
    <s v="B78"/>
    <s v="C"/>
    <n v="0"/>
    <n v="1"/>
    <n v="0"/>
    <x v="1"/>
    <n v="0"/>
    <n v="1"/>
    <n v="0"/>
    <n v="0"/>
    <n v="0"/>
  </r>
  <r>
    <n v="33"/>
    <n v="1"/>
    <n v="3"/>
    <s v="Glynn, Miss. Mary Agatha"/>
    <n v="1"/>
    <x v="4"/>
    <n v="0"/>
    <n v="0"/>
    <s v="335677"/>
    <n v="7.75"/>
    <s v=""/>
    <s v="Q"/>
    <n v="0"/>
    <n v="0"/>
    <n v="1"/>
    <x v="2"/>
    <n v="1"/>
    <n v="0"/>
    <n v="0"/>
    <n v="0"/>
    <n v="0"/>
  </r>
  <r>
    <n v="34"/>
    <n v="0"/>
    <n v="2"/>
    <s v="Wheadon, Mr. Edward H"/>
    <n v="0"/>
    <x v="21"/>
    <n v="0"/>
    <n v="0"/>
    <s v="C.A. 24579"/>
    <n v="10.5"/>
    <s v=""/>
    <s v="S"/>
    <n v="1"/>
    <n v="0"/>
    <n v="0"/>
    <x v="0"/>
    <n v="0"/>
    <n v="0"/>
    <n v="1"/>
    <n v="0"/>
    <n v="0"/>
  </r>
  <r>
    <n v="35"/>
    <n v="0"/>
    <n v="1"/>
    <s v="Meyer, Mr. Edgar Joseph"/>
    <n v="0"/>
    <x v="17"/>
    <n v="1"/>
    <n v="0"/>
    <s v="PC 17604"/>
    <n v="82.1708"/>
    <s v=""/>
    <s v="C"/>
    <n v="0"/>
    <n v="1"/>
    <n v="0"/>
    <x v="0"/>
    <n v="0"/>
    <n v="0"/>
    <n v="1"/>
    <n v="0"/>
    <n v="0"/>
  </r>
  <r>
    <n v="36"/>
    <n v="0"/>
    <n v="1"/>
    <s v="Holverson, Mr. Alexander Oskar"/>
    <n v="0"/>
    <x v="22"/>
    <n v="1"/>
    <n v="0"/>
    <s v="113789"/>
    <n v="52"/>
    <s v=""/>
    <s v="S"/>
    <n v="1"/>
    <n v="0"/>
    <n v="0"/>
    <x v="0"/>
    <n v="0"/>
    <n v="0"/>
    <n v="1"/>
    <n v="0"/>
    <n v="0"/>
  </r>
  <r>
    <n v="37"/>
    <n v="1"/>
    <n v="3"/>
    <s v="Mamee, Mr. Hanna"/>
    <n v="0"/>
    <x v="4"/>
    <n v="0"/>
    <n v="0"/>
    <s v="2677"/>
    <n v="7.2291999999999996"/>
    <s v=""/>
    <s v="C"/>
    <n v="0"/>
    <n v="1"/>
    <n v="0"/>
    <x v="0"/>
    <n v="0"/>
    <n v="0"/>
    <n v="1"/>
    <n v="0"/>
    <n v="0"/>
  </r>
  <r>
    <n v="38"/>
    <n v="0"/>
    <n v="3"/>
    <s v="Cann, Mr. Ernest Charles"/>
    <n v="0"/>
    <x v="23"/>
    <n v="0"/>
    <n v="0"/>
    <s v="A./5. 2152"/>
    <n v="8.0500000000000007"/>
    <s v=""/>
    <s v="S"/>
    <n v="1"/>
    <n v="0"/>
    <n v="0"/>
    <x v="0"/>
    <n v="0"/>
    <n v="0"/>
    <n v="1"/>
    <n v="0"/>
    <n v="0"/>
  </r>
  <r>
    <n v="39"/>
    <n v="0"/>
    <n v="3"/>
    <s v="Vander Planke, Miss. Augusta Maria"/>
    <n v="1"/>
    <x v="24"/>
    <n v="2"/>
    <n v="0"/>
    <s v="345764"/>
    <n v="18"/>
    <s v=""/>
    <s v="S"/>
    <n v="1"/>
    <n v="0"/>
    <n v="0"/>
    <x v="2"/>
    <n v="1"/>
    <n v="0"/>
    <n v="0"/>
    <n v="0"/>
    <n v="0"/>
  </r>
  <r>
    <n v="40"/>
    <n v="1"/>
    <n v="3"/>
    <s v="Nicola-Yarred, Miss. Jamila"/>
    <n v="1"/>
    <x v="8"/>
    <n v="1"/>
    <n v="0"/>
    <s v="2651"/>
    <n v="11.2417"/>
    <s v=""/>
    <s v="C"/>
    <n v="0"/>
    <n v="1"/>
    <n v="0"/>
    <x v="2"/>
    <n v="1"/>
    <n v="0"/>
    <n v="0"/>
    <n v="0"/>
    <n v="0"/>
  </r>
  <r>
    <n v="41"/>
    <n v="0"/>
    <n v="3"/>
    <s v="Ahlin, Mrs. Johan (Johanna Persdotter Larsson)"/>
    <n v="1"/>
    <x v="20"/>
    <n v="1"/>
    <n v="0"/>
    <s v="7546"/>
    <n v="9.4749999999999996"/>
    <s v=""/>
    <s v="S"/>
    <n v="1"/>
    <n v="0"/>
    <n v="0"/>
    <x v="1"/>
    <n v="0"/>
    <n v="1"/>
    <n v="0"/>
    <n v="0"/>
    <n v="0"/>
  </r>
  <r>
    <n v="42"/>
    <n v="0"/>
    <n v="2"/>
    <s v="Turpin, Mrs. William John Robert (Dorothy Ann Wonnacott)"/>
    <n v="1"/>
    <x v="7"/>
    <n v="1"/>
    <n v="0"/>
    <s v="11668"/>
    <n v="21"/>
    <s v=""/>
    <s v="S"/>
    <n v="1"/>
    <n v="0"/>
    <n v="0"/>
    <x v="1"/>
    <n v="0"/>
    <n v="1"/>
    <n v="0"/>
    <n v="0"/>
    <n v="0"/>
  </r>
  <r>
    <n v="43"/>
    <n v="0"/>
    <n v="3"/>
    <s v="Kraeff, Mr. Theodor"/>
    <n v="0"/>
    <x v="4"/>
    <n v="0"/>
    <n v="0"/>
    <s v="349253"/>
    <n v="7.8958000000000004"/>
    <s v=""/>
    <s v="C"/>
    <n v="0"/>
    <n v="1"/>
    <n v="0"/>
    <x v="0"/>
    <n v="0"/>
    <n v="0"/>
    <n v="1"/>
    <n v="0"/>
    <n v="0"/>
  </r>
  <r>
    <n v="44"/>
    <n v="1"/>
    <n v="2"/>
    <s v="Laroche, Miss. Simonne Marie Anne Andree"/>
    <n v="1"/>
    <x v="25"/>
    <n v="1"/>
    <n v="2"/>
    <s v="SC/Paris 2123"/>
    <n v="41.5792"/>
    <s v=""/>
    <s v="C"/>
    <n v="0"/>
    <n v="1"/>
    <n v="0"/>
    <x v="2"/>
    <n v="1"/>
    <n v="0"/>
    <n v="0"/>
    <n v="0"/>
    <n v="0"/>
  </r>
  <r>
    <n v="45"/>
    <n v="1"/>
    <n v="3"/>
    <s v="Devaney, Miss. Margaret Delia"/>
    <n v="1"/>
    <x v="19"/>
    <n v="0"/>
    <n v="0"/>
    <s v="330958"/>
    <n v="7.8792"/>
    <s v=""/>
    <s v="Q"/>
    <n v="0"/>
    <n v="0"/>
    <n v="1"/>
    <x v="2"/>
    <n v="1"/>
    <n v="0"/>
    <n v="0"/>
    <n v="0"/>
    <n v="0"/>
  </r>
  <r>
    <n v="46"/>
    <n v="0"/>
    <n v="3"/>
    <s v="Rogers, Mr. William John"/>
    <n v="0"/>
    <x v="4"/>
    <n v="0"/>
    <n v="0"/>
    <s v="S.C./A.4. 23567"/>
    <n v="8.0500000000000007"/>
    <s v=""/>
    <s v="S"/>
    <n v="1"/>
    <n v="0"/>
    <n v="0"/>
    <x v="0"/>
    <n v="0"/>
    <n v="0"/>
    <n v="1"/>
    <n v="0"/>
    <n v="0"/>
  </r>
  <r>
    <n v="47"/>
    <n v="0"/>
    <n v="3"/>
    <s v="Lennon, Mr. Denis"/>
    <n v="0"/>
    <x v="4"/>
    <n v="1"/>
    <n v="0"/>
    <s v="370371"/>
    <n v="15.5"/>
    <s v=""/>
    <s v="Q"/>
    <n v="0"/>
    <n v="0"/>
    <n v="1"/>
    <x v="0"/>
    <n v="0"/>
    <n v="0"/>
    <n v="1"/>
    <n v="0"/>
    <n v="0"/>
  </r>
  <r>
    <n v="48"/>
    <n v="1"/>
    <n v="3"/>
    <s v="O'Driscoll, Miss. Bridget"/>
    <n v="1"/>
    <x v="4"/>
    <n v="0"/>
    <n v="0"/>
    <s v="14311"/>
    <n v="7.75"/>
    <s v=""/>
    <s v="Q"/>
    <n v="0"/>
    <n v="0"/>
    <n v="1"/>
    <x v="2"/>
    <n v="1"/>
    <n v="0"/>
    <n v="0"/>
    <n v="0"/>
    <n v="0"/>
  </r>
  <r>
    <n v="49"/>
    <n v="0"/>
    <n v="3"/>
    <s v="Samaan, Mr. Youssef"/>
    <n v="0"/>
    <x v="4"/>
    <n v="2"/>
    <n v="0"/>
    <s v="2662"/>
    <n v="21.679200000000002"/>
    <s v=""/>
    <s v="C"/>
    <n v="0"/>
    <n v="1"/>
    <n v="0"/>
    <x v="0"/>
    <n v="0"/>
    <n v="0"/>
    <n v="1"/>
    <n v="0"/>
    <n v="0"/>
  </r>
  <r>
    <n v="50"/>
    <n v="0"/>
    <n v="3"/>
    <s v="Arnold-Franchi, Mrs. Josef (Josefine Franchi)"/>
    <n v="1"/>
    <x v="24"/>
    <n v="1"/>
    <n v="0"/>
    <s v="349237"/>
    <n v="17.8"/>
    <s v=""/>
    <s v="S"/>
    <n v="1"/>
    <n v="0"/>
    <n v="0"/>
    <x v="1"/>
    <n v="0"/>
    <n v="1"/>
    <n v="0"/>
    <n v="0"/>
    <n v="0"/>
  </r>
  <r>
    <n v="51"/>
    <n v="0"/>
    <n v="3"/>
    <s v="Panula, Master. Juha Niilo"/>
    <n v="0"/>
    <x v="26"/>
    <n v="4"/>
    <n v="1"/>
    <s v="3101295"/>
    <n v="39.6875"/>
    <s v=""/>
    <s v="S"/>
    <n v="1"/>
    <n v="0"/>
    <n v="0"/>
    <x v="3"/>
    <n v="0"/>
    <n v="0"/>
    <n v="0"/>
    <n v="1"/>
    <n v="0"/>
  </r>
  <r>
    <n v="52"/>
    <n v="0"/>
    <n v="3"/>
    <s v="Nosworthy, Mr. Richard Cater"/>
    <n v="0"/>
    <x v="23"/>
    <n v="0"/>
    <n v="0"/>
    <s v="A/4. 39886"/>
    <n v="7.8"/>
    <s v=""/>
    <s v="S"/>
    <n v="1"/>
    <n v="0"/>
    <n v="0"/>
    <x v="0"/>
    <n v="0"/>
    <n v="0"/>
    <n v="1"/>
    <n v="0"/>
    <n v="0"/>
  </r>
  <r>
    <n v="53"/>
    <n v="1"/>
    <n v="1"/>
    <s v="Harper, Mrs. Henry Sleeper (Myna Haxtun)"/>
    <n v="1"/>
    <x v="27"/>
    <n v="1"/>
    <n v="0"/>
    <s v="PC 17572"/>
    <n v="76.729200000000006"/>
    <s v="D33"/>
    <s v="C"/>
    <n v="0"/>
    <n v="1"/>
    <n v="0"/>
    <x v="1"/>
    <n v="0"/>
    <n v="1"/>
    <n v="0"/>
    <n v="0"/>
    <n v="0"/>
  </r>
  <r>
    <n v="54"/>
    <n v="1"/>
    <n v="2"/>
    <s v="Faunthorpe, Mrs. Lizzie (Elizabeth Anne Wilkinson)"/>
    <n v="1"/>
    <x v="28"/>
    <n v="1"/>
    <n v="0"/>
    <s v="2926"/>
    <n v="26"/>
    <s v=""/>
    <s v="S"/>
    <n v="1"/>
    <n v="0"/>
    <n v="0"/>
    <x v="1"/>
    <n v="0"/>
    <n v="1"/>
    <n v="0"/>
    <n v="0"/>
    <n v="0"/>
  </r>
  <r>
    <n v="55"/>
    <n v="0"/>
    <n v="1"/>
    <s v="Ostby, Mr. Engelhart Cornelius"/>
    <n v="0"/>
    <x v="29"/>
    <n v="0"/>
    <n v="1"/>
    <s v="113509"/>
    <n v="61.979199999999999"/>
    <s v="B30"/>
    <s v="C"/>
    <n v="0"/>
    <n v="1"/>
    <n v="0"/>
    <x v="0"/>
    <n v="0"/>
    <n v="0"/>
    <n v="1"/>
    <n v="0"/>
    <n v="0"/>
  </r>
  <r>
    <n v="56"/>
    <n v="1"/>
    <n v="1"/>
    <s v="Woolner, Mr. Hugh"/>
    <n v="0"/>
    <x v="4"/>
    <n v="0"/>
    <n v="0"/>
    <s v="19947"/>
    <n v="35.5"/>
    <s v="C52"/>
    <s v="S"/>
    <n v="1"/>
    <n v="0"/>
    <n v="0"/>
    <x v="0"/>
    <n v="0"/>
    <n v="0"/>
    <n v="1"/>
    <n v="0"/>
    <n v="0"/>
  </r>
  <r>
    <n v="57"/>
    <n v="1"/>
    <n v="2"/>
    <s v="Rugg, Miss. Emily"/>
    <n v="1"/>
    <x v="23"/>
    <n v="0"/>
    <n v="0"/>
    <s v="C.A. 31026"/>
    <n v="10.5"/>
    <s v=""/>
    <s v="S"/>
    <n v="1"/>
    <n v="0"/>
    <n v="0"/>
    <x v="2"/>
    <n v="1"/>
    <n v="0"/>
    <n v="0"/>
    <n v="0"/>
    <n v="0"/>
  </r>
  <r>
    <n v="58"/>
    <n v="0"/>
    <n v="3"/>
    <s v="Novel, Mr. Mansouer"/>
    <n v="0"/>
    <x v="4"/>
    <n v="0"/>
    <n v="0"/>
    <s v="2697"/>
    <n v="7.2291999999999996"/>
    <s v=""/>
    <s v="C"/>
    <n v="0"/>
    <n v="1"/>
    <n v="0"/>
    <x v="0"/>
    <n v="0"/>
    <n v="0"/>
    <n v="1"/>
    <n v="0"/>
    <n v="0"/>
  </r>
  <r>
    <n v="59"/>
    <n v="1"/>
    <n v="2"/>
    <s v="West, Miss. Constance Mirium"/>
    <n v="1"/>
    <x v="30"/>
    <n v="1"/>
    <n v="2"/>
    <s v="C.A. 34651"/>
    <n v="27.75"/>
    <s v=""/>
    <s v="S"/>
    <n v="1"/>
    <n v="0"/>
    <n v="0"/>
    <x v="2"/>
    <n v="1"/>
    <n v="0"/>
    <n v="0"/>
    <n v="0"/>
    <n v="0"/>
  </r>
  <r>
    <n v="60"/>
    <n v="0"/>
    <n v="3"/>
    <s v="Goodwin, Master. William Frederick"/>
    <n v="0"/>
    <x v="31"/>
    <n v="5"/>
    <n v="2"/>
    <s v="CA 2144"/>
    <n v="46.9"/>
    <s v=""/>
    <s v="S"/>
    <n v="1"/>
    <n v="0"/>
    <n v="0"/>
    <x v="3"/>
    <n v="0"/>
    <n v="0"/>
    <n v="0"/>
    <n v="1"/>
    <n v="0"/>
  </r>
  <r>
    <n v="61"/>
    <n v="0"/>
    <n v="3"/>
    <s v="Sirayanian, Mr. Orsen"/>
    <n v="0"/>
    <x v="0"/>
    <n v="0"/>
    <n v="0"/>
    <s v="2669"/>
    <n v="7.2291999999999996"/>
    <s v=""/>
    <s v="C"/>
    <n v="0"/>
    <n v="1"/>
    <n v="0"/>
    <x v="0"/>
    <n v="0"/>
    <n v="0"/>
    <n v="1"/>
    <n v="0"/>
    <n v="0"/>
  </r>
  <r>
    <n v="62"/>
    <n v="1"/>
    <n v="1"/>
    <s v="Icard, Miss. Amelie"/>
    <n v="1"/>
    <x v="1"/>
    <n v="0"/>
    <n v="0"/>
    <s v="113572"/>
    <n v="80"/>
    <s v="B28"/>
    <s v=""/>
    <n v="0"/>
    <n v="0"/>
    <n v="0"/>
    <x v="2"/>
    <n v="1"/>
    <n v="0"/>
    <n v="0"/>
    <n v="0"/>
    <n v="0"/>
  </r>
  <r>
    <n v="63"/>
    <n v="0"/>
    <n v="1"/>
    <s v="Harris, Mr. Henry Birkhardt"/>
    <n v="0"/>
    <x v="32"/>
    <n v="1"/>
    <n v="0"/>
    <s v="36973"/>
    <n v="83.474999999999994"/>
    <s v="C83"/>
    <s v="S"/>
    <n v="1"/>
    <n v="0"/>
    <n v="0"/>
    <x v="0"/>
    <n v="0"/>
    <n v="0"/>
    <n v="1"/>
    <n v="0"/>
    <n v="0"/>
  </r>
  <r>
    <n v="64"/>
    <n v="0"/>
    <n v="3"/>
    <s v="Skoog, Master. Harald"/>
    <n v="0"/>
    <x v="9"/>
    <n v="3"/>
    <n v="2"/>
    <s v="347088"/>
    <n v="27.9"/>
    <s v=""/>
    <s v="S"/>
    <n v="1"/>
    <n v="0"/>
    <n v="0"/>
    <x v="3"/>
    <n v="0"/>
    <n v="0"/>
    <n v="0"/>
    <n v="1"/>
    <n v="0"/>
  </r>
  <r>
    <n v="65"/>
    <n v="0"/>
    <n v="1"/>
    <s v="Stewart, Mr. Albert A"/>
    <n v="0"/>
    <x v="4"/>
    <n v="0"/>
    <n v="0"/>
    <s v="PC 17605"/>
    <n v="27.720800000000001"/>
    <s v=""/>
    <s v="C"/>
    <n v="0"/>
    <n v="1"/>
    <n v="0"/>
    <x v="0"/>
    <n v="0"/>
    <n v="0"/>
    <n v="1"/>
    <n v="0"/>
    <n v="0"/>
  </r>
  <r>
    <n v="66"/>
    <n v="1"/>
    <n v="3"/>
    <s v="Moubarek, Master. Gerios"/>
    <n v="0"/>
    <x v="4"/>
    <n v="1"/>
    <n v="1"/>
    <s v="2661"/>
    <n v="15.245799999999999"/>
    <s v=""/>
    <s v="C"/>
    <n v="0"/>
    <n v="1"/>
    <n v="0"/>
    <x v="3"/>
    <n v="0"/>
    <n v="0"/>
    <n v="0"/>
    <n v="1"/>
    <n v="0"/>
  </r>
  <r>
    <n v="67"/>
    <n v="1"/>
    <n v="2"/>
    <s v="Nye, Mrs. (Elizabeth Ramell)"/>
    <n v="1"/>
    <x v="28"/>
    <n v="0"/>
    <n v="0"/>
    <s v="C.A. 29395"/>
    <n v="10.5"/>
    <s v="F33"/>
    <s v="S"/>
    <n v="1"/>
    <n v="0"/>
    <n v="0"/>
    <x v="1"/>
    <n v="0"/>
    <n v="1"/>
    <n v="0"/>
    <n v="0"/>
    <n v="0"/>
  </r>
  <r>
    <n v="68"/>
    <n v="0"/>
    <n v="3"/>
    <s v="Crease, Mr. Ernest James"/>
    <n v="0"/>
    <x v="19"/>
    <n v="0"/>
    <n v="0"/>
    <s v="S.P. 3464"/>
    <n v="8.1583000000000006"/>
    <s v=""/>
    <s v="S"/>
    <n v="1"/>
    <n v="0"/>
    <n v="0"/>
    <x v="0"/>
    <n v="0"/>
    <n v="0"/>
    <n v="1"/>
    <n v="0"/>
    <n v="0"/>
  </r>
  <r>
    <n v="69"/>
    <n v="1"/>
    <n v="3"/>
    <s v="Andersson, Miss. Erna Alexandra"/>
    <n v="1"/>
    <x v="33"/>
    <n v="4"/>
    <n v="2"/>
    <s v="3101281"/>
    <n v="7.9249999999999998"/>
    <s v=""/>
    <s v="S"/>
    <n v="1"/>
    <n v="0"/>
    <n v="0"/>
    <x v="2"/>
    <n v="1"/>
    <n v="0"/>
    <n v="0"/>
    <n v="0"/>
    <n v="0"/>
  </r>
  <r>
    <n v="70"/>
    <n v="0"/>
    <n v="3"/>
    <s v="Kink, Mr. Vincenz"/>
    <n v="0"/>
    <x v="2"/>
    <n v="2"/>
    <n v="0"/>
    <s v="315151"/>
    <n v="8.6624999999999996"/>
    <s v=""/>
    <s v="S"/>
    <n v="1"/>
    <n v="0"/>
    <n v="0"/>
    <x v="0"/>
    <n v="0"/>
    <n v="0"/>
    <n v="1"/>
    <n v="0"/>
    <n v="0"/>
  </r>
  <r>
    <n v="71"/>
    <n v="0"/>
    <n v="2"/>
    <s v="Jenkin, Mr. Stephen Curnow"/>
    <n v="0"/>
    <x v="34"/>
    <n v="0"/>
    <n v="0"/>
    <s v="C.A. 33111"/>
    <n v="10.5"/>
    <s v=""/>
    <s v="S"/>
    <n v="1"/>
    <n v="0"/>
    <n v="0"/>
    <x v="0"/>
    <n v="0"/>
    <n v="0"/>
    <n v="1"/>
    <n v="0"/>
    <n v="0"/>
  </r>
  <r>
    <n v="72"/>
    <n v="0"/>
    <n v="3"/>
    <s v="Goodwin, Miss. Lillian Amy"/>
    <n v="1"/>
    <x v="35"/>
    <n v="5"/>
    <n v="2"/>
    <s v="CA 2144"/>
    <n v="46.9"/>
    <s v=""/>
    <s v="S"/>
    <n v="1"/>
    <n v="0"/>
    <n v="0"/>
    <x v="2"/>
    <n v="1"/>
    <n v="0"/>
    <n v="0"/>
    <n v="0"/>
    <n v="0"/>
  </r>
  <r>
    <n v="73"/>
    <n v="0"/>
    <n v="2"/>
    <s v="Hood, Mr. Ambrose Jr"/>
    <n v="0"/>
    <x v="23"/>
    <n v="0"/>
    <n v="0"/>
    <s v="S.O.C. 14879"/>
    <n v="73.5"/>
    <s v=""/>
    <s v="S"/>
    <n v="1"/>
    <n v="0"/>
    <n v="0"/>
    <x v="0"/>
    <n v="0"/>
    <n v="0"/>
    <n v="1"/>
    <n v="0"/>
    <n v="0"/>
  </r>
  <r>
    <n v="74"/>
    <n v="0"/>
    <n v="3"/>
    <s v="Chronopoulos, Mr. Apostolos"/>
    <n v="0"/>
    <x v="2"/>
    <n v="1"/>
    <n v="0"/>
    <s v="2680"/>
    <n v="14.4542"/>
    <s v=""/>
    <s v="C"/>
    <n v="0"/>
    <n v="1"/>
    <n v="0"/>
    <x v="0"/>
    <n v="0"/>
    <n v="0"/>
    <n v="1"/>
    <n v="0"/>
    <n v="0"/>
  </r>
  <r>
    <n v="75"/>
    <n v="1"/>
    <n v="3"/>
    <s v="Bing, Mr. Lee"/>
    <n v="0"/>
    <x v="34"/>
    <n v="0"/>
    <n v="0"/>
    <s v="1601"/>
    <n v="56.495800000000003"/>
    <s v=""/>
    <s v="S"/>
    <n v="1"/>
    <n v="0"/>
    <n v="0"/>
    <x v="0"/>
    <n v="0"/>
    <n v="0"/>
    <n v="1"/>
    <n v="0"/>
    <n v="0"/>
  </r>
  <r>
    <n v="76"/>
    <n v="0"/>
    <n v="3"/>
    <s v="Moen, Mr. Sigurd Hansen"/>
    <n v="0"/>
    <x v="36"/>
    <n v="0"/>
    <n v="0"/>
    <s v="348123"/>
    <n v="7.65"/>
    <s v="F G73"/>
    <s v="S"/>
    <n v="1"/>
    <n v="0"/>
    <n v="0"/>
    <x v="0"/>
    <n v="0"/>
    <n v="0"/>
    <n v="1"/>
    <n v="0"/>
    <n v="0"/>
  </r>
  <r>
    <n v="77"/>
    <n v="0"/>
    <n v="3"/>
    <s v="Staneff, Mr. Ivan"/>
    <n v="0"/>
    <x v="4"/>
    <n v="0"/>
    <n v="0"/>
    <s v="349208"/>
    <n v="7.8958000000000004"/>
    <s v=""/>
    <s v="S"/>
    <n v="1"/>
    <n v="0"/>
    <n v="0"/>
    <x v="0"/>
    <n v="0"/>
    <n v="0"/>
    <n v="1"/>
    <n v="0"/>
    <n v="0"/>
  </r>
  <r>
    <n v="78"/>
    <n v="0"/>
    <n v="3"/>
    <s v="Moutal, Mr. Rahamin Haim"/>
    <n v="0"/>
    <x v="4"/>
    <n v="0"/>
    <n v="0"/>
    <s v="374746"/>
    <n v="8.0500000000000007"/>
    <s v=""/>
    <s v="S"/>
    <n v="1"/>
    <n v="0"/>
    <n v="0"/>
    <x v="0"/>
    <n v="0"/>
    <n v="0"/>
    <n v="1"/>
    <n v="0"/>
    <n v="0"/>
  </r>
  <r>
    <n v="79"/>
    <n v="1"/>
    <n v="2"/>
    <s v="Caldwell, Master. Alden Gates"/>
    <n v="0"/>
    <x v="4"/>
    <n v="0"/>
    <n v="2"/>
    <s v="248738"/>
    <n v="29"/>
    <s v=""/>
    <s v="S"/>
    <n v="1"/>
    <n v="0"/>
    <n v="0"/>
    <x v="3"/>
    <n v="0"/>
    <n v="0"/>
    <n v="0"/>
    <n v="1"/>
    <n v="0"/>
  </r>
  <r>
    <n v="80"/>
    <n v="1"/>
    <n v="3"/>
    <s v="Dowdell, Miss. Elizabeth"/>
    <n v="1"/>
    <x v="37"/>
    <n v="0"/>
    <n v="0"/>
    <s v="364516"/>
    <n v="12.475"/>
    <s v=""/>
    <s v="S"/>
    <n v="1"/>
    <n v="0"/>
    <n v="0"/>
    <x v="2"/>
    <n v="1"/>
    <n v="0"/>
    <n v="0"/>
    <n v="0"/>
    <n v="0"/>
  </r>
  <r>
    <n v="81"/>
    <n v="0"/>
    <n v="3"/>
    <s v="Waelens, Mr. Achille"/>
    <n v="0"/>
    <x v="0"/>
    <n v="0"/>
    <n v="0"/>
    <s v="345767"/>
    <n v="9"/>
    <s v=""/>
    <s v="S"/>
    <n v="1"/>
    <n v="0"/>
    <n v="0"/>
    <x v="0"/>
    <n v="0"/>
    <n v="0"/>
    <n v="1"/>
    <n v="0"/>
    <n v="0"/>
  </r>
  <r>
    <n v="82"/>
    <n v="1"/>
    <n v="3"/>
    <s v="Sheerlinck, Mr. Jan Baptist"/>
    <n v="0"/>
    <x v="28"/>
    <n v="0"/>
    <n v="0"/>
    <s v="345779"/>
    <n v="9.5"/>
    <s v=""/>
    <s v="S"/>
    <n v="1"/>
    <n v="0"/>
    <n v="0"/>
    <x v="0"/>
    <n v="0"/>
    <n v="0"/>
    <n v="1"/>
    <n v="0"/>
    <n v="0"/>
  </r>
  <r>
    <n v="83"/>
    <n v="1"/>
    <n v="3"/>
    <s v="McDermott, Miss. Brigdet Delia"/>
    <n v="1"/>
    <x v="4"/>
    <n v="0"/>
    <n v="0"/>
    <s v="330932"/>
    <n v="7.7874999999999996"/>
    <s v=""/>
    <s v="Q"/>
    <n v="0"/>
    <n v="0"/>
    <n v="1"/>
    <x v="2"/>
    <n v="1"/>
    <n v="0"/>
    <n v="0"/>
    <n v="0"/>
    <n v="0"/>
  </r>
  <r>
    <n v="84"/>
    <n v="0"/>
    <n v="1"/>
    <s v="Carrau, Mr. Francisco M"/>
    <n v="0"/>
    <x v="17"/>
    <n v="0"/>
    <n v="0"/>
    <s v="113059"/>
    <n v="47.1"/>
    <s v=""/>
    <s v="S"/>
    <n v="1"/>
    <n v="0"/>
    <n v="0"/>
    <x v="0"/>
    <n v="0"/>
    <n v="0"/>
    <n v="1"/>
    <n v="0"/>
    <n v="0"/>
  </r>
  <r>
    <n v="85"/>
    <n v="1"/>
    <n v="2"/>
    <s v="Ilett, Miss. Bertha"/>
    <n v="1"/>
    <x v="33"/>
    <n v="0"/>
    <n v="0"/>
    <s v="SO/C 14885"/>
    <n v="10.5"/>
    <s v=""/>
    <s v="S"/>
    <n v="1"/>
    <n v="0"/>
    <n v="0"/>
    <x v="2"/>
    <n v="1"/>
    <n v="0"/>
    <n v="0"/>
    <n v="0"/>
    <n v="0"/>
  </r>
  <r>
    <n v="86"/>
    <n v="1"/>
    <n v="3"/>
    <s v="Backstrom, Mrs. Karl Alfred (Maria Mathilda Gustafsson)"/>
    <n v="1"/>
    <x v="38"/>
    <n v="3"/>
    <n v="0"/>
    <s v="3101278"/>
    <n v="15.85"/>
    <s v=""/>
    <s v="S"/>
    <n v="1"/>
    <n v="0"/>
    <n v="0"/>
    <x v="1"/>
    <n v="0"/>
    <n v="1"/>
    <n v="0"/>
    <n v="0"/>
    <n v="0"/>
  </r>
  <r>
    <n v="87"/>
    <n v="0"/>
    <n v="3"/>
    <s v="Ford, Mr. William Neal"/>
    <n v="0"/>
    <x v="35"/>
    <n v="1"/>
    <n v="3"/>
    <s v="W./C. 6608"/>
    <n v="34.375"/>
    <s v=""/>
    <s v="S"/>
    <n v="1"/>
    <n v="0"/>
    <n v="0"/>
    <x v="0"/>
    <n v="0"/>
    <n v="0"/>
    <n v="1"/>
    <n v="0"/>
    <n v="0"/>
  </r>
  <r>
    <n v="88"/>
    <n v="0"/>
    <n v="3"/>
    <s v="Slocovski, Mr. Selman Francis"/>
    <n v="0"/>
    <x v="4"/>
    <n v="0"/>
    <n v="0"/>
    <s v="SOTON/OQ 392086"/>
    <n v="8.0500000000000007"/>
    <s v=""/>
    <s v="S"/>
    <n v="1"/>
    <n v="0"/>
    <n v="0"/>
    <x v="0"/>
    <n v="0"/>
    <n v="0"/>
    <n v="1"/>
    <n v="0"/>
    <n v="0"/>
  </r>
  <r>
    <n v="89"/>
    <n v="1"/>
    <n v="1"/>
    <s v="Fortune, Miss. Mabel Helen"/>
    <n v="1"/>
    <x v="39"/>
    <n v="3"/>
    <n v="2"/>
    <s v="19950"/>
    <n v="263"/>
    <s v="C23 C25 C27"/>
    <s v="S"/>
    <n v="1"/>
    <n v="0"/>
    <n v="0"/>
    <x v="2"/>
    <n v="1"/>
    <n v="0"/>
    <n v="0"/>
    <n v="0"/>
    <n v="0"/>
  </r>
  <r>
    <n v="90"/>
    <n v="0"/>
    <n v="3"/>
    <s v="Celotti, Mr. Francesco"/>
    <n v="0"/>
    <x v="40"/>
    <n v="0"/>
    <n v="0"/>
    <s v="343275"/>
    <n v="8.0500000000000007"/>
    <s v=""/>
    <s v="S"/>
    <n v="1"/>
    <n v="0"/>
    <n v="0"/>
    <x v="0"/>
    <n v="0"/>
    <n v="0"/>
    <n v="1"/>
    <n v="0"/>
    <n v="0"/>
  </r>
  <r>
    <n v="91"/>
    <n v="0"/>
    <n v="3"/>
    <s v="Christmann, Mr. Emil"/>
    <n v="0"/>
    <x v="28"/>
    <n v="0"/>
    <n v="0"/>
    <s v="343276"/>
    <n v="8.0500000000000007"/>
    <s v=""/>
    <s v="S"/>
    <n v="1"/>
    <n v="0"/>
    <n v="0"/>
    <x v="0"/>
    <n v="0"/>
    <n v="0"/>
    <n v="1"/>
    <n v="0"/>
    <n v="0"/>
  </r>
  <r>
    <n v="92"/>
    <n v="0"/>
    <n v="3"/>
    <s v="Andreasson, Mr. Paul Edvin"/>
    <n v="0"/>
    <x v="11"/>
    <n v="0"/>
    <n v="0"/>
    <s v="347466"/>
    <n v="7.8541999999999996"/>
    <s v=""/>
    <s v="S"/>
    <n v="1"/>
    <n v="0"/>
    <n v="0"/>
    <x v="0"/>
    <n v="0"/>
    <n v="0"/>
    <n v="1"/>
    <n v="0"/>
    <n v="0"/>
  </r>
  <r>
    <n v="93"/>
    <n v="0"/>
    <n v="1"/>
    <s v="Chaffee, Mr. Herbert Fuller"/>
    <n v="0"/>
    <x v="41"/>
    <n v="1"/>
    <n v="0"/>
    <s v="W.E.P. 5734"/>
    <n v="61.174999999999997"/>
    <s v="E31"/>
    <s v="S"/>
    <n v="1"/>
    <n v="0"/>
    <n v="0"/>
    <x v="0"/>
    <n v="0"/>
    <n v="0"/>
    <n v="1"/>
    <n v="0"/>
    <n v="0"/>
  </r>
  <r>
    <n v="94"/>
    <n v="0"/>
    <n v="3"/>
    <s v="Dean, Mr. Bertram Frank"/>
    <n v="0"/>
    <x v="2"/>
    <n v="1"/>
    <n v="2"/>
    <s v="C.A. 2315"/>
    <n v="20.574999999999999"/>
    <s v=""/>
    <s v="S"/>
    <n v="1"/>
    <n v="0"/>
    <n v="0"/>
    <x v="0"/>
    <n v="0"/>
    <n v="0"/>
    <n v="1"/>
    <n v="0"/>
    <n v="0"/>
  </r>
  <r>
    <n v="95"/>
    <n v="0"/>
    <n v="3"/>
    <s v="Coxon, Mr. Daniel"/>
    <n v="0"/>
    <x v="42"/>
    <n v="0"/>
    <n v="0"/>
    <s v="364500"/>
    <n v="7.25"/>
    <s v=""/>
    <s v="S"/>
    <n v="1"/>
    <n v="0"/>
    <n v="0"/>
    <x v="0"/>
    <n v="0"/>
    <n v="0"/>
    <n v="1"/>
    <n v="0"/>
    <n v="0"/>
  </r>
  <r>
    <n v="96"/>
    <n v="0"/>
    <n v="3"/>
    <s v="Shorney, Mr. Charles Joseph"/>
    <n v="0"/>
    <x v="4"/>
    <n v="0"/>
    <n v="0"/>
    <s v="374910"/>
    <n v="8.0500000000000007"/>
    <s v=""/>
    <s v="S"/>
    <n v="1"/>
    <n v="0"/>
    <n v="0"/>
    <x v="0"/>
    <n v="0"/>
    <n v="0"/>
    <n v="1"/>
    <n v="0"/>
    <n v="0"/>
  </r>
  <r>
    <n v="97"/>
    <n v="0"/>
    <n v="1"/>
    <s v="Goldschmidt, Mr. George B"/>
    <n v="0"/>
    <x v="43"/>
    <n v="0"/>
    <n v="0"/>
    <s v="PC 17754"/>
    <n v="34.654200000000003"/>
    <s v="A5"/>
    <s v="C"/>
    <n v="0"/>
    <n v="1"/>
    <n v="0"/>
    <x v="0"/>
    <n v="0"/>
    <n v="0"/>
    <n v="1"/>
    <n v="0"/>
    <n v="0"/>
  </r>
  <r>
    <n v="98"/>
    <n v="1"/>
    <n v="1"/>
    <s v="Greenfield, Mr. William Bertram"/>
    <n v="0"/>
    <x v="39"/>
    <n v="0"/>
    <n v="1"/>
    <s v="PC 17759"/>
    <n v="63.3583"/>
    <s v="D10 D12"/>
    <s v="C"/>
    <n v="0"/>
    <n v="1"/>
    <n v="0"/>
    <x v="0"/>
    <n v="0"/>
    <n v="0"/>
    <n v="1"/>
    <n v="0"/>
    <n v="0"/>
  </r>
  <r>
    <n v="99"/>
    <n v="1"/>
    <n v="2"/>
    <s v="Doling, Mrs. John T (Ada Julia Bone)"/>
    <n v="1"/>
    <x v="15"/>
    <n v="0"/>
    <n v="1"/>
    <s v="231919"/>
    <n v="23"/>
    <s v=""/>
    <s v="S"/>
    <n v="1"/>
    <n v="0"/>
    <n v="0"/>
    <x v="1"/>
    <n v="0"/>
    <n v="1"/>
    <n v="0"/>
    <n v="0"/>
    <n v="0"/>
  </r>
  <r>
    <n v="100"/>
    <n v="0"/>
    <n v="2"/>
    <s v="Kantor, Mr. Sinai"/>
    <n v="0"/>
    <x v="15"/>
    <n v="1"/>
    <n v="0"/>
    <s v="244367"/>
    <n v="26"/>
    <s v=""/>
    <s v="S"/>
    <n v="1"/>
    <n v="0"/>
    <n v="0"/>
    <x v="0"/>
    <n v="0"/>
    <n v="0"/>
    <n v="1"/>
    <n v="0"/>
    <n v="0"/>
  </r>
  <r>
    <n v="101"/>
    <n v="0"/>
    <n v="3"/>
    <s v="Petranec, Miss. Matilda"/>
    <n v="1"/>
    <x v="17"/>
    <n v="0"/>
    <n v="0"/>
    <s v="349245"/>
    <n v="7.8958000000000004"/>
    <s v=""/>
    <s v="S"/>
    <n v="1"/>
    <n v="0"/>
    <n v="0"/>
    <x v="2"/>
    <n v="1"/>
    <n v="0"/>
    <n v="0"/>
    <n v="0"/>
    <n v="0"/>
  </r>
  <r>
    <n v="102"/>
    <n v="0"/>
    <n v="3"/>
    <s v="Petroff, Mr. Pastcho (&quot;Pentcho&quot;)"/>
    <n v="0"/>
    <x v="4"/>
    <n v="0"/>
    <n v="0"/>
    <s v="349215"/>
    <n v="7.8958000000000004"/>
    <s v=""/>
    <s v="S"/>
    <n v="1"/>
    <n v="0"/>
    <n v="0"/>
    <x v="0"/>
    <n v="0"/>
    <n v="0"/>
    <n v="1"/>
    <n v="0"/>
    <n v="0"/>
  </r>
  <r>
    <n v="103"/>
    <n v="0"/>
    <n v="1"/>
    <s v="White, Mr. Richard Frasar"/>
    <n v="0"/>
    <x v="23"/>
    <n v="0"/>
    <n v="1"/>
    <s v="35281"/>
    <n v="77.287499999999994"/>
    <s v="D26"/>
    <s v="S"/>
    <n v="1"/>
    <n v="0"/>
    <n v="0"/>
    <x v="0"/>
    <n v="0"/>
    <n v="0"/>
    <n v="1"/>
    <n v="0"/>
    <n v="0"/>
  </r>
  <r>
    <n v="104"/>
    <n v="0"/>
    <n v="3"/>
    <s v="Johansson, Mr. Gustaf Joel"/>
    <n v="0"/>
    <x v="38"/>
    <n v="0"/>
    <n v="0"/>
    <s v="7540"/>
    <n v="8.6541999999999994"/>
    <s v=""/>
    <s v="S"/>
    <n v="1"/>
    <n v="0"/>
    <n v="0"/>
    <x v="0"/>
    <n v="0"/>
    <n v="0"/>
    <n v="1"/>
    <n v="0"/>
    <n v="0"/>
  </r>
  <r>
    <n v="105"/>
    <n v="0"/>
    <n v="3"/>
    <s v="Gustafsson, Mr. Anders Vilhelm"/>
    <n v="0"/>
    <x v="44"/>
    <n v="2"/>
    <n v="0"/>
    <s v="3101276"/>
    <n v="7.9249999999999998"/>
    <s v=""/>
    <s v="S"/>
    <n v="1"/>
    <n v="0"/>
    <n v="0"/>
    <x v="0"/>
    <n v="0"/>
    <n v="0"/>
    <n v="1"/>
    <n v="0"/>
    <n v="0"/>
  </r>
  <r>
    <n v="106"/>
    <n v="0"/>
    <n v="3"/>
    <s v="Mionoff, Mr. Stoytcho"/>
    <n v="0"/>
    <x v="17"/>
    <n v="0"/>
    <n v="0"/>
    <s v="349207"/>
    <n v="7.8958000000000004"/>
    <s v=""/>
    <s v="S"/>
    <n v="1"/>
    <n v="0"/>
    <n v="0"/>
    <x v="0"/>
    <n v="0"/>
    <n v="0"/>
    <n v="1"/>
    <n v="0"/>
    <n v="0"/>
  </r>
  <r>
    <n v="107"/>
    <n v="1"/>
    <n v="3"/>
    <s v="Salkjelsvik, Miss. Anna Kristine"/>
    <n v="1"/>
    <x v="23"/>
    <n v="0"/>
    <n v="0"/>
    <s v="343120"/>
    <n v="7.65"/>
    <s v=""/>
    <s v="S"/>
    <n v="1"/>
    <n v="0"/>
    <n v="0"/>
    <x v="2"/>
    <n v="1"/>
    <n v="0"/>
    <n v="0"/>
    <n v="0"/>
    <n v="0"/>
  </r>
  <r>
    <n v="108"/>
    <n v="1"/>
    <n v="3"/>
    <s v="Moss, Mr. Albert Johan"/>
    <n v="0"/>
    <x v="4"/>
    <n v="0"/>
    <n v="0"/>
    <s v="312991"/>
    <n v="7.7750000000000004"/>
    <s v=""/>
    <s v="S"/>
    <n v="1"/>
    <n v="0"/>
    <n v="0"/>
    <x v="0"/>
    <n v="0"/>
    <n v="0"/>
    <n v="1"/>
    <n v="0"/>
    <n v="0"/>
  </r>
  <r>
    <n v="109"/>
    <n v="0"/>
    <n v="3"/>
    <s v="Rekic, Mr. Tido"/>
    <n v="0"/>
    <x v="1"/>
    <n v="0"/>
    <n v="0"/>
    <s v="349249"/>
    <n v="7.8958000000000004"/>
    <s v=""/>
    <s v="S"/>
    <n v="1"/>
    <n v="0"/>
    <n v="0"/>
    <x v="0"/>
    <n v="0"/>
    <n v="0"/>
    <n v="1"/>
    <n v="0"/>
    <n v="0"/>
  </r>
  <r>
    <n v="110"/>
    <n v="1"/>
    <n v="3"/>
    <s v="Moran, Miss. Bertha"/>
    <n v="1"/>
    <x v="4"/>
    <n v="1"/>
    <n v="0"/>
    <s v="371110"/>
    <n v="24.15"/>
    <s v=""/>
    <s v="Q"/>
    <n v="0"/>
    <n v="0"/>
    <n v="1"/>
    <x v="2"/>
    <n v="1"/>
    <n v="0"/>
    <n v="0"/>
    <n v="0"/>
    <n v="0"/>
  </r>
  <r>
    <n v="111"/>
    <n v="0"/>
    <n v="1"/>
    <s v="Porter, Mr. Walter Chamberlain"/>
    <n v="0"/>
    <x v="45"/>
    <n v="0"/>
    <n v="0"/>
    <s v="110465"/>
    <n v="52"/>
    <s v="C110"/>
    <s v="S"/>
    <n v="1"/>
    <n v="0"/>
    <n v="0"/>
    <x v="0"/>
    <n v="0"/>
    <n v="0"/>
    <n v="1"/>
    <n v="0"/>
    <n v="0"/>
  </r>
  <r>
    <n v="112"/>
    <n v="0"/>
    <n v="3"/>
    <s v="Zabour, Miss. Hileni"/>
    <n v="1"/>
    <x v="4"/>
    <n v="1"/>
    <n v="0"/>
    <s v="2665"/>
    <n v="14.4542"/>
    <s v=""/>
    <s v="C"/>
    <n v="0"/>
    <n v="1"/>
    <n v="0"/>
    <x v="2"/>
    <n v="1"/>
    <n v="0"/>
    <n v="0"/>
    <n v="0"/>
    <n v="0"/>
  </r>
  <r>
    <n v="113"/>
    <n v="0"/>
    <n v="3"/>
    <s v="Barton, Mr. David John"/>
    <n v="0"/>
    <x v="0"/>
    <n v="0"/>
    <n v="0"/>
    <s v="324669"/>
    <n v="8.0500000000000007"/>
    <s v=""/>
    <s v="S"/>
    <n v="1"/>
    <n v="0"/>
    <n v="0"/>
    <x v="0"/>
    <n v="0"/>
    <n v="0"/>
    <n v="1"/>
    <n v="0"/>
    <n v="0"/>
  </r>
  <r>
    <n v="114"/>
    <n v="0"/>
    <n v="3"/>
    <s v="Jussila, Miss. Katriina"/>
    <n v="1"/>
    <x v="11"/>
    <n v="1"/>
    <n v="0"/>
    <s v="4136"/>
    <n v="9.8249999999999993"/>
    <s v=""/>
    <s v="S"/>
    <n v="1"/>
    <n v="0"/>
    <n v="0"/>
    <x v="2"/>
    <n v="1"/>
    <n v="0"/>
    <n v="0"/>
    <n v="0"/>
    <n v="0"/>
  </r>
  <r>
    <n v="115"/>
    <n v="0"/>
    <n v="3"/>
    <s v="Attalah, Miss. Malake"/>
    <n v="1"/>
    <x v="33"/>
    <n v="0"/>
    <n v="0"/>
    <s v="2627"/>
    <n v="14.458299999999999"/>
    <s v=""/>
    <s v="C"/>
    <n v="0"/>
    <n v="1"/>
    <n v="0"/>
    <x v="2"/>
    <n v="1"/>
    <n v="0"/>
    <n v="0"/>
    <n v="0"/>
    <n v="0"/>
  </r>
  <r>
    <n v="116"/>
    <n v="0"/>
    <n v="3"/>
    <s v="Pekoniemi, Mr. Edvard"/>
    <n v="0"/>
    <x v="23"/>
    <n v="0"/>
    <n v="0"/>
    <s v="STON/O 2. 3101294"/>
    <n v="7.9249999999999998"/>
    <s v=""/>
    <s v="S"/>
    <n v="1"/>
    <n v="0"/>
    <n v="0"/>
    <x v="0"/>
    <n v="0"/>
    <n v="0"/>
    <n v="1"/>
    <n v="0"/>
    <n v="0"/>
  </r>
  <r>
    <n v="117"/>
    <n v="0"/>
    <n v="3"/>
    <s v="Connors, Mr. Patrick"/>
    <n v="0"/>
    <x v="4"/>
    <n v="0"/>
    <n v="0"/>
    <s v="370369"/>
    <n v="7.75"/>
    <s v=""/>
    <s v="Q"/>
    <n v="0"/>
    <n v="0"/>
    <n v="1"/>
    <x v="0"/>
    <n v="0"/>
    <n v="0"/>
    <n v="1"/>
    <n v="0"/>
    <n v="0"/>
  </r>
  <r>
    <n v="118"/>
    <n v="0"/>
    <n v="2"/>
    <s v="Turpin, Mr. William John Robert"/>
    <n v="0"/>
    <x v="28"/>
    <n v="1"/>
    <n v="0"/>
    <s v="11668"/>
    <n v="21"/>
    <s v=""/>
    <s v="S"/>
    <n v="1"/>
    <n v="0"/>
    <n v="0"/>
    <x v="0"/>
    <n v="0"/>
    <n v="0"/>
    <n v="1"/>
    <n v="0"/>
    <n v="0"/>
  </r>
  <r>
    <n v="119"/>
    <n v="0"/>
    <n v="1"/>
    <s v="Baxter, Mr. Quigg Edmond"/>
    <n v="0"/>
    <x v="40"/>
    <n v="0"/>
    <n v="1"/>
    <s v="PC 17558"/>
    <n v="247.52080000000001"/>
    <s v="B58 B60"/>
    <s v="C"/>
    <n v="0"/>
    <n v="1"/>
    <n v="0"/>
    <x v="0"/>
    <n v="0"/>
    <n v="0"/>
    <n v="1"/>
    <n v="0"/>
    <n v="0"/>
  </r>
  <r>
    <n v="120"/>
    <n v="0"/>
    <n v="3"/>
    <s v="Andersson, Miss. Ellis Anna Maria"/>
    <n v="1"/>
    <x v="6"/>
    <n v="4"/>
    <n v="2"/>
    <s v="347082"/>
    <n v="31.274999999999999"/>
    <s v=""/>
    <s v="S"/>
    <n v="1"/>
    <n v="0"/>
    <n v="0"/>
    <x v="2"/>
    <n v="1"/>
    <n v="0"/>
    <n v="0"/>
    <n v="0"/>
    <n v="0"/>
  </r>
  <r>
    <n v="121"/>
    <n v="0"/>
    <n v="2"/>
    <s v="Hickman, Mr. Stanley George"/>
    <n v="0"/>
    <x v="23"/>
    <n v="2"/>
    <n v="0"/>
    <s v="S.O.C. 14879"/>
    <n v="73.5"/>
    <s v=""/>
    <s v="S"/>
    <n v="1"/>
    <n v="0"/>
    <n v="0"/>
    <x v="0"/>
    <n v="0"/>
    <n v="0"/>
    <n v="1"/>
    <n v="0"/>
    <n v="0"/>
  </r>
  <r>
    <n v="122"/>
    <n v="0"/>
    <n v="3"/>
    <s v="Moore, Mr. Leonard Charles"/>
    <n v="0"/>
    <x v="4"/>
    <n v="0"/>
    <n v="0"/>
    <s v="A4. 54510"/>
    <n v="8.0500000000000007"/>
    <s v=""/>
    <s v="S"/>
    <n v="1"/>
    <n v="0"/>
    <n v="0"/>
    <x v="0"/>
    <n v="0"/>
    <n v="0"/>
    <n v="1"/>
    <n v="0"/>
    <n v="0"/>
  </r>
  <r>
    <n v="123"/>
    <n v="0"/>
    <n v="2"/>
    <s v="Nasser, Mr. Nicholas"/>
    <n v="0"/>
    <x v="4"/>
    <n v="1"/>
    <n v="0"/>
    <s v="237736"/>
    <n v="30.070799999999998"/>
    <s v=""/>
    <s v="C"/>
    <n v="0"/>
    <n v="1"/>
    <n v="0"/>
    <x v="0"/>
    <n v="0"/>
    <n v="0"/>
    <n v="1"/>
    <n v="0"/>
    <n v="0"/>
  </r>
  <r>
    <n v="124"/>
    <n v="1"/>
    <n v="2"/>
    <s v="Webber, Miss. Susan"/>
    <n v="1"/>
    <x v="4"/>
    <n v="0"/>
    <n v="0"/>
    <s v="27267"/>
    <n v="13"/>
    <s v="E101"/>
    <s v="S"/>
    <n v="1"/>
    <n v="0"/>
    <n v="0"/>
    <x v="2"/>
    <n v="1"/>
    <n v="0"/>
    <n v="0"/>
    <n v="0"/>
    <n v="0"/>
  </r>
  <r>
    <n v="125"/>
    <n v="0"/>
    <n v="1"/>
    <s v="White, Mr. Percival Wayland"/>
    <n v="0"/>
    <x v="5"/>
    <n v="0"/>
    <n v="1"/>
    <s v="35281"/>
    <n v="77.287499999999994"/>
    <s v="D26"/>
    <s v="S"/>
    <n v="1"/>
    <n v="0"/>
    <n v="0"/>
    <x v="0"/>
    <n v="0"/>
    <n v="0"/>
    <n v="1"/>
    <n v="0"/>
    <n v="0"/>
  </r>
  <r>
    <n v="126"/>
    <n v="1"/>
    <n v="3"/>
    <s v="Nicola-Yarred, Master. Elias"/>
    <n v="0"/>
    <x v="46"/>
    <n v="1"/>
    <n v="0"/>
    <s v="2651"/>
    <n v="11.2417"/>
    <s v=""/>
    <s v="C"/>
    <n v="0"/>
    <n v="1"/>
    <n v="0"/>
    <x v="3"/>
    <n v="0"/>
    <n v="0"/>
    <n v="0"/>
    <n v="1"/>
    <n v="0"/>
  </r>
  <r>
    <n v="127"/>
    <n v="0"/>
    <n v="3"/>
    <s v="McMahon, Mr. Martin"/>
    <n v="0"/>
    <x v="4"/>
    <n v="0"/>
    <n v="0"/>
    <s v="370372"/>
    <n v="7.75"/>
    <s v=""/>
    <s v="Q"/>
    <n v="0"/>
    <n v="0"/>
    <n v="1"/>
    <x v="0"/>
    <n v="0"/>
    <n v="0"/>
    <n v="1"/>
    <n v="0"/>
    <n v="0"/>
  </r>
  <r>
    <n v="128"/>
    <n v="1"/>
    <n v="3"/>
    <s v="Madsen, Mr. Fridtjof Arne"/>
    <n v="0"/>
    <x v="40"/>
    <n v="0"/>
    <n v="0"/>
    <s v="C 17369"/>
    <n v="7.1417000000000002"/>
    <s v=""/>
    <s v="S"/>
    <n v="1"/>
    <n v="0"/>
    <n v="0"/>
    <x v="0"/>
    <n v="0"/>
    <n v="0"/>
    <n v="1"/>
    <n v="0"/>
    <n v="0"/>
  </r>
  <r>
    <n v="129"/>
    <n v="1"/>
    <n v="3"/>
    <s v="Peter, Miss. Anna"/>
    <n v="1"/>
    <x v="4"/>
    <n v="1"/>
    <n v="1"/>
    <s v="2668"/>
    <n v="22.3583"/>
    <s v="F E69"/>
    <s v="C"/>
    <n v="0"/>
    <n v="1"/>
    <n v="0"/>
    <x v="2"/>
    <n v="1"/>
    <n v="0"/>
    <n v="0"/>
    <n v="0"/>
    <n v="0"/>
  </r>
  <r>
    <n v="130"/>
    <n v="0"/>
    <n v="3"/>
    <s v="Ekstrom, Mr. Johan"/>
    <n v="0"/>
    <x v="32"/>
    <n v="0"/>
    <n v="0"/>
    <s v="347061"/>
    <n v="6.9749999999999996"/>
    <s v=""/>
    <s v="S"/>
    <n v="1"/>
    <n v="0"/>
    <n v="0"/>
    <x v="0"/>
    <n v="0"/>
    <n v="0"/>
    <n v="1"/>
    <n v="0"/>
    <n v="0"/>
  </r>
  <r>
    <n v="131"/>
    <n v="0"/>
    <n v="3"/>
    <s v="Drazenoic, Mr. Jozef"/>
    <n v="0"/>
    <x v="38"/>
    <n v="0"/>
    <n v="0"/>
    <s v="349241"/>
    <n v="7.8958000000000004"/>
    <s v=""/>
    <s v="C"/>
    <n v="0"/>
    <n v="1"/>
    <n v="0"/>
    <x v="0"/>
    <n v="0"/>
    <n v="0"/>
    <n v="1"/>
    <n v="0"/>
    <n v="0"/>
  </r>
  <r>
    <n v="132"/>
    <n v="0"/>
    <n v="3"/>
    <s v="Coelho, Mr. Domingos Fernandeo"/>
    <n v="0"/>
    <x v="11"/>
    <n v="0"/>
    <n v="0"/>
    <s v="SOTON/O.Q. 3101307"/>
    <n v="7.05"/>
    <s v=""/>
    <s v="S"/>
    <n v="1"/>
    <n v="0"/>
    <n v="0"/>
    <x v="0"/>
    <n v="0"/>
    <n v="0"/>
    <n v="1"/>
    <n v="0"/>
    <n v="0"/>
  </r>
  <r>
    <n v="133"/>
    <n v="0"/>
    <n v="3"/>
    <s v="Robins, Mrs. Alexander A (Grace Charity Laury)"/>
    <n v="1"/>
    <x v="45"/>
    <n v="1"/>
    <n v="0"/>
    <s v="A/5. 3337"/>
    <n v="14.5"/>
    <s v=""/>
    <s v="S"/>
    <n v="1"/>
    <n v="0"/>
    <n v="0"/>
    <x v="1"/>
    <n v="0"/>
    <n v="1"/>
    <n v="0"/>
    <n v="0"/>
    <n v="0"/>
  </r>
  <r>
    <n v="134"/>
    <n v="1"/>
    <n v="2"/>
    <s v="Weisz, Mrs. Leopold (Mathilde Francoise Pede)"/>
    <n v="1"/>
    <x v="28"/>
    <n v="1"/>
    <n v="0"/>
    <s v="228414"/>
    <n v="26"/>
    <s v=""/>
    <s v="S"/>
    <n v="1"/>
    <n v="0"/>
    <n v="0"/>
    <x v="1"/>
    <n v="0"/>
    <n v="1"/>
    <n v="0"/>
    <n v="0"/>
    <n v="0"/>
  </r>
  <r>
    <n v="135"/>
    <n v="0"/>
    <n v="2"/>
    <s v="Sobey, Mr. Samuel James Hayden"/>
    <n v="0"/>
    <x v="36"/>
    <n v="0"/>
    <n v="0"/>
    <s v="C.A. 29178"/>
    <n v="13"/>
    <s v=""/>
    <s v="S"/>
    <n v="1"/>
    <n v="0"/>
    <n v="0"/>
    <x v="0"/>
    <n v="0"/>
    <n v="0"/>
    <n v="1"/>
    <n v="0"/>
    <n v="0"/>
  </r>
  <r>
    <n v="136"/>
    <n v="0"/>
    <n v="2"/>
    <s v="Richard, Mr. Emile"/>
    <n v="0"/>
    <x v="39"/>
    <n v="0"/>
    <n v="0"/>
    <s v="SC/PARIS 2133"/>
    <n v="15.0458"/>
    <s v=""/>
    <s v="C"/>
    <n v="0"/>
    <n v="1"/>
    <n v="0"/>
    <x v="0"/>
    <n v="0"/>
    <n v="0"/>
    <n v="1"/>
    <n v="0"/>
    <n v="0"/>
  </r>
  <r>
    <n v="137"/>
    <n v="1"/>
    <n v="1"/>
    <s v="Newsom, Miss. Helen Monypeny"/>
    <n v="1"/>
    <x v="19"/>
    <n v="0"/>
    <n v="2"/>
    <s v="11752"/>
    <n v="26.283300000000001"/>
    <s v="D47"/>
    <s v="S"/>
    <n v="1"/>
    <n v="0"/>
    <n v="0"/>
    <x v="2"/>
    <n v="1"/>
    <n v="0"/>
    <n v="0"/>
    <n v="0"/>
    <n v="0"/>
  </r>
  <r>
    <n v="138"/>
    <n v="0"/>
    <n v="1"/>
    <s v="Futrelle, Mr. Jacques Heath"/>
    <n v="0"/>
    <x v="44"/>
    <n v="1"/>
    <n v="0"/>
    <s v="113803"/>
    <n v="53.1"/>
    <s v="C123"/>
    <s v="S"/>
    <n v="1"/>
    <n v="0"/>
    <n v="0"/>
    <x v="0"/>
    <n v="0"/>
    <n v="0"/>
    <n v="1"/>
    <n v="0"/>
    <n v="0"/>
  </r>
  <r>
    <n v="139"/>
    <n v="0"/>
    <n v="3"/>
    <s v="Osen, Mr. Olaf Elon"/>
    <n v="0"/>
    <x v="35"/>
    <n v="0"/>
    <n v="0"/>
    <s v="7534"/>
    <n v="9.2166999999999994"/>
    <s v=""/>
    <s v="S"/>
    <n v="1"/>
    <n v="0"/>
    <n v="0"/>
    <x v="0"/>
    <n v="0"/>
    <n v="0"/>
    <n v="1"/>
    <n v="0"/>
    <n v="0"/>
  </r>
  <r>
    <n v="140"/>
    <n v="0"/>
    <n v="1"/>
    <s v="Giglio, Mr. Victor"/>
    <n v="0"/>
    <x v="40"/>
    <n v="0"/>
    <n v="0"/>
    <s v="PC 17593"/>
    <n v="79.2"/>
    <s v="B86"/>
    <s v="C"/>
    <n v="0"/>
    <n v="1"/>
    <n v="0"/>
    <x v="0"/>
    <n v="0"/>
    <n v="0"/>
    <n v="1"/>
    <n v="0"/>
    <n v="0"/>
  </r>
  <r>
    <n v="141"/>
    <n v="0"/>
    <n v="3"/>
    <s v="Boulos, Mrs. Joseph (Sultana)"/>
    <n v="1"/>
    <x v="4"/>
    <n v="0"/>
    <n v="2"/>
    <s v="2678"/>
    <n v="15.245799999999999"/>
    <s v=""/>
    <s v="C"/>
    <n v="0"/>
    <n v="1"/>
    <n v="0"/>
    <x v="1"/>
    <n v="0"/>
    <n v="1"/>
    <n v="0"/>
    <n v="0"/>
    <n v="0"/>
  </r>
  <r>
    <n v="142"/>
    <n v="1"/>
    <n v="3"/>
    <s v="Nysten, Miss. Anna Sofia"/>
    <n v="1"/>
    <x v="0"/>
    <n v="0"/>
    <n v="0"/>
    <s v="347081"/>
    <n v="7.75"/>
    <s v=""/>
    <s v="S"/>
    <n v="1"/>
    <n v="0"/>
    <n v="0"/>
    <x v="2"/>
    <n v="1"/>
    <n v="0"/>
    <n v="0"/>
    <n v="0"/>
    <n v="0"/>
  </r>
  <r>
    <n v="143"/>
    <n v="1"/>
    <n v="3"/>
    <s v="Hakkarainen, Mrs. Pekka Pietari (Elin Matilda Dolck)"/>
    <n v="1"/>
    <x v="40"/>
    <n v="1"/>
    <n v="0"/>
    <s v="STON/O2. 3101279"/>
    <n v="15.85"/>
    <s v=""/>
    <s v="S"/>
    <n v="1"/>
    <n v="0"/>
    <n v="0"/>
    <x v="1"/>
    <n v="0"/>
    <n v="1"/>
    <n v="0"/>
    <n v="0"/>
    <n v="0"/>
  </r>
  <r>
    <n v="144"/>
    <n v="0"/>
    <n v="3"/>
    <s v="Burke, Mr. Jeremiah"/>
    <n v="0"/>
    <x v="19"/>
    <n v="0"/>
    <n v="0"/>
    <s v="365222"/>
    <n v="6.75"/>
    <s v=""/>
    <s v="Q"/>
    <n v="0"/>
    <n v="0"/>
    <n v="1"/>
    <x v="0"/>
    <n v="0"/>
    <n v="0"/>
    <n v="1"/>
    <n v="0"/>
    <n v="0"/>
  </r>
  <r>
    <n v="145"/>
    <n v="0"/>
    <n v="2"/>
    <s v="Andrew, Mr. Edgardo Samuel"/>
    <n v="0"/>
    <x v="24"/>
    <n v="0"/>
    <n v="0"/>
    <s v="231945"/>
    <n v="11.5"/>
    <s v=""/>
    <s v="S"/>
    <n v="1"/>
    <n v="0"/>
    <n v="0"/>
    <x v="0"/>
    <n v="0"/>
    <n v="0"/>
    <n v="1"/>
    <n v="0"/>
    <n v="0"/>
  </r>
  <r>
    <n v="146"/>
    <n v="0"/>
    <n v="2"/>
    <s v="Nicholls, Mr. Joseph Charles"/>
    <n v="0"/>
    <x v="19"/>
    <n v="1"/>
    <n v="1"/>
    <s v="C.A. 33112"/>
    <n v="36.75"/>
    <s v=""/>
    <s v="S"/>
    <n v="1"/>
    <n v="0"/>
    <n v="0"/>
    <x v="0"/>
    <n v="0"/>
    <n v="0"/>
    <n v="1"/>
    <n v="0"/>
    <n v="0"/>
  </r>
  <r>
    <n v="147"/>
    <n v="1"/>
    <n v="3"/>
    <s v="Andersson, Mr. August Edvard (&quot;Wennerstrom&quot;)"/>
    <n v="0"/>
    <x v="7"/>
    <n v="0"/>
    <n v="0"/>
    <s v="350043"/>
    <n v="7.7957999999999998"/>
    <s v=""/>
    <s v="S"/>
    <n v="1"/>
    <n v="0"/>
    <n v="0"/>
    <x v="0"/>
    <n v="0"/>
    <n v="0"/>
    <n v="1"/>
    <n v="0"/>
    <n v="0"/>
  </r>
  <r>
    <n v="148"/>
    <n v="0"/>
    <n v="3"/>
    <s v="Ford, Miss. Robina Maggie &quot;Ruby&quot;"/>
    <n v="1"/>
    <x v="47"/>
    <n v="2"/>
    <n v="2"/>
    <s v="W./C. 6608"/>
    <n v="34.375"/>
    <s v=""/>
    <s v="S"/>
    <n v="1"/>
    <n v="0"/>
    <n v="0"/>
    <x v="2"/>
    <n v="1"/>
    <n v="0"/>
    <n v="0"/>
    <n v="0"/>
    <n v="0"/>
  </r>
  <r>
    <n v="149"/>
    <n v="0"/>
    <n v="2"/>
    <s v="Navratil, Mr. Michel (&quot;Louis M Hoffman&quot;)"/>
    <n v="0"/>
    <x v="4"/>
    <n v="0"/>
    <n v="2"/>
    <s v="230080"/>
    <n v="26"/>
    <s v="F2"/>
    <s v="S"/>
    <n v="1"/>
    <n v="0"/>
    <n v="0"/>
    <x v="0"/>
    <n v="0"/>
    <n v="0"/>
    <n v="1"/>
    <n v="0"/>
    <n v="0"/>
  </r>
  <r>
    <n v="150"/>
    <n v="0"/>
    <n v="2"/>
    <s v="Byles, Rev. Thomas Roussel Davids"/>
    <n v="0"/>
    <x v="22"/>
    <n v="0"/>
    <n v="0"/>
    <s v="244310"/>
    <n v="13"/>
    <s v=""/>
    <s v="S"/>
    <n v="1"/>
    <n v="0"/>
    <n v="0"/>
    <x v="5"/>
    <n v="0"/>
    <n v="0"/>
    <n v="0"/>
    <n v="0"/>
    <n v="1"/>
  </r>
  <r>
    <n v="151"/>
    <n v="0"/>
    <n v="2"/>
    <s v="Bateman, Rev. Robert James"/>
    <n v="0"/>
    <x v="48"/>
    <n v="0"/>
    <n v="0"/>
    <s v="S.O.P. 1166"/>
    <n v="12.525"/>
    <s v=""/>
    <s v="S"/>
    <n v="1"/>
    <n v="0"/>
    <n v="0"/>
    <x v="5"/>
    <n v="0"/>
    <n v="0"/>
    <n v="0"/>
    <n v="0"/>
    <n v="1"/>
  </r>
  <r>
    <n v="152"/>
    <n v="1"/>
    <n v="1"/>
    <s v="Pears, Mrs. Thomas (Edith Wearne)"/>
    <n v="1"/>
    <x v="0"/>
    <n v="1"/>
    <n v="0"/>
    <s v="113776"/>
    <n v="66.599999999999994"/>
    <s v="C2"/>
    <s v="S"/>
    <n v="1"/>
    <n v="0"/>
    <n v="0"/>
    <x v="1"/>
    <n v="0"/>
    <n v="1"/>
    <n v="0"/>
    <n v="0"/>
    <n v="0"/>
  </r>
  <r>
    <n v="153"/>
    <n v="0"/>
    <n v="3"/>
    <s v="Meo, Mr. Alfonzo"/>
    <n v="0"/>
    <x v="4"/>
    <n v="0"/>
    <n v="0"/>
    <s v="A.5. 11206"/>
    <n v="8.0500000000000007"/>
    <s v=""/>
    <s v="S"/>
    <n v="1"/>
    <n v="0"/>
    <n v="0"/>
    <x v="0"/>
    <n v="0"/>
    <n v="0"/>
    <n v="1"/>
    <n v="0"/>
    <n v="0"/>
  </r>
  <r>
    <n v="154"/>
    <n v="0"/>
    <n v="3"/>
    <s v="van Billiard, Mr. Austin Blyler"/>
    <n v="0"/>
    <x v="4"/>
    <n v="0"/>
    <n v="2"/>
    <s v="A/5. 851"/>
    <n v="14.5"/>
    <s v=""/>
    <s v="S"/>
    <n v="1"/>
    <n v="0"/>
    <n v="0"/>
    <x v="0"/>
    <n v="0"/>
    <n v="0"/>
    <n v="1"/>
    <n v="0"/>
    <n v="0"/>
  </r>
  <r>
    <n v="155"/>
    <n v="0"/>
    <n v="3"/>
    <s v="Olsen, Mr. Ole Martin"/>
    <n v="0"/>
    <x v="4"/>
    <n v="0"/>
    <n v="0"/>
    <s v="Fa 265302"/>
    <n v="7.3125"/>
    <s v=""/>
    <s v="S"/>
    <n v="1"/>
    <n v="0"/>
    <n v="0"/>
    <x v="0"/>
    <n v="0"/>
    <n v="0"/>
    <n v="1"/>
    <n v="0"/>
    <n v="0"/>
  </r>
  <r>
    <n v="156"/>
    <n v="0"/>
    <n v="1"/>
    <s v="Williams, Mr. Charles Duane"/>
    <n v="0"/>
    <x v="48"/>
    <n v="0"/>
    <n v="1"/>
    <s v="PC 17597"/>
    <n v="61.379199999999997"/>
    <s v=""/>
    <s v="C"/>
    <n v="0"/>
    <n v="1"/>
    <n v="0"/>
    <x v="0"/>
    <n v="0"/>
    <n v="0"/>
    <n v="1"/>
    <n v="0"/>
    <n v="0"/>
  </r>
  <r>
    <n v="157"/>
    <n v="1"/>
    <n v="3"/>
    <s v="Gilnagh, Miss. Katherine &quot;Katie&quot;"/>
    <n v="1"/>
    <x v="35"/>
    <n v="0"/>
    <n v="0"/>
    <s v="35851"/>
    <n v="7.7332999999999998"/>
    <s v=""/>
    <s v="Q"/>
    <n v="0"/>
    <n v="0"/>
    <n v="1"/>
    <x v="2"/>
    <n v="1"/>
    <n v="0"/>
    <n v="0"/>
    <n v="0"/>
    <n v="0"/>
  </r>
  <r>
    <n v="158"/>
    <n v="0"/>
    <n v="3"/>
    <s v="Corn, Mr. Harry"/>
    <n v="0"/>
    <x v="37"/>
    <n v="0"/>
    <n v="0"/>
    <s v="SOTON/OQ 392090"/>
    <n v="8.0500000000000007"/>
    <s v=""/>
    <s v="S"/>
    <n v="1"/>
    <n v="0"/>
    <n v="0"/>
    <x v="0"/>
    <n v="0"/>
    <n v="0"/>
    <n v="1"/>
    <n v="0"/>
    <n v="0"/>
  </r>
  <r>
    <n v="159"/>
    <n v="0"/>
    <n v="3"/>
    <s v="Smiljanic, Mr. Mile"/>
    <n v="0"/>
    <x v="4"/>
    <n v="0"/>
    <n v="0"/>
    <s v="315037"/>
    <n v="8.6624999999999996"/>
    <s v=""/>
    <s v="S"/>
    <n v="1"/>
    <n v="0"/>
    <n v="0"/>
    <x v="0"/>
    <n v="0"/>
    <n v="0"/>
    <n v="1"/>
    <n v="0"/>
    <n v="0"/>
  </r>
  <r>
    <n v="160"/>
    <n v="0"/>
    <n v="3"/>
    <s v="Sage, Master. Thomas Henry"/>
    <n v="0"/>
    <x v="4"/>
    <n v="8"/>
    <n v="2"/>
    <s v="CA. 2343"/>
    <n v="69.55"/>
    <s v=""/>
    <s v="S"/>
    <n v="1"/>
    <n v="0"/>
    <n v="0"/>
    <x v="3"/>
    <n v="0"/>
    <n v="0"/>
    <n v="0"/>
    <n v="1"/>
    <n v="0"/>
  </r>
  <r>
    <n v="161"/>
    <n v="0"/>
    <n v="3"/>
    <s v="Cribb, Mr. John Hatfield"/>
    <n v="0"/>
    <x v="49"/>
    <n v="0"/>
    <n v="1"/>
    <s v="371362"/>
    <n v="16.100000000000001"/>
    <s v=""/>
    <s v="S"/>
    <n v="1"/>
    <n v="0"/>
    <n v="0"/>
    <x v="0"/>
    <n v="0"/>
    <n v="0"/>
    <n v="1"/>
    <n v="0"/>
    <n v="0"/>
  </r>
  <r>
    <n v="162"/>
    <n v="1"/>
    <n v="2"/>
    <s v="Watt, Mrs. James (Elizabeth &quot;Bessie&quot; Inglis Milne)"/>
    <n v="1"/>
    <x v="20"/>
    <n v="0"/>
    <n v="0"/>
    <s v="C.A. 33595"/>
    <n v="15.75"/>
    <s v=""/>
    <s v="S"/>
    <n v="1"/>
    <n v="0"/>
    <n v="0"/>
    <x v="1"/>
    <n v="0"/>
    <n v="1"/>
    <n v="0"/>
    <n v="0"/>
    <n v="0"/>
  </r>
  <r>
    <n v="163"/>
    <n v="0"/>
    <n v="3"/>
    <s v="Bengtsson, Mr. John Viktor"/>
    <n v="0"/>
    <x v="2"/>
    <n v="0"/>
    <n v="0"/>
    <s v="347068"/>
    <n v="7.7750000000000004"/>
    <s v=""/>
    <s v="S"/>
    <n v="1"/>
    <n v="0"/>
    <n v="0"/>
    <x v="0"/>
    <n v="0"/>
    <n v="0"/>
    <n v="1"/>
    <n v="0"/>
    <n v="0"/>
  </r>
  <r>
    <n v="164"/>
    <n v="0"/>
    <n v="3"/>
    <s v="Calic, Mr. Jovo"/>
    <n v="0"/>
    <x v="33"/>
    <n v="0"/>
    <n v="0"/>
    <s v="315093"/>
    <n v="8.6624999999999996"/>
    <s v=""/>
    <s v="S"/>
    <n v="1"/>
    <n v="0"/>
    <n v="0"/>
    <x v="0"/>
    <n v="0"/>
    <n v="0"/>
    <n v="1"/>
    <n v="0"/>
    <n v="0"/>
  </r>
  <r>
    <n v="165"/>
    <n v="0"/>
    <n v="3"/>
    <s v="Panula, Master. Eino Viljami"/>
    <n v="0"/>
    <x v="50"/>
    <n v="4"/>
    <n v="1"/>
    <s v="3101295"/>
    <n v="39.6875"/>
    <s v=""/>
    <s v="S"/>
    <n v="1"/>
    <n v="0"/>
    <n v="0"/>
    <x v="3"/>
    <n v="0"/>
    <n v="0"/>
    <n v="0"/>
    <n v="1"/>
    <n v="0"/>
  </r>
  <r>
    <n v="166"/>
    <n v="1"/>
    <n v="3"/>
    <s v="Goldsmith, Master. Frank John William &quot;Frankie&quot;"/>
    <n v="0"/>
    <x v="47"/>
    <n v="0"/>
    <n v="2"/>
    <s v="363291"/>
    <n v="20.524999999999999"/>
    <s v=""/>
    <s v="S"/>
    <n v="1"/>
    <n v="0"/>
    <n v="0"/>
    <x v="3"/>
    <n v="0"/>
    <n v="0"/>
    <n v="0"/>
    <n v="1"/>
    <n v="0"/>
  </r>
  <r>
    <n v="167"/>
    <n v="1"/>
    <n v="1"/>
    <s v="Chibnall, Mrs. (Edith Martha Bowerman)"/>
    <n v="1"/>
    <x v="4"/>
    <n v="0"/>
    <n v="1"/>
    <s v="113505"/>
    <n v="55"/>
    <s v="E33"/>
    <s v="S"/>
    <n v="1"/>
    <n v="0"/>
    <n v="0"/>
    <x v="1"/>
    <n v="0"/>
    <n v="1"/>
    <n v="0"/>
    <n v="0"/>
    <n v="0"/>
  </r>
  <r>
    <n v="168"/>
    <n v="0"/>
    <n v="3"/>
    <s v="Skoog, Mrs. William (Anna Bernhardina Karlsson)"/>
    <n v="1"/>
    <x v="32"/>
    <n v="1"/>
    <n v="4"/>
    <s v="347088"/>
    <n v="27.9"/>
    <s v=""/>
    <s v="S"/>
    <n v="1"/>
    <n v="0"/>
    <n v="0"/>
    <x v="1"/>
    <n v="0"/>
    <n v="1"/>
    <n v="0"/>
    <n v="0"/>
    <n v="0"/>
  </r>
  <r>
    <n v="169"/>
    <n v="0"/>
    <n v="1"/>
    <s v="Baumann, Mr. John D"/>
    <n v="0"/>
    <x v="4"/>
    <n v="0"/>
    <n v="0"/>
    <s v="PC 17318"/>
    <n v="25.925000000000001"/>
    <s v=""/>
    <s v="S"/>
    <n v="1"/>
    <n v="0"/>
    <n v="0"/>
    <x v="0"/>
    <n v="0"/>
    <n v="0"/>
    <n v="1"/>
    <n v="0"/>
    <n v="0"/>
  </r>
  <r>
    <n v="170"/>
    <n v="0"/>
    <n v="3"/>
    <s v="Ling, Mr. Lee"/>
    <n v="0"/>
    <x v="17"/>
    <n v="0"/>
    <n v="0"/>
    <s v="1601"/>
    <n v="56.495800000000003"/>
    <s v=""/>
    <s v="S"/>
    <n v="1"/>
    <n v="0"/>
    <n v="0"/>
    <x v="0"/>
    <n v="0"/>
    <n v="0"/>
    <n v="1"/>
    <n v="0"/>
    <n v="0"/>
  </r>
  <r>
    <n v="171"/>
    <n v="0"/>
    <n v="1"/>
    <s v="Van der hoef, Mr. Wyckoff"/>
    <n v="0"/>
    <x v="51"/>
    <n v="0"/>
    <n v="0"/>
    <s v="111240"/>
    <n v="33.5"/>
    <s v="B19"/>
    <s v="S"/>
    <n v="1"/>
    <n v="0"/>
    <n v="0"/>
    <x v="0"/>
    <n v="0"/>
    <n v="0"/>
    <n v="1"/>
    <n v="0"/>
    <n v="0"/>
  </r>
  <r>
    <n v="172"/>
    <n v="0"/>
    <n v="3"/>
    <s v="Rice, Master. Arthur"/>
    <n v="0"/>
    <x v="9"/>
    <n v="4"/>
    <n v="1"/>
    <s v="382652"/>
    <n v="29.125"/>
    <s v=""/>
    <s v="Q"/>
    <n v="0"/>
    <n v="0"/>
    <n v="1"/>
    <x v="3"/>
    <n v="0"/>
    <n v="0"/>
    <n v="0"/>
    <n v="1"/>
    <n v="0"/>
  </r>
  <r>
    <n v="173"/>
    <n v="1"/>
    <n v="3"/>
    <s v="Johnson, Miss. Eleanor Ileen"/>
    <n v="1"/>
    <x v="50"/>
    <n v="1"/>
    <n v="1"/>
    <s v="347742"/>
    <n v="11.1333"/>
    <s v=""/>
    <s v="S"/>
    <n v="1"/>
    <n v="0"/>
    <n v="0"/>
    <x v="2"/>
    <n v="1"/>
    <n v="0"/>
    <n v="0"/>
    <n v="0"/>
    <n v="0"/>
  </r>
  <r>
    <n v="174"/>
    <n v="0"/>
    <n v="3"/>
    <s v="Sivola, Mr. Antti Wilhelm"/>
    <n v="0"/>
    <x v="23"/>
    <n v="0"/>
    <n v="0"/>
    <s v="STON/O 2. 3101280"/>
    <n v="7.9249999999999998"/>
    <s v=""/>
    <s v="S"/>
    <n v="1"/>
    <n v="0"/>
    <n v="0"/>
    <x v="0"/>
    <n v="0"/>
    <n v="0"/>
    <n v="1"/>
    <n v="0"/>
    <n v="0"/>
  </r>
  <r>
    <n v="175"/>
    <n v="0"/>
    <n v="1"/>
    <s v="Smith, Mr. James Clinch"/>
    <n v="0"/>
    <x v="52"/>
    <n v="0"/>
    <n v="0"/>
    <s v="17764"/>
    <n v="30.695799999999998"/>
    <s v="A7"/>
    <s v="C"/>
    <n v="0"/>
    <n v="1"/>
    <n v="0"/>
    <x v="0"/>
    <n v="0"/>
    <n v="0"/>
    <n v="1"/>
    <n v="0"/>
    <n v="0"/>
  </r>
  <r>
    <n v="176"/>
    <n v="0"/>
    <n v="3"/>
    <s v="Klasen, Mr. Klas Albin"/>
    <n v="0"/>
    <x v="24"/>
    <n v="1"/>
    <n v="1"/>
    <s v="350404"/>
    <n v="7.8541999999999996"/>
    <s v=""/>
    <s v="S"/>
    <n v="1"/>
    <n v="0"/>
    <n v="0"/>
    <x v="0"/>
    <n v="0"/>
    <n v="0"/>
    <n v="1"/>
    <n v="0"/>
    <n v="0"/>
  </r>
  <r>
    <n v="177"/>
    <n v="0"/>
    <n v="3"/>
    <s v="Lefebre, Master. Henry Forbes"/>
    <n v="0"/>
    <x v="4"/>
    <n v="3"/>
    <n v="1"/>
    <s v="4133"/>
    <n v="25.466699999999999"/>
    <s v=""/>
    <s v="S"/>
    <n v="1"/>
    <n v="0"/>
    <n v="0"/>
    <x v="3"/>
    <n v="0"/>
    <n v="0"/>
    <n v="0"/>
    <n v="1"/>
    <n v="0"/>
  </r>
  <r>
    <n v="178"/>
    <n v="0"/>
    <n v="1"/>
    <s v="Isham, Miss. Ann Elizabeth"/>
    <n v="1"/>
    <x v="53"/>
    <n v="0"/>
    <n v="0"/>
    <s v="PC 17595"/>
    <n v="28.712499999999999"/>
    <s v="C49"/>
    <s v="C"/>
    <n v="0"/>
    <n v="1"/>
    <n v="0"/>
    <x v="2"/>
    <n v="1"/>
    <n v="0"/>
    <n v="0"/>
    <n v="0"/>
    <n v="0"/>
  </r>
  <r>
    <n v="179"/>
    <n v="0"/>
    <n v="2"/>
    <s v="Hale, Mr. Reginald"/>
    <n v="0"/>
    <x v="37"/>
    <n v="0"/>
    <n v="0"/>
    <s v="250653"/>
    <n v="13"/>
    <s v=""/>
    <s v="S"/>
    <n v="1"/>
    <n v="0"/>
    <n v="0"/>
    <x v="0"/>
    <n v="0"/>
    <n v="0"/>
    <n v="1"/>
    <n v="0"/>
    <n v="0"/>
  </r>
  <r>
    <n v="180"/>
    <n v="0"/>
    <n v="3"/>
    <s v="Leonard, Mr. Lionel"/>
    <n v="0"/>
    <x v="54"/>
    <n v="0"/>
    <n v="0"/>
    <s v="LINE"/>
    <n v="0"/>
    <s v=""/>
    <s v="S"/>
    <n v="1"/>
    <n v="0"/>
    <n v="0"/>
    <x v="0"/>
    <n v="0"/>
    <n v="0"/>
    <n v="1"/>
    <n v="0"/>
    <n v="0"/>
  </r>
  <r>
    <n v="181"/>
    <n v="0"/>
    <n v="3"/>
    <s v="Sage, Miss. Constance Gladys"/>
    <n v="1"/>
    <x v="4"/>
    <n v="8"/>
    <n v="2"/>
    <s v="CA. 2343"/>
    <n v="69.55"/>
    <s v=""/>
    <s v="S"/>
    <n v="1"/>
    <n v="0"/>
    <n v="0"/>
    <x v="2"/>
    <n v="1"/>
    <n v="0"/>
    <n v="0"/>
    <n v="0"/>
    <n v="0"/>
  </r>
  <r>
    <n v="182"/>
    <n v="0"/>
    <n v="2"/>
    <s v="Pernot, Mr. Rene"/>
    <n v="0"/>
    <x v="4"/>
    <n v="0"/>
    <n v="0"/>
    <s v="SC/PARIS 2131"/>
    <n v="15.05"/>
    <s v=""/>
    <s v="C"/>
    <n v="0"/>
    <n v="1"/>
    <n v="0"/>
    <x v="0"/>
    <n v="0"/>
    <n v="0"/>
    <n v="1"/>
    <n v="0"/>
    <n v="0"/>
  </r>
  <r>
    <n v="183"/>
    <n v="0"/>
    <n v="3"/>
    <s v="Asplund, Master. Clarence Gustaf Hugo"/>
    <n v="0"/>
    <x v="47"/>
    <n v="4"/>
    <n v="2"/>
    <s v="347077"/>
    <n v="31.387499999999999"/>
    <s v=""/>
    <s v="S"/>
    <n v="1"/>
    <n v="0"/>
    <n v="0"/>
    <x v="3"/>
    <n v="0"/>
    <n v="0"/>
    <n v="0"/>
    <n v="1"/>
    <n v="0"/>
  </r>
  <r>
    <n v="184"/>
    <n v="1"/>
    <n v="2"/>
    <s v="Becker, Master. Richard F"/>
    <n v="0"/>
    <x v="50"/>
    <n v="2"/>
    <n v="1"/>
    <s v="230136"/>
    <n v="39"/>
    <s v="F4"/>
    <s v="S"/>
    <n v="1"/>
    <n v="0"/>
    <n v="0"/>
    <x v="3"/>
    <n v="0"/>
    <n v="0"/>
    <n v="0"/>
    <n v="1"/>
    <n v="0"/>
  </r>
  <r>
    <n v="185"/>
    <n v="1"/>
    <n v="3"/>
    <s v="Kink-Heilmann, Miss. Luise Gretchen"/>
    <n v="1"/>
    <x v="9"/>
    <n v="0"/>
    <n v="2"/>
    <s v="315153"/>
    <n v="22.024999999999999"/>
    <s v=""/>
    <s v="S"/>
    <n v="1"/>
    <n v="0"/>
    <n v="0"/>
    <x v="2"/>
    <n v="1"/>
    <n v="0"/>
    <n v="0"/>
    <n v="0"/>
    <n v="0"/>
  </r>
  <r>
    <n v="186"/>
    <n v="0"/>
    <n v="1"/>
    <s v="Rood, Mr. Hugh Roscoe"/>
    <n v="0"/>
    <x v="4"/>
    <n v="0"/>
    <n v="0"/>
    <s v="113767"/>
    <n v="50"/>
    <s v="A32"/>
    <s v="S"/>
    <n v="1"/>
    <n v="0"/>
    <n v="0"/>
    <x v="0"/>
    <n v="0"/>
    <n v="0"/>
    <n v="1"/>
    <n v="0"/>
    <n v="0"/>
  </r>
  <r>
    <n v="187"/>
    <n v="1"/>
    <n v="3"/>
    <s v="O'Brien, Mrs. Thomas (Johanna &quot;Hannah&quot; Godfrey)"/>
    <n v="1"/>
    <x v="4"/>
    <n v="1"/>
    <n v="0"/>
    <s v="370365"/>
    <n v="15.5"/>
    <s v=""/>
    <s v="Q"/>
    <n v="0"/>
    <n v="0"/>
    <n v="1"/>
    <x v="1"/>
    <n v="0"/>
    <n v="1"/>
    <n v="0"/>
    <n v="0"/>
    <n v="0"/>
  </r>
  <r>
    <n v="188"/>
    <n v="1"/>
    <n v="1"/>
    <s v="Romaine, Mr. Charles Hallace (&quot;Mr C Rolmane&quot;)"/>
    <n v="0"/>
    <x v="32"/>
    <n v="0"/>
    <n v="0"/>
    <s v="111428"/>
    <n v="26.55"/>
    <s v=""/>
    <s v="S"/>
    <n v="1"/>
    <n v="0"/>
    <n v="0"/>
    <x v="0"/>
    <n v="0"/>
    <n v="0"/>
    <n v="1"/>
    <n v="0"/>
    <n v="0"/>
  </r>
  <r>
    <n v="189"/>
    <n v="0"/>
    <n v="3"/>
    <s v="Bourke, Mr. John"/>
    <n v="0"/>
    <x v="20"/>
    <n v="1"/>
    <n v="1"/>
    <s v="364849"/>
    <n v="15.5"/>
    <s v=""/>
    <s v="Q"/>
    <n v="0"/>
    <n v="0"/>
    <n v="1"/>
    <x v="0"/>
    <n v="0"/>
    <n v="0"/>
    <n v="1"/>
    <n v="0"/>
    <n v="0"/>
  </r>
  <r>
    <n v="190"/>
    <n v="0"/>
    <n v="3"/>
    <s v="Turcin, Mr. Stjepan"/>
    <n v="0"/>
    <x v="54"/>
    <n v="0"/>
    <n v="0"/>
    <s v="349247"/>
    <n v="7.8958000000000004"/>
    <s v=""/>
    <s v="S"/>
    <n v="1"/>
    <n v="0"/>
    <n v="0"/>
    <x v="0"/>
    <n v="0"/>
    <n v="0"/>
    <n v="1"/>
    <n v="0"/>
    <n v="0"/>
  </r>
  <r>
    <n v="191"/>
    <n v="1"/>
    <n v="2"/>
    <s v="Pinsky, Mrs. (Rosa)"/>
    <n v="1"/>
    <x v="34"/>
    <n v="0"/>
    <n v="0"/>
    <s v="234604"/>
    <n v="13"/>
    <s v=""/>
    <s v="S"/>
    <n v="1"/>
    <n v="0"/>
    <n v="0"/>
    <x v="1"/>
    <n v="0"/>
    <n v="1"/>
    <n v="0"/>
    <n v="0"/>
    <n v="0"/>
  </r>
  <r>
    <n v="192"/>
    <n v="0"/>
    <n v="2"/>
    <s v="Carbines, Mr. William"/>
    <n v="0"/>
    <x v="19"/>
    <n v="0"/>
    <n v="0"/>
    <s v="28424"/>
    <n v="13"/>
    <s v=""/>
    <s v="S"/>
    <n v="1"/>
    <n v="0"/>
    <n v="0"/>
    <x v="0"/>
    <n v="0"/>
    <n v="0"/>
    <n v="1"/>
    <n v="0"/>
    <n v="0"/>
  </r>
  <r>
    <n v="193"/>
    <n v="1"/>
    <n v="3"/>
    <s v="Andersen-Jensen, Miss. Carla Christine Nielsine"/>
    <n v="1"/>
    <x v="19"/>
    <n v="1"/>
    <n v="0"/>
    <s v="350046"/>
    <n v="7.8541999999999996"/>
    <s v=""/>
    <s v="S"/>
    <n v="1"/>
    <n v="0"/>
    <n v="0"/>
    <x v="2"/>
    <n v="1"/>
    <n v="0"/>
    <n v="0"/>
    <n v="0"/>
    <n v="0"/>
  </r>
  <r>
    <n v="194"/>
    <n v="1"/>
    <n v="2"/>
    <s v="Navratil, Master. Michel M"/>
    <n v="0"/>
    <x v="25"/>
    <n v="1"/>
    <n v="1"/>
    <s v="230080"/>
    <n v="26"/>
    <s v="F2"/>
    <s v="S"/>
    <n v="1"/>
    <n v="0"/>
    <n v="0"/>
    <x v="3"/>
    <n v="0"/>
    <n v="0"/>
    <n v="0"/>
    <n v="1"/>
    <n v="0"/>
  </r>
  <r>
    <n v="195"/>
    <n v="1"/>
    <n v="1"/>
    <s v="Brown, Mrs. James Joseph (Margaret Tobin)"/>
    <n v="1"/>
    <x v="49"/>
    <n v="0"/>
    <n v="0"/>
    <s v="PC 17610"/>
    <n v="27.720800000000001"/>
    <s v="B4"/>
    <s v="C"/>
    <n v="0"/>
    <n v="1"/>
    <n v="0"/>
    <x v="1"/>
    <n v="0"/>
    <n v="1"/>
    <n v="0"/>
    <n v="0"/>
    <n v="0"/>
  </r>
  <r>
    <n v="196"/>
    <n v="1"/>
    <n v="1"/>
    <s v="Lurette, Miss. Elise"/>
    <n v="1"/>
    <x v="10"/>
    <n v="0"/>
    <n v="0"/>
    <s v="PC 17569"/>
    <n v="146.52080000000001"/>
    <s v="B80"/>
    <s v="C"/>
    <n v="0"/>
    <n v="1"/>
    <n v="0"/>
    <x v="2"/>
    <n v="1"/>
    <n v="0"/>
    <n v="0"/>
    <n v="0"/>
    <n v="0"/>
  </r>
  <r>
    <n v="197"/>
    <n v="0"/>
    <n v="3"/>
    <s v="Mernagh, Mr. Robert"/>
    <n v="0"/>
    <x v="4"/>
    <n v="0"/>
    <n v="0"/>
    <s v="368703"/>
    <n v="7.75"/>
    <s v=""/>
    <s v="Q"/>
    <n v="0"/>
    <n v="0"/>
    <n v="1"/>
    <x v="0"/>
    <n v="0"/>
    <n v="0"/>
    <n v="1"/>
    <n v="0"/>
    <n v="0"/>
  </r>
  <r>
    <n v="198"/>
    <n v="0"/>
    <n v="3"/>
    <s v="Olsen, Mr. Karl Siegwart Andreas"/>
    <n v="0"/>
    <x v="22"/>
    <n v="0"/>
    <n v="1"/>
    <s v="4579"/>
    <n v="8.4041999999999994"/>
    <s v=""/>
    <s v="S"/>
    <n v="1"/>
    <n v="0"/>
    <n v="0"/>
    <x v="0"/>
    <n v="0"/>
    <n v="0"/>
    <n v="1"/>
    <n v="0"/>
    <n v="0"/>
  </r>
  <r>
    <n v="199"/>
    <n v="1"/>
    <n v="3"/>
    <s v="Madigan, Miss. Margaret &quot;Maggie&quot;"/>
    <n v="1"/>
    <x v="4"/>
    <n v="0"/>
    <n v="0"/>
    <s v="370370"/>
    <n v="7.75"/>
    <s v=""/>
    <s v="Q"/>
    <n v="0"/>
    <n v="0"/>
    <n v="1"/>
    <x v="2"/>
    <n v="1"/>
    <n v="0"/>
    <n v="0"/>
    <n v="0"/>
    <n v="0"/>
  </r>
  <r>
    <n v="200"/>
    <n v="0"/>
    <n v="2"/>
    <s v="Yrois, Miss. Henriette (&quot;Mrs Harbeck&quot;)"/>
    <n v="1"/>
    <x v="40"/>
    <n v="0"/>
    <n v="0"/>
    <s v="248747"/>
    <n v="13"/>
    <s v=""/>
    <s v="S"/>
    <n v="1"/>
    <n v="0"/>
    <n v="0"/>
    <x v="2"/>
    <n v="1"/>
    <n v="0"/>
    <n v="0"/>
    <n v="0"/>
    <n v="0"/>
  </r>
  <r>
    <n v="201"/>
    <n v="0"/>
    <n v="3"/>
    <s v="Vande Walle, Mr. Nestor Cyriel"/>
    <n v="0"/>
    <x v="17"/>
    <n v="0"/>
    <n v="0"/>
    <s v="345770"/>
    <n v="9.5"/>
    <s v=""/>
    <s v="S"/>
    <n v="1"/>
    <n v="0"/>
    <n v="0"/>
    <x v="0"/>
    <n v="0"/>
    <n v="0"/>
    <n v="1"/>
    <n v="0"/>
    <n v="0"/>
  </r>
  <r>
    <n v="202"/>
    <n v="0"/>
    <n v="3"/>
    <s v="Sage, Mr. Frederick"/>
    <n v="0"/>
    <x v="4"/>
    <n v="8"/>
    <n v="2"/>
    <s v="CA. 2343"/>
    <n v="69.55"/>
    <s v=""/>
    <s v="S"/>
    <n v="1"/>
    <n v="0"/>
    <n v="0"/>
    <x v="0"/>
    <n v="0"/>
    <n v="0"/>
    <n v="1"/>
    <n v="0"/>
    <n v="0"/>
  </r>
  <r>
    <n v="203"/>
    <n v="0"/>
    <n v="3"/>
    <s v="Johanson, Mr. Jakob Alfred"/>
    <n v="0"/>
    <x v="15"/>
    <n v="0"/>
    <n v="0"/>
    <s v="3101264"/>
    <n v="6.4958"/>
    <s v=""/>
    <s v="S"/>
    <n v="1"/>
    <n v="0"/>
    <n v="0"/>
    <x v="0"/>
    <n v="0"/>
    <n v="0"/>
    <n v="1"/>
    <n v="0"/>
    <n v="0"/>
  </r>
  <r>
    <n v="204"/>
    <n v="0"/>
    <n v="3"/>
    <s v="Youseff, Mr. Gerious"/>
    <n v="0"/>
    <x v="4"/>
    <n v="0"/>
    <n v="0"/>
    <s v="2628"/>
    <n v="7.2249999999999996"/>
    <s v=""/>
    <s v="C"/>
    <n v="0"/>
    <n v="1"/>
    <n v="0"/>
    <x v="0"/>
    <n v="0"/>
    <n v="0"/>
    <n v="1"/>
    <n v="0"/>
    <n v="0"/>
  </r>
  <r>
    <n v="205"/>
    <n v="1"/>
    <n v="3"/>
    <s v="Cohen, Mr. Gurshon &quot;Gus&quot;"/>
    <n v="0"/>
    <x v="24"/>
    <n v="0"/>
    <n v="0"/>
    <s v="A/5 3540"/>
    <n v="8.0500000000000007"/>
    <s v=""/>
    <s v="S"/>
    <n v="1"/>
    <n v="0"/>
    <n v="0"/>
    <x v="0"/>
    <n v="0"/>
    <n v="0"/>
    <n v="1"/>
    <n v="0"/>
    <n v="0"/>
  </r>
  <r>
    <n v="206"/>
    <n v="0"/>
    <n v="3"/>
    <s v="Strom, Miss. Telma Matilda"/>
    <n v="1"/>
    <x v="6"/>
    <n v="0"/>
    <n v="1"/>
    <s v="347054"/>
    <n v="10.4625"/>
    <s v="G6"/>
    <s v="S"/>
    <n v="1"/>
    <n v="0"/>
    <n v="0"/>
    <x v="2"/>
    <n v="1"/>
    <n v="0"/>
    <n v="0"/>
    <n v="0"/>
    <n v="0"/>
  </r>
  <r>
    <n v="207"/>
    <n v="0"/>
    <n v="3"/>
    <s v="Backstrom, Mr. Karl Alfred"/>
    <n v="0"/>
    <x v="34"/>
    <n v="1"/>
    <n v="0"/>
    <s v="3101278"/>
    <n v="15.85"/>
    <s v=""/>
    <s v="S"/>
    <n v="1"/>
    <n v="0"/>
    <n v="0"/>
    <x v="0"/>
    <n v="0"/>
    <n v="0"/>
    <n v="1"/>
    <n v="0"/>
    <n v="0"/>
  </r>
  <r>
    <n v="208"/>
    <n v="1"/>
    <n v="3"/>
    <s v="Albimona, Mr. Nassef Cassem"/>
    <n v="0"/>
    <x v="2"/>
    <n v="0"/>
    <n v="0"/>
    <s v="2699"/>
    <n v="18.787500000000001"/>
    <s v=""/>
    <s v="C"/>
    <n v="0"/>
    <n v="1"/>
    <n v="0"/>
    <x v="0"/>
    <n v="0"/>
    <n v="0"/>
    <n v="1"/>
    <n v="0"/>
    <n v="0"/>
  </r>
  <r>
    <n v="209"/>
    <n v="1"/>
    <n v="3"/>
    <s v="Carr, Miss. Helen &quot;Ellen&quot;"/>
    <n v="1"/>
    <x v="35"/>
    <n v="0"/>
    <n v="0"/>
    <s v="367231"/>
    <n v="7.75"/>
    <s v=""/>
    <s v="Q"/>
    <n v="0"/>
    <n v="0"/>
    <n v="1"/>
    <x v="2"/>
    <n v="1"/>
    <n v="0"/>
    <n v="0"/>
    <n v="0"/>
    <n v="0"/>
  </r>
  <r>
    <n v="210"/>
    <n v="1"/>
    <n v="1"/>
    <s v="Blank, Mr. Henry"/>
    <n v="0"/>
    <x v="20"/>
    <n v="0"/>
    <n v="0"/>
    <s v="112277"/>
    <n v="31"/>
    <s v="A31"/>
    <s v="C"/>
    <n v="0"/>
    <n v="1"/>
    <n v="0"/>
    <x v="0"/>
    <n v="0"/>
    <n v="0"/>
    <n v="1"/>
    <n v="0"/>
    <n v="0"/>
  </r>
  <r>
    <n v="211"/>
    <n v="0"/>
    <n v="3"/>
    <s v="Ali, Mr. Ahmed"/>
    <n v="0"/>
    <x v="40"/>
    <n v="0"/>
    <n v="0"/>
    <s v="SOTON/O.Q. 3101311"/>
    <n v="7.05"/>
    <s v=""/>
    <s v="S"/>
    <n v="1"/>
    <n v="0"/>
    <n v="0"/>
    <x v="0"/>
    <n v="0"/>
    <n v="0"/>
    <n v="1"/>
    <n v="0"/>
    <n v="0"/>
  </r>
  <r>
    <n v="212"/>
    <n v="1"/>
    <n v="2"/>
    <s v="Cameron, Miss. Clear Annie"/>
    <n v="1"/>
    <x v="3"/>
    <n v="0"/>
    <n v="0"/>
    <s v="F.C.C. 13528"/>
    <n v="21"/>
    <s v=""/>
    <s v="S"/>
    <n v="1"/>
    <n v="0"/>
    <n v="0"/>
    <x v="2"/>
    <n v="1"/>
    <n v="0"/>
    <n v="0"/>
    <n v="0"/>
    <n v="0"/>
  </r>
  <r>
    <n v="213"/>
    <n v="0"/>
    <n v="3"/>
    <s v="Perkin, Mr. John Henry"/>
    <n v="0"/>
    <x v="0"/>
    <n v="0"/>
    <n v="0"/>
    <s v="A/5 21174"/>
    <n v="7.25"/>
    <s v=""/>
    <s v="S"/>
    <n v="1"/>
    <n v="0"/>
    <n v="0"/>
    <x v="0"/>
    <n v="0"/>
    <n v="0"/>
    <n v="1"/>
    <n v="0"/>
    <n v="0"/>
  </r>
  <r>
    <n v="214"/>
    <n v="0"/>
    <n v="2"/>
    <s v="Givard, Mr. Hans Kristensen"/>
    <n v="0"/>
    <x v="37"/>
    <n v="0"/>
    <n v="0"/>
    <s v="250646"/>
    <n v="13"/>
    <s v=""/>
    <s v="S"/>
    <n v="1"/>
    <n v="0"/>
    <n v="0"/>
    <x v="0"/>
    <n v="0"/>
    <n v="0"/>
    <n v="1"/>
    <n v="0"/>
    <n v="0"/>
  </r>
  <r>
    <n v="215"/>
    <n v="0"/>
    <n v="3"/>
    <s v="Kiernan, Mr. Philip"/>
    <n v="0"/>
    <x v="4"/>
    <n v="1"/>
    <n v="0"/>
    <s v="367229"/>
    <n v="7.75"/>
    <s v=""/>
    <s v="Q"/>
    <n v="0"/>
    <n v="0"/>
    <n v="1"/>
    <x v="0"/>
    <n v="0"/>
    <n v="0"/>
    <n v="1"/>
    <n v="0"/>
    <n v="0"/>
  </r>
  <r>
    <n v="216"/>
    <n v="1"/>
    <n v="1"/>
    <s v="Newell, Miss. Madeleine"/>
    <n v="1"/>
    <x v="14"/>
    <n v="1"/>
    <n v="0"/>
    <s v="35273"/>
    <n v="113.27500000000001"/>
    <s v="D36"/>
    <s v="C"/>
    <n v="0"/>
    <n v="1"/>
    <n v="0"/>
    <x v="2"/>
    <n v="1"/>
    <n v="0"/>
    <n v="0"/>
    <n v="0"/>
    <n v="0"/>
  </r>
  <r>
    <n v="217"/>
    <n v="1"/>
    <n v="3"/>
    <s v="Honkanen, Miss. Eliina"/>
    <n v="1"/>
    <x v="7"/>
    <n v="0"/>
    <n v="0"/>
    <s v="STON/O2. 3101283"/>
    <n v="7.9249999999999998"/>
    <s v=""/>
    <s v="S"/>
    <n v="1"/>
    <n v="0"/>
    <n v="0"/>
    <x v="2"/>
    <n v="1"/>
    <n v="0"/>
    <n v="0"/>
    <n v="0"/>
    <n v="0"/>
  </r>
  <r>
    <n v="218"/>
    <n v="0"/>
    <n v="2"/>
    <s v="Jacobsohn, Mr. Sidney Samuel"/>
    <n v="0"/>
    <x v="22"/>
    <n v="1"/>
    <n v="0"/>
    <s v="243847"/>
    <n v="27"/>
    <s v=""/>
    <s v="S"/>
    <n v="1"/>
    <n v="0"/>
    <n v="0"/>
    <x v="0"/>
    <n v="0"/>
    <n v="0"/>
    <n v="1"/>
    <n v="0"/>
    <n v="0"/>
  </r>
  <r>
    <n v="219"/>
    <n v="1"/>
    <n v="1"/>
    <s v="Bazzani, Miss. Albina"/>
    <n v="1"/>
    <x v="34"/>
    <n v="0"/>
    <n v="0"/>
    <s v="11813"/>
    <n v="76.291700000000006"/>
    <s v="D15"/>
    <s v="C"/>
    <n v="0"/>
    <n v="1"/>
    <n v="0"/>
    <x v="2"/>
    <n v="1"/>
    <n v="0"/>
    <n v="0"/>
    <n v="0"/>
    <n v="0"/>
  </r>
  <r>
    <n v="220"/>
    <n v="0"/>
    <n v="2"/>
    <s v="Harris, Mr. Walter"/>
    <n v="0"/>
    <x v="37"/>
    <n v="0"/>
    <n v="0"/>
    <s v="W/C 14208"/>
    <n v="10.5"/>
    <s v=""/>
    <s v="S"/>
    <n v="1"/>
    <n v="0"/>
    <n v="0"/>
    <x v="0"/>
    <n v="0"/>
    <n v="0"/>
    <n v="1"/>
    <n v="0"/>
    <n v="0"/>
  </r>
  <r>
    <n v="221"/>
    <n v="1"/>
    <n v="3"/>
    <s v="Sunderland, Mr. Victor Francis"/>
    <n v="0"/>
    <x v="35"/>
    <n v="0"/>
    <n v="0"/>
    <s v="SOTON/OQ 392089"/>
    <n v="8.0500000000000007"/>
    <s v=""/>
    <s v="S"/>
    <n v="1"/>
    <n v="0"/>
    <n v="0"/>
    <x v="0"/>
    <n v="0"/>
    <n v="0"/>
    <n v="1"/>
    <n v="0"/>
    <n v="0"/>
  </r>
  <r>
    <n v="222"/>
    <n v="0"/>
    <n v="2"/>
    <s v="Bracken, Mr. James H"/>
    <n v="0"/>
    <x v="7"/>
    <n v="0"/>
    <n v="0"/>
    <s v="220367"/>
    <n v="13"/>
    <s v=""/>
    <s v="S"/>
    <n v="1"/>
    <n v="0"/>
    <n v="0"/>
    <x v="0"/>
    <n v="0"/>
    <n v="0"/>
    <n v="1"/>
    <n v="0"/>
    <n v="0"/>
  </r>
  <r>
    <n v="223"/>
    <n v="0"/>
    <n v="3"/>
    <s v="Green, Mr. George Henry"/>
    <n v="0"/>
    <x v="48"/>
    <n v="0"/>
    <n v="0"/>
    <s v="21440"/>
    <n v="8.0500000000000007"/>
    <s v=""/>
    <s v="S"/>
    <n v="1"/>
    <n v="0"/>
    <n v="0"/>
    <x v="0"/>
    <n v="0"/>
    <n v="0"/>
    <n v="1"/>
    <n v="0"/>
    <n v="0"/>
  </r>
  <r>
    <n v="224"/>
    <n v="0"/>
    <n v="3"/>
    <s v="Nenkoff, Mr. Christo"/>
    <n v="0"/>
    <x v="4"/>
    <n v="0"/>
    <n v="0"/>
    <s v="349234"/>
    <n v="7.8958000000000004"/>
    <s v=""/>
    <s v="S"/>
    <n v="1"/>
    <n v="0"/>
    <n v="0"/>
    <x v="0"/>
    <n v="0"/>
    <n v="0"/>
    <n v="1"/>
    <n v="0"/>
    <n v="0"/>
  </r>
  <r>
    <n v="225"/>
    <n v="1"/>
    <n v="1"/>
    <s v="Hoyt, Mr. Frederick Maxfield"/>
    <n v="0"/>
    <x v="1"/>
    <n v="1"/>
    <n v="0"/>
    <s v="19943"/>
    <n v="90"/>
    <s v="C93"/>
    <s v="S"/>
    <n v="1"/>
    <n v="0"/>
    <n v="0"/>
    <x v="0"/>
    <n v="0"/>
    <n v="0"/>
    <n v="1"/>
    <n v="0"/>
    <n v="0"/>
  </r>
  <r>
    <n v="226"/>
    <n v="0"/>
    <n v="3"/>
    <s v="Berglund, Mr. Karl Ivar Sven"/>
    <n v="0"/>
    <x v="0"/>
    <n v="0"/>
    <n v="0"/>
    <s v="PP 4348"/>
    <n v="9.35"/>
    <s v=""/>
    <s v="S"/>
    <n v="1"/>
    <n v="0"/>
    <n v="0"/>
    <x v="0"/>
    <n v="0"/>
    <n v="0"/>
    <n v="1"/>
    <n v="0"/>
    <n v="0"/>
  </r>
  <r>
    <n v="227"/>
    <n v="1"/>
    <n v="2"/>
    <s v="Mellors, Mr. William John"/>
    <n v="0"/>
    <x v="19"/>
    <n v="0"/>
    <n v="0"/>
    <s v="SW/PP 751"/>
    <n v="10.5"/>
    <s v=""/>
    <s v="S"/>
    <n v="1"/>
    <n v="0"/>
    <n v="0"/>
    <x v="0"/>
    <n v="0"/>
    <n v="0"/>
    <n v="1"/>
    <n v="0"/>
    <n v="0"/>
  </r>
  <r>
    <n v="228"/>
    <n v="0"/>
    <n v="3"/>
    <s v="Lovell, Mr. John Hall (&quot;Henry&quot;)"/>
    <n v="0"/>
    <x v="4"/>
    <n v="0"/>
    <n v="0"/>
    <s v="A/5 21173"/>
    <n v="7.25"/>
    <s v=""/>
    <s v="S"/>
    <n v="1"/>
    <n v="0"/>
    <n v="0"/>
    <x v="0"/>
    <n v="0"/>
    <n v="0"/>
    <n v="1"/>
    <n v="0"/>
    <n v="0"/>
  </r>
  <r>
    <n v="229"/>
    <n v="0"/>
    <n v="2"/>
    <s v="Fahlstrom, Mr. Arne Jonas"/>
    <n v="0"/>
    <x v="24"/>
    <n v="0"/>
    <n v="0"/>
    <s v="236171"/>
    <n v="13"/>
    <s v=""/>
    <s v="S"/>
    <n v="1"/>
    <n v="0"/>
    <n v="0"/>
    <x v="0"/>
    <n v="0"/>
    <n v="0"/>
    <n v="1"/>
    <n v="0"/>
    <n v="0"/>
  </r>
  <r>
    <n v="230"/>
    <n v="0"/>
    <n v="3"/>
    <s v="Lefebre, Miss. Mathilde"/>
    <n v="1"/>
    <x v="4"/>
    <n v="3"/>
    <n v="1"/>
    <s v="4133"/>
    <n v="25.466699999999999"/>
    <s v=""/>
    <s v="S"/>
    <n v="1"/>
    <n v="0"/>
    <n v="0"/>
    <x v="2"/>
    <n v="1"/>
    <n v="0"/>
    <n v="0"/>
    <n v="0"/>
    <n v="0"/>
  </r>
  <r>
    <n v="231"/>
    <n v="1"/>
    <n v="1"/>
    <s v="Harris, Mrs. Henry Birkhardt (Irene Wallach)"/>
    <n v="1"/>
    <x v="3"/>
    <n v="1"/>
    <n v="0"/>
    <s v="36973"/>
    <n v="83.474999999999994"/>
    <s v="C83"/>
    <s v="S"/>
    <n v="1"/>
    <n v="0"/>
    <n v="0"/>
    <x v="1"/>
    <n v="0"/>
    <n v="1"/>
    <n v="0"/>
    <n v="0"/>
    <n v="0"/>
  </r>
  <r>
    <n v="232"/>
    <n v="0"/>
    <n v="3"/>
    <s v="Larsson, Mr. Bengt Edvin"/>
    <n v="0"/>
    <x v="28"/>
    <n v="0"/>
    <n v="0"/>
    <s v="347067"/>
    <n v="7.7750000000000004"/>
    <s v=""/>
    <s v="S"/>
    <n v="1"/>
    <n v="0"/>
    <n v="0"/>
    <x v="0"/>
    <n v="0"/>
    <n v="0"/>
    <n v="1"/>
    <n v="0"/>
    <n v="0"/>
  </r>
  <r>
    <n v="233"/>
    <n v="0"/>
    <n v="2"/>
    <s v="Sjostedt, Mr. Ernst Adolf"/>
    <n v="0"/>
    <x v="42"/>
    <n v="0"/>
    <n v="0"/>
    <s v="237442"/>
    <n v="13.5"/>
    <s v=""/>
    <s v="S"/>
    <n v="1"/>
    <n v="0"/>
    <n v="0"/>
    <x v="0"/>
    <n v="0"/>
    <n v="0"/>
    <n v="1"/>
    <n v="0"/>
    <n v="0"/>
  </r>
  <r>
    <n v="234"/>
    <n v="1"/>
    <n v="3"/>
    <s v="Asplund, Miss. Lillian Gertrud"/>
    <n v="1"/>
    <x v="30"/>
    <n v="4"/>
    <n v="2"/>
    <s v="347077"/>
    <n v="31.387499999999999"/>
    <s v=""/>
    <s v="S"/>
    <n v="1"/>
    <n v="0"/>
    <n v="0"/>
    <x v="2"/>
    <n v="1"/>
    <n v="0"/>
    <n v="0"/>
    <n v="0"/>
    <n v="0"/>
  </r>
  <r>
    <n v="235"/>
    <n v="0"/>
    <n v="2"/>
    <s v="Leyson, Mr. Robert William Norman"/>
    <n v="0"/>
    <x v="40"/>
    <n v="0"/>
    <n v="0"/>
    <s v="C.A. 29566"/>
    <n v="10.5"/>
    <s v=""/>
    <s v="S"/>
    <n v="1"/>
    <n v="0"/>
    <n v="0"/>
    <x v="0"/>
    <n v="0"/>
    <n v="0"/>
    <n v="1"/>
    <n v="0"/>
    <n v="0"/>
  </r>
  <r>
    <n v="236"/>
    <n v="0"/>
    <n v="3"/>
    <s v="Harknett, Miss. Alice Phoebe"/>
    <n v="1"/>
    <x v="4"/>
    <n v="0"/>
    <n v="0"/>
    <s v="W./C. 6609"/>
    <n v="7.55"/>
    <s v=""/>
    <s v="S"/>
    <n v="1"/>
    <n v="0"/>
    <n v="0"/>
    <x v="2"/>
    <n v="1"/>
    <n v="0"/>
    <n v="0"/>
    <n v="0"/>
    <n v="0"/>
  </r>
  <r>
    <n v="237"/>
    <n v="0"/>
    <n v="2"/>
    <s v="Hold, Mr. Stephen"/>
    <n v="0"/>
    <x v="49"/>
    <n v="1"/>
    <n v="0"/>
    <s v="26707"/>
    <n v="26"/>
    <s v=""/>
    <s v="S"/>
    <n v="1"/>
    <n v="0"/>
    <n v="0"/>
    <x v="0"/>
    <n v="0"/>
    <n v="0"/>
    <n v="1"/>
    <n v="0"/>
    <n v="0"/>
  </r>
  <r>
    <n v="238"/>
    <n v="1"/>
    <n v="2"/>
    <s v="Collyer, Miss. Marjorie &quot;Lottie&quot;"/>
    <n v="1"/>
    <x v="18"/>
    <n v="0"/>
    <n v="2"/>
    <s v="C.A. 31921"/>
    <n v="26.25"/>
    <s v=""/>
    <s v="S"/>
    <n v="1"/>
    <n v="0"/>
    <n v="0"/>
    <x v="2"/>
    <n v="1"/>
    <n v="0"/>
    <n v="0"/>
    <n v="0"/>
    <n v="0"/>
  </r>
  <r>
    <n v="239"/>
    <n v="0"/>
    <n v="2"/>
    <s v="Pengelly, Mr. Frederick William"/>
    <n v="0"/>
    <x v="19"/>
    <n v="0"/>
    <n v="0"/>
    <s v="28665"/>
    <n v="10.5"/>
    <s v=""/>
    <s v="S"/>
    <n v="1"/>
    <n v="0"/>
    <n v="0"/>
    <x v="0"/>
    <n v="0"/>
    <n v="0"/>
    <n v="1"/>
    <n v="0"/>
    <n v="0"/>
  </r>
  <r>
    <n v="240"/>
    <n v="0"/>
    <n v="2"/>
    <s v="Hunt, Mr. George Henry"/>
    <n v="0"/>
    <x v="38"/>
    <n v="0"/>
    <n v="0"/>
    <s v="SCO/W 1585"/>
    <n v="12.275"/>
    <s v=""/>
    <s v="S"/>
    <n v="1"/>
    <n v="0"/>
    <n v="0"/>
    <x v="0"/>
    <n v="0"/>
    <n v="0"/>
    <n v="1"/>
    <n v="0"/>
    <n v="0"/>
  </r>
  <r>
    <n v="241"/>
    <n v="0"/>
    <n v="3"/>
    <s v="Zabour, Miss. Thamine"/>
    <n v="1"/>
    <x v="4"/>
    <n v="1"/>
    <n v="0"/>
    <s v="2665"/>
    <n v="14.4542"/>
    <s v=""/>
    <s v="C"/>
    <n v="0"/>
    <n v="1"/>
    <n v="0"/>
    <x v="2"/>
    <n v="1"/>
    <n v="0"/>
    <n v="0"/>
    <n v="0"/>
    <n v="0"/>
  </r>
  <r>
    <n v="242"/>
    <n v="1"/>
    <n v="3"/>
    <s v="Murphy, Miss. Katherine &quot;Kate&quot;"/>
    <n v="1"/>
    <x v="4"/>
    <n v="1"/>
    <n v="0"/>
    <s v="367230"/>
    <n v="15.5"/>
    <s v=""/>
    <s v="Q"/>
    <n v="0"/>
    <n v="0"/>
    <n v="1"/>
    <x v="2"/>
    <n v="1"/>
    <n v="0"/>
    <n v="0"/>
    <n v="0"/>
    <n v="0"/>
  </r>
  <r>
    <n v="243"/>
    <n v="0"/>
    <n v="2"/>
    <s v="Coleridge, Mr. Reginald Charles"/>
    <n v="0"/>
    <x v="28"/>
    <n v="0"/>
    <n v="0"/>
    <s v="W./C. 14263"/>
    <n v="10.5"/>
    <s v=""/>
    <s v="S"/>
    <n v="1"/>
    <n v="0"/>
    <n v="0"/>
    <x v="0"/>
    <n v="0"/>
    <n v="0"/>
    <n v="1"/>
    <n v="0"/>
    <n v="0"/>
  </r>
  <r>
    <n v="244"/>
    <n v="0"/>
    <n v="3"/>
    <s v="Maenpaa, Mr. Matti Alexanteri"/>
    <n v="0"/>
    <x v="0"/>
    <n v="0"/>
    <n v="0"/>
    <s v="STON/O 2. 3101275"/>
    <n v="7.125"/>
    <s v=""/>
    <s v="S"/>
    <n v="1"/>
    <n v="0"/>
    <n v="0"/>
    <x v="0"/>
    <n v="0"/>
    <n v="0"/>
    <n v="1"/>
    <n v="0"/>
    <n v="0"/>
  </r>
  <r>
    <n v="245"/>
    <n v="0"/>
    <n v="3"/>
    <s v="Attalah, Mr. Sleiman"/>
    <n v="0"/>
    <x v="37"/>
    <n v="0"/>
    <n v="0"/>
    <s v="2694"/>
    <n v="7.2249999999999996"/>
    <s v=""/>
    <s v="C"/>
    <n v="0"/>
    <n v="1"/>
    <n v="0"/>
    <x v="0"/>
    <n v="0"/>
    <n v="0"/>
    <n v="1"/>
    <n v="0"/>
    <n v="0"/>
  </r>
  <r>
    <n v="246"/>
    <n v="0"/>
    <n v="1"/>
    <s v="Minahan, Dr. William Edward"/>
    <n v="0"/>
    <x v="49"/>
    <n v="2"/>
    <n v="0"/>
    <s v="19928"/>
    <n v="90"/>
    <s v="C78"/>
    <s v="Q"/>
    <n v="0"/>
    <n v="0"/>
    <n v="1"/>
    <x v="6"/>
    <n v="0"/>
    <n v="0"/>
    <n v="0"/>
    <n v="0"/>
    <n v="1"/>
  </r>
  <r>
    <n v="247"/>
    <n v="0"/>
    <n v="3"/>
    <s v="Lindahl, Miss. Agda Thorilda Viktoria"/>
    <n v="1"/>
    <x v="36"/>
    <n v="0"/>
    <n v="0"/>
    <s v="347071"/>
    <n v="7.7750000000000004"/>
    <s v=""/>
    <s v="S"/>
    <n v="1"/>
    <n v="0"/>
    <n v="0"/>
    <x v="2"/>
    <n v="1"/>
    <n v="0"/>
    <n v="0"/>
    <n v="0"/>
    <n v="0"/>
  </r>
  <r>
    <n v="248"/>
    <n v="1"/>
    <n v="2"/>
    <s v="Hamalainen, Mrs. William (Anna)"/>
    <n v="1"/>
    <x v="40"/>
    <n v="0"/>
    <n v="2"/>
    <s v="250649"/>
    <n v="14.5"/>
    <s v=""/>
    <s v="S"/>
    <n v="1"/>
    <n v="0"/>
    <n v="0"/>
    <x v="1"/>
    <n v="0"/>
    <n v="1"/>
    <n v="0"/>
    <n v="0"/>
    <n v="0"/>
  </r>
  <r>
    <n v="249"/>
    <n v="1"/>
    <n v="1"/>
    <s v="Beckwith, Mr. Richard Leonard"/>
    <n v="0"/>
    <x v="44"/>
    <n v="1"/>
    <n v="1"/>
    <s v="11751"/>
    <n v="52.554200000000002"/>
    <s v="D35"/>
    <s v="S"/>
    <n v="1"/>
    <n v="0"/>
    <n v="0"/>
    <x v="0"/>
    <n v="0"/>
    <n v="0"/>
    <n v="1"/>
    <n v="0"/>
    <n v="0"/>
  </r>
  <r>
    <n v="250"/>
    <n v="0"/>
    <n v="2"/>
    <s v="Carter, Rev. Ernest Courtenay"/>
    <n v="0"/>
    <x v="5"/>
    <n v="1"/>
    <n v="0"/>
    <s v="244252"/>
    <n v="26"/>
    <s v=""/>
    <s v="S"/>
    <n v="1"/>
    <n v="0"/>
    <n v="0"/>
    <x v="5"/>
    <n v="0"/>
    <n v="0"/>
    <n v="0"/>
    <n v="0"/>
    <n v="1"/>
  </r>
  <r>
    <n v="251"/>
    <n v="0"/>
    <n v="3"/>
    <s v="Reed, Mr. James George"/>
    <n v="0"/>
    <x v="4"/>
    <n v="0"/>
    <n v="0"/>
    <s v="362316"/>
    <n v="7.25"/>
    <s v=""/>
    <s v="S"/>
    <n v="1"/>
    <n v="0"/>
    <n v="0"/>
    <x v="0"/>
    <n v="0"/>
    <n v="0"/>
    <n v="1"/>
    <n v="0"/>
    <n v="0"/>
  </r>
  <r>
    <n v="252"/>
    <n v="0"/>
    <n v="3"/>
    <s v="Strom, Mrs. Wilhelm (Elna Matilda Persson)"/>
    <n v="1"/>
    <x v="28"/>
    <n v="1"/>
    <n v="1"/>
    <s v="347054"/>
    <n v="10.4625"/>
    <s v="G6"/>
    <s v="S"/>
    <n v="1"/>
    <n v="0"/>
    <n v="0"/>
    <x v="1"/>
    <n v="0"/>
    <n v="1"/>
    <n v="0"/>
    <n v="0"/>
    <n v="0"/>
  </r>
  <r>
    <n v="253"/>
    <n v="0"/>
    <n v="1"/>
    <s v="Stead, Mr. William Thomas"/>
    <n v="0"/>
    <x v="55"/>
    <n v="0"/>
    <n v="0"/>
    <s v="113514"/>
    <n v="26.55"/>
    <s v="C87"/>
    <s v="S"/>
    <n v="1"/>
    <n v="0"/>
    <n v="0"/>
    <x v="0"/>
    <n v="0"/>
    <n v="0"/>
    <n v="1"/>
    <n v="0"/>
    <n v="0"/>
  </r>
  <r>
    <n v="254"/>
    <n v="0"/>
    <n v="3"/>
    <s v="Lobb, Mr. William Arthur"/>
    <n v="0"/>
    <x v="37"/>
    <n v="1"/>
    <n v="0"/>
    <s v="A/5. 3336"/>
    <n v="16.100000000000001"/>
    <s v=""/>
    <s v="S"/>
    <n v="1"/>
    <n v="0"/>
    <n v="0"/>
    <x v="0"/>
    <n v="0"/>
    <n v="0"/>
    <n v="1"/>
    <n v="0"/>
    <n v="0"/>
  </r>
  <r>
    <n v="255"/>
    <n v="0"/>
    <n v="3"/>
    <s v="Rosblom, Mrs. Viktor (Helena Wilhelmina)"/>
    <n v="1"/>
    <x v="56"/>
    <n v="0"/>
    <n v="2"/>
    <s v="370129"/>
    <n v="20.212499999999999"/>
    <s v=""/>
    <s v="S"/>
    <n v="1"/>
    <n v="0"/>
    <n v="0"/>
    <x v="1"/>
    <n v="0"/>
    <n v="1"/>
    <n v="0"/>
    <n v="0"/>
    <n v="0"/>
  </r>
  <r>
    <n v="256"/>
    <n v="1"/>
    <n v="3"/>
    <s v="Touma, Mrs. Darwis (Hanne Youssef Razi)"/>
    <n v="1"/>
    <x v="28"/>
    <n v="0"/>
    <n v="2"/>
    <s v="2650"/>
    <n v="15.245799999999999"/>
    <s v=""/>
    <s v="C"/>
    <n v="0"/>
    <n v="1"/>
    <n v="0"/>
    <x v="1"/>
    <n v="0"/>
    <n v="1"/>
    <n v="0"/>
    <n v="0"/>
    <n v="0"/>
  </r>
  <r>
    <n v="257"/>
    <n v="1"/>
    <n v="1"/>
    <s v="Thorne, Mrs. Gertrude Maybelle"/>
    <n v="1"/>
    <x v="4"/>
    <n v="0"/>
    <n v="0"/>
    <s v="PC 17585"/>
    <n v="79.2"/>
    <s v=""/>
    <s v="C"/>
    <n v="0"/>
    <n v="1"/>
    <n v="0"/>
    <x v="1"/>
    <n v="0"/>
    <n v="1"/>
    <n v="0"/>
    <n v="0"/>
    <n v="0"/>
  </r>
  <r>
    <n v="258"/>
    <n v="1"/>
    <n v="1"/>
    <s v="Cherry, Miss. Gladys"/>
    <n v="1"/>
    <x v="37"/>
    <n v="0"/>
    <n v="0"/>
    <s v="110152"/>
    <n v="86.5"/>
    <s v="B77"/>
    <s v="S"/>
    <n v="1"/>
    <n v="0"/>
    <n v="0"/>
    <x v="2"/>
    <n v="1"/>
    <n v="0"/>
    <n v="0"/>
    <n v="0"/>
    <n v="0"/>
  </r>
  <r>
    <n v="259"/>
    <n v="1"/>
    <n v="1"/>
    <s v="Ward, Miss. Anna"/>
    <n v="1"/>
    <x v="3"/>
    <n v="0"/>
    <n v="0"/>
    <s v="PC 17755"/>
    <n v="512.32920000000001"/>
    <s v=""/>
    <s v="C"/>
    <n v="0"/>
    <n v="1"/>
    <n v="0"/>
    <x v="2"/>
    <n v="1"/>
    <n v="0"/>
    <n v="0"/>
    <n v="0"/>
    <n v="0"/>
  </r>
  <r>
    <n v="260"/>
    <n v="1"/>
    <n v="2"/>
    <s v="Parrish, Mrs. (Lutie Davis)"/>
    <n v="1"/>
    <x v="53"/>
    <n v="0"/>
    <n v="1"/>
    <s v="230433"/>
    <n v="26"/>
    <s v=""/>
    <s v="S"/>
    <n v="1"/>
    <n v="0"/>
    <n v="0"/>
    <x v="1"/>
    <n v="0"/>
    <n v="1"/>
    <n v="0"/>
    <n v="0"/>
    <n v="0"/>
  </r>
  <r>
    <n v="261"/>
    <n v="0"/>
    <n v="3"/>
    <s v="Smith, Mr. Thomas"/>
    <n v="0"/>
    <x v="4"/>
    <n v="0"/>
    <n v="0"/>
    <s v="384461"/>
    <n v="7.75"/>
    <s v=""/>
    <s v="Q"/>
    <n v="0"/>
    <n v="0"/>
    <n v="1"/>
    <x v="0"/>
    <n v="0"/>
    <n v="0"/>
    <n v="1"/>
    <n v="0"/>
    <n v="0"/>
  </r>
  <r>
    <n v="262"/>
    <n v="1"/>
    <n v="3"/>
    <s v="Asplund, Master. Edvin Rojj Felix"/>
    <n v="0"/>
    <x v="25"/>
    <n v="4"/>
    <n v="2"/>
    <s v="347077"/>
    <n v="31.387499999999999"/>
    <s v=""/>
    <s v="S"/>
    <n v="1"/>
    <n v="0"/>
    <n v="0"/>
    <x v="3"/>
    <n v="0"/>
    <n v="0"/>
    <n v="0"/>
    <n v="1"/>
    <n v="0"/>
  </r>
  <r>
    <n v="263"/>
    <n v="0"/>
    <n v="1"/>
    <s v="Taussig, Mr. Emil"/>
    <n v="0"/>
    <x v="57"/>
    <n v="1"/>
    <n v="1"/>
    <s v="110413"/>
    <n v="79.650000000000006"/>
    <s v="E67"/>
    <s v="S"/>
    <n v="1"/>
    <n v="0"/>
    <n v="0"/>
    <x v="0"/>
    <n v="0"/>
    <n v="0"/>
    <n v="1"/>
    <n v="0"/>
    <n v="0"/>
  </r>
  <r>
    <n v="264"/>
    <n v="0"/>
    <n v="1"/>
    <s v="Harrison, Mr. William"/>
    <n v="0"/>
    <x v="20"/>
    <n v="0"/>
    <n v="0"/>
    <s v="112059"/>
    <n v="0"/>
    <s v="B94"/>
    <s v="S"/>
    <n v="1"/>
    <n v="0"/>
    <n v="0"/>
    <x v="0"/>
    <n v="0"/>
    <n v="0"/>
    <n v="1"/>
    <n v="0"/>
    <n v="0"/>
  </r>
  <r>
    <n v="265"/>
    <n v="0"/>
    <n v="3"/>
    <s v="Henry, Miss. Delia"/>
    <n v="1"/>
    <x v="4"/>
    <n v="0"/>
    <n v="0"/>
    <s v="382649"/>
    <n v="7.75"/>
    <s v=""/>
    <s v="Q"/>
    <n v="0"/>
    <n v="0"/>
    <n v="1"/>
    <x v="2"/>
    <n v="1"/>
    <n v="0"/>
    <n v="0"/>
    <n v="0"/>
    <n v="0"/>
  </r>
  <r>
    <n v="266"/>
    <n v="0"/>
    <n v="2"/>
    <s v="Reeves, Mr. David"/>
    <n v="0"/>
    <x v="54"/>
    <n v="0"/>
    <n v="0"/>
    <s v="C.A. 17248"/>
    <n v="10.5"/>
    <s v=""/>
    <s v="S"/>
    <n v="1"/>
    <n v="0"/>
    <n v="0"/>
    <x v="0"/>
    <n v="0"/>
    <n v="0"/>
    <n v="1"/>
    <n v="0"/>
    <n v="0"/>
  </r>
  <r>
    <n v="267"/>
    <n v="0"/>
    <n v="3"/>
    <s v="Panula, Mr. Ernesti Arvid"/>
    <n v="0"/>
    <x v="35"/>
    <n v="4"/>
    <n v="1"/>
    <s v="3101295"/>
    <n v="39.6875"/>
    <s v=""/>
    <s v="S"/>
    <n v="1"/>
    <n v="0"/>
    <n v="0"/>
    <x v="0"/>
    <n v="0"/>
    <n v="0"/>
    <n v="1"/>
    <n v="0"/>
    <n v="0"/>
  </r>
  <r>
    <n v="268"/>
    <n v="1"/>
    <n v="3"/>
    <s v="Persson, Mr. Ernst Ulrik"/>
    <n v="0"/>
    <x v="36"/>
    <n v="1"/>
    <n v="0"/>
    <s v="347083"/>
    <n v="7.7750000000000004"/>
    <s v=""/>
    <s v="S"/>
    <n v="1"/>
    <n v="0"/>
    <n v="0"/>
    <x v="0"/>
    <n v="0"/>
    <n v="0"/>
    <n v="1"/>
    <n v="0"/>
    <n v="0"/>
  </r>
  <r>
    <n v="269"/>
    <n v="1"/>
    <n v="1"/>
    <s v="Graham, Mrs. William Thompson (Edith Junkins)"/>
    <n v="1"/>
    <x v="10"/>
    <n v="0"/>
    <n v="1"/>
    <s v="PC 17582"/>
    <n v="153.46250000000001"/>
    <s v="C125"/>
    <s v="S"/>
    <n v="1"/>
    <n v="0"/>
    <n v="0"/>
    <x v="1"/>
    <n v="0"/>
    <n v="1"/>
    <n v="0"/>
    <n v="0"/>
    <n v="0"/>
  </r>
  <r>
    <n v="270"/>
    <n v="1"/>
    <n v="1"/>
    <s v="Bissette, Miss. Amelia"/>
    <n v="1"/>
    <x v="3"/>
    <n v="0"/>
    <n v="0"/>
    <s v="PC 17760"/>
    <n v="135.63329999999999"/>
    <s v="C99"/>
    <s v="S"/>
    <n v="1"/>
    <n v="0"/>
    <n v="0"/>
    <x v="2"/>
    <n v="1"/>
    <n v="0"/>
    <n v="0"/>
    <n v="0"/>
    <n v="0"/>
  </r>
  <r>
    <n v="271"/>
    <n v="0"/>
    <n v="1"/>
    <s v="Cairns, Mr. Alexander"/>
    <n v="0"/>
    <x v="4"/>
    <n v="0"/>
    <n v="0"/>
    <s v="113798"/>
    <n v="31"/>
    <s v=""/>
    <s v="S"/>
    <n v="1"/>
    <n v="0"/>
    <n v="0"/>
    <x v="0"/>
    <n v="0"/>
    <n v="0"/>
    <n v="1"/>
    <n v="0"/>
    <n v="0"/>
  </r>
  <r>
    <n v="272"/>
    <n v="1"/>
    <n v="3"/>
    <s v="Tornquist, Mr. William Henry"/>
    <n v="0"/>
    <x v="36"/>
    <n v="0"/>
    <n v="0"/>
    <s v="LINE"/>
    <n v="0"/>
    <s v=""/>
    <s v="S"/>
    <n v="1"/>
    <n v="0"/>
    <n v="0"/>
    <x v="0"/>
    <n v="0"/>
    <n v="0"/>
    <n v="1"/>
    <n v="0"/>
    <n v="0"/>
  </r>
  <r>
    <n v="273"/>
    <n v="1"/>
    <n v="2"/>
    <s v="Mellinger, Mrs. (Elizabeth Anne Maidment)"/>
    <n v="1"/>
    <x v="56"/>
    <n v="0"/>
    <n v="1"/>
    <s v="250644"/>
    <n v="19.5"/>
    <s v=""/>
    <s v="S"/>
    <n v="1"/>
    <n v="0"/>
    <n v="0"/>
    <x v="1"/>
    <n v="0"/>
    <n v="1"/>
    <n v="0"/>
    <n v="0"/>
    <n v="0"/>
  </r>
  <r>
    <n v="274"/>
    <n v="0"/>
    <n v="1"/>
    <s v="Natsch, Mr. Charles H"/>
    <n v="0"/>
    <x v="44"/>
    <n v="0"/>
    <n v="1"/>
    <s v="PC 17596"/>
    <n v="29.7"/>
    <s v="C118"/>
    <s v="C"/>
    <n v="0"/>
    <n v="1"/>
    <n v="0"/>
    <x v="0"/>
    <n v="0"/>
    <n v="0"/>
    <n v="1"/>
    <n v="0"/>
    <n v="0"/>
  </r>
  <r>
    <n v="275"/>
    <n v="1"/>
    <n v="3"/>
    <s v="Healy, Miss. Hanora &quot;Nora&quot;"/>
    <n v="1"/>
    <x v="4"/>
    <n v="0"/>
    <n v="0"/>
    <s v="370375"/>
    <n v="7.75"/>
    <s v=""/>
    <s v="Q"/>
    <n v="0"/>
    <n v="0"/>
    <n v="1"/>
    <x v="2"/>
    <n v="1"/>
    <n v="0"/>
    <n v="0"/>
    <n v="0"/>
    <n v="0"/>
  </r>
  <r>
    <n v="276"/>
    <n v="1"/>
    <n v="1"/>
    <s v="Andrews, Miss. Kornelia Theodosia"/>
    <n v="1"/>
    <x v="58"/>
    <n v="1"/>
    <n v="0"/>
    <s v="13502"/>
    <n v="77.958299999999994"/>
    <s v="D7"/>
    <s v="S"/>
    <n v="1"/>
    <n v="0"/>
    <n v="0"/>
    <x v="2"/>
    <n v="1"/>
    <n v="0"/>
    <n v="0"/>
    <n v="0"/>
    <n v="0"/>
  </r>
  <r>
    <n v="277"/>
    <n v="0"/>
    <n v="3"/>
    <s v="Lindblom, Miss. Augusta Charlotta"/>
    <n v="1"/>
    <x v="32"/>
    <n v="0"/>
    <n v="0"/>
    <s v="347073"/>
    <n v="7.75"/>
    <s v=""/>
    <s v="S"/>
    <n v="1"/>
    <n v="0"/>
    <n v="0"/>
    <x v="2"/>
    <n v="1"/>
    <n v="0"/>
    <n v="0"/>
    <n v="0"/>
    <n v="0"/>
  </r>
  <r>
    <n v="278"/>
    <n v="0"/>
    <n v="2"/>
    <s v="Parkes, Mr. Francis &quot;Frank&quot;"/>
    <n v="0"/>
    <x v="4"/>
    <n v="0"/>
    <n v="0"/>
    <s v="239853"/>
    <n v="0"/>
    <s v=""/>
    <s v="S"/>
    <n v="1"/>
    <n v="0"/>
    <n v="0"/>
    <x v="0"/>
    <n v="0"/>
    <n v="0"/>
    <n v="1"/>
    <n v="0"/>
    <n v="0"/>
  </r>
  <r>
    <n v="279"/>
    <n v="0"/>
    <n v="3"/>
    <s v="Rice, Master. Eric"/>
    <n v="0"/>
    <x v="26"/>
    <n v="4"/>
    <n v="1"/>
    <s v="382652"/>
    <n v="29.125"/>
    <s v=""/>
    <s v="Q"/>
    <n v="0"/>
    <n v="0"/>
    <n v="1"/>
    <x v="3"/>
    <n v="0"/>
    <n v="0"/>
    <n v="0"/>
    <n v="1"/>
    <n v="0"/>
  </r>
  <r>
    <n v="280"/>
    <n v="1"/>
    <n v="3"/>
    <s v="Abbott, Mrs. Stanton (Rosa Hunt)"/>
    <n v="1"/>
    <x v="3"/>
    <n v="1"/>
    <n v="1"/>
    <s v="C.A. 2673"/>
    <n v="20.25"/>
    <s v=""/>
    <s v="S"/>
    <n v="1"/>
    <n v="0"/>
    <n v="0"/>
    <x v="1"/>
    <n v="0"/>
    <n v="1"/>
    <n v="0"/>
    <n v="0"/>
    <n v="0"/>
  </r>
  <r>
    <n v="281"/>
    <n v="0"/>
    <n v="3"/>
    <s v="Duane, Mr. Frank"/>
    <n v="0"/>
    <x v="29"/>
    <n v="0"/>
    <n v="0"/>
    <s v="336439"/>
    <n v="7.75"/>
    <s v=""/>
    <s v="Q"/>
    <n v="0"/>
    <n v="0"/>
    <n v="1"/>
    <x v="0"/>
    <n v="0"/>
    <n v="0"/>
    <n v="1"/>
    <n v="0"/>
    <n v="0"/>
  </r>
  <r>
    <n v="282"/>
    <n v="0"/>
    <n v="3"/>
    <s v="Olsson, Mr. Nils Johan Goransson"/>
    <n v="0"/>
    <x v="17"/>
    <n v="0"/>
    <n v="0"/>
    <s v="347464"/>
    <n v="7.8541999999999996"/>
    <s v=""/>
    <s v="S"/>
    <n v="1"/>
    <n v="0"/>
    <n v="0"/>
    <x v="0"/>
    <n v="0"/>
    <n v="0"/>
    <n v="1"/>
    <n v="0"/>
    <n v="0"/>
  </r>
  <r>
    <n v="283"/>
    <n v="0"/>
    <n v="3"/>
    <s v="de Pelsmaeker, Mr. Alfons"/>
    <n v="0"/>
    <x v="35"/>
    <n v="0"/>
    <n v="0"/>
    <s v="345778"/>
    <n v="9.5"/>
    <s v=""/>
    <s v="S"/>
    <n v="1"/>
    <n v="0"/>
    <n v="0"/>
    <x v="0"/>
    <n v="0"/>
    <n v="0"/>
    <n v="1"/>
    <n v="0"/>
    <n v="0"/>
  </r>
  <r>
    <n v="284"/>
    <n v="1"/>
    <n v="3"/>
    <s v="Dorking, Mr. Edward Arthur"/>
    <n v="0"/>
    <x v="19"/>
    <n v="0"/>
    <n v="0"/>
    <s v="A/5. 10482"/>
    <n v="8.0500000000000007"/>
    <s v=""/>
    <s v="S"/>
    <n v="1"/>
    <n v="0"/>
    <n v="0"/>
    <x v="0"/>
    <n v="0"/>
    <n v="0"/>
    <n v="1"/>
    <n v="0"/>
    <n v="0"/>
  </r>
  <r>
    <n v="285"/>
    <n v="0"/>
    <n v="1"/>
    <s v="Smith, Mr. Richard William"/>
    <n v="0"/>
    <x v="4"/>
    <n v="0"/>
    <n v="0"/>
    <s v="113056"/>
    <n v="26"/>
    <s v="A19"/>
    <s v="S"/>
    <n v="1"/>
    <n v="0"/>
    <n v="0"/>
    <x v="0"/>
    <n v="0"/>
    <n v="0"/>
    <n v="1"/>
    <n v="0"/>
    <n v="0"/>
  </r>
  <r>
    <n v="286"/>
    <n v="0"/>
    <n v="3"/>
    <s v="Stankovic, Mr. Ivan"/>
    <n v="0"/>
    <x v="38"/>
    <n v="0"/>
    <n v="0"/>
    <s v="349239"/>
    <n v="8.6624999999999996"/>
    <s v=""/>
    <s v="C"/>
    <n v="0"/>
    <n v="1"/>
    <n v="0"/>
    <x v="0"/>
    <n v="0"/>
    <n v="0"/>
    <n v="1"/>
    <n v="0"/>
    <n v="0"/>
  </r>
  <r>
    <n v="287"/>
    <n v="1"/>
    <n v="3"/>
    <s v="de Mulder, Mr. Theodore"/>
    <n v="0"/>
    <x v="37"/>
    <n v="0"/>
    <n v="0"/>
    <s v="345774"/>
    <n v="9.5"/>
    <s v=""/>
    <s v="S"/>
    <n v="1"/>
    <n v="0"/>
    <n v="0"/>
    <x v="0"/>
    <n v="0"/>
    <n v="0"/>
    <n v="1"/>
    <n v="0"/>
    <n v="0"/>
  </r>
  <r>
    <n v="288"/>
    <n v="0"/>
    <n v="3"/>
    <s v="Naidenoff, Mr. Penko"/>
    <n v="0"/>
    <x v="0"/>
    <n v="0"/>
    <n v="0"/>
    <s v="349206"/>
    <n v="7.8958000000000004"/>
    <s v=""/>
    <s v="S"/>
    <n v="1"/>
    <n v="0"/>
    <n v="0"/>
    <x v="0"/>
    <n v="0"/>
    <n v="0"/>
    <n v="1"/>
    <n v="0"/>
    <n v="0"/>
  </r>
  <r>
    <n v="289"/>
    <n v="1"/>
    <n v="2"/>
    <s v="Hosono, Mr. Masabumi"/>
    <n v="0"/>
    <x v="22"/>
    <n v="0"/>
    <n v="0"/>
    <s v="237798"/>
    <n v="13"/>
    <s v=""/>
    <s v="S"/>
    <n v="1"/>
    <n v="0"/>
    <n v="0"/>
    <x v="0"/>
    <n v="0"/>
    <n v="0"/>
    <n v="1"/>
    <n v="0"/>
    <n v="0"/>
  </r>
  <r>
    <n v="290"/>
    <n v="1"/>
    <n v="3"/>
    <s v="Connolly, Miss. Kate"/>
    <n v="1"/>
    <x v="0"/>
    <n v="0"/>
    <n v="0"/>
    <s v="370373"/>
    <n v="7.75"/>
    <s v=""/>
    <s v="Q"/>
    <n v="0"/>
    <n v="0"/>
    <n v="1"/>
    <x v="2"/>
    <n v="1"/>
    <n v="0"/>
    <n v="0"/>
    <n v="0"/>
    <n v="0"/>
  </r>
  <r>
    <n v="291"/>
    <n v="1"/>
    <n v="1"/>
    <s v="Barber, Miss. Ellen &quot;Nellie&quot;"/>
    <n v="1"/>
    <x v="2"/>
    <n v="0"/>
    <n v="0"/>
    <s v="19877"/>
    <n v="78.849999999999994"/>
    <s v=""/>
    <s v="S"/>
    <n v="1"/>
    <n v="0"/>
    <n v="0"/>
    <x v="2"/>
    <n v="1"/>
    <n v="0"/>
    <n v="0"/>
    <n v="0"/>
    <n v="0"/>
  </r>
  <r>
    <n v="292"/>
    <n v="1"/>
    <n v="1"/>
    <s v="Bishop, Mrs. Dickinson H (Helen Walton)"/>
    <n v="1"/>
    <x v="19"/>
    <n v="1"/>
    <n v="0"/>
    <s v="11967"/>
    <n v="91.0792"/>
    <s v="B49"/>
    <s v="C"/>
    <n v="0"/>
    <n v="1"/>
    <n v="0"/>
    <x v="1"/>
    <n v="0"/>
    <n v="1"/>
    <n v="0"/>
    <n v="0"/>
    <n v="0"/>
  </r>
  <r>
    <n v="293"/>
    <n v="0"/>
    <n v="2"/>
    <s v="Levy, Mr. Rene Jacques"/>
    <n v="0"/>
    <x v="54"/>
    <n v="0"/>
    <n v="0"/>
    <s v="SC/Paris 2163"/>
    <n v="12.875"/>
    <s v="D"/>
    <s v="C"/>
    <n v="0"/>
    <n v="1"/>
    <n v="0"/>
    <x v="0"/>
    <n v="0"/>
    <n v="0"/>
    <n v="1"/>
    <n v="0"/>
    <n v="0"/>
  </r>
  <r>
    <n v="294"/>
    <n v="0"/>
    <n v="3"/>
    <s v="Haas, Miss. Aloisia"/>
    <n v="1"/>
    <x v="40"/>
    <n v="0"/>
    <n v="0"/>
    <s v="349236"/>
    <n v="8.85"/>
    <s v=""/>
    <s v="S"/>
    <n v="1"/>
    <n v="0"/>
    <n v="0"/>
    <x v="2"/>
    <n v="1"/>
    <n v="0"/>
    <n v="0"/>
    <n v="0"/>
    <n v="0"/>
  </r>
  <r>
    <n v="295"/>
    <n v="0"/>
    <n v="3"/>
    <s v="Mineff, Mr. Ivan"/>
    <n v="0"/>
    <x v="40"/>
    <n v="0"/>
    <n v="0"/>
    <s v="349233"/>
    <n v="7.8958000000000004"/>
    <s v=""/>
    <s v="S"/>
    <n v="1"/>
    <n v="0"/>
    <n v="0"/>
    <x v="0"/>
    <n v="0"/>
    <n v="0"/>
    <n v="1"/>
    <n v="0"/>
    <n v="0"/>
  </r>
  <r>
    <n v="296"/>
    <n v="0"/>
    <n v="1"/>
    <s v="Lewy, Mr. Ervin G"/>
    <n v="0"/>
    <x v="4"/>
    <n v="0"/>
    <n v="0"/>
    <s v="PC 17612"/>
    <n v="27.720800000000001"/>
    <s v=""/>
    <s v="C"/>
    <n v="0"/>
    <n v="1"/>
    <n v="0"/>
    <x v="0"/>
    <n v="0"/>
    <n v="0"/>
    <n v="1"/>
    <n v="0"/>
    <n v="0"/>
  </r>
  <r>
    <n v="297"/>
    <n v="0"/>
    <n v="3"/>
    <s v="Hanna, Mr. Mansour"/>
    <n v="0"/>
    <x v="4"/>
    <n v="0"/>
    <n v="0"/>
    <s v="2693"/>
    <n v="7.2291999999999996"/>
    <s v=""/>
    <s v="C"/>
    <n v="0"/>
    <n v="1"/>
    <n v="0"/>
    <x v="0"/>
    <n v="0"/>
    <n v="0"/>
    <n v="1"/>
    <n v="0"/>
    <n v="0"/>
  </r>
  <r>
    <n v="298"/>
    <n v="0"/>
    <n v="1"/>
    <s v="Allison, Miss. Helen Loraine"/>
    <n v="1"/>
    <x v="6"/>
    <n v="1"/>
    <n v="2"/>
    <s v="113781"/>
    <n v="151.55000000000001"/>
    <s v="C22 C26"/>
    <s v="S"/>
    <n v="1"/>
    <n v="0"/>
    <n v="0"/>
    <x v="2"/>
    <n v="1"/>
    <n v="0"/>
    <n v="0"/>
    <n v="0"/>
    <n v="0"/>
  </r>
  <r>
    <n v="299"/>
    <n v="1"/>
    <n v="1"/>
    <s v="Saalfeld, Mr. Adolphe"/>
    <n v="0"/>
    <x v="4"/>
    <n v="0"/>
    <n v="0"/>
    <s v="19988"/>
    <n v="30.5"/>
    <s v="C106"/>
    <s v="S"/>
    <n v="1"/>
    <n v="0"/>
    <n v="0"/>
    <x v="0"/>
    <n v="0"/>
    <n v="0"/>
    <n v="1"/>
    <n v="0"/>
    <n v="0"/>
  </r>
  <r>
    <n v="300"/>
    <n v="1"/>
    <n v="1"/>
    <s v="Baxter, Mrs. James (Helene DeLaudeniere Chaput)"/>
    <n v="1"/>
    <x v="53"/>
    <n v="0"/>
    <n v="1"/>
    <s v="PC 17558"/>
    <n v="247.52080000000001"/>
    <s v="B58 B60"/>
    <s v="C"/>
    <n v="0"/>
    <n v="1"/>
    <n v="0"/>
    <x v="1"/>
    <n v="0"/>
    <n v="1"/>
    <n v="0"/>
    <n v="0"/>
    <n v="0"/>
  </r>
  <r>
    <n v="301"/>
    <n v="1"/>
    <n v="3"/>
    <s v="Kelly, Miss. Anna Katherine &quot;Annie Kate&quot;"/>
    <n v="1"/>
    <x v="4"/>
    <n v="0"/>
    <n v="0"/>
    <s v="9234"/>
    <n v="7.75"/>
    <s v=""/>
    <s v="Q"/>
    <n v="0"/>
    <n v="0"/>
    <n v="1"/>
    <x v="2"/>
    <n v="1"/>
    <n v="0"/>
    <n v="0"/>
    <n v="0"/>
    <n v="0"/>
  </r>
  <r>
    <n v="302"/>
    <n v="1"/>
    <n v="3"/>
    <s v="McCoy, Mr. Bernard"/>
    <n v="0"/>
    <x v="4"/>
    <n v="2"/>
    <n v="0"/>
    <s v="367226"/>
    <n v="23.25"/>
    <s v=""/>
    <s v="Q"/>
    <n v="0"/>
    <n v="0"/>
    <n v="1"/>
    <x v="0"/>
    <n v="0"/>
    <n v="0"/>
    <n v="1"/>
    <n v="0"/>
    <n v="0"/>
  </r>
  <r>
    <n v="303"/>
    <n v="0"/>
    <n v="3"/>
    <s v="Johnson, Mr. William Cahoone Jr"/>
    <n v="0"/>
    <x v="19"/>
    <n v="0"/>
    <n v="0"/>
    <s v="LINE"/>
    <n v="0"/>
    <s v=""/>
    <s v="S"/>
    <n v="1"/>
    <n v="0"/>
    <n v="0"/>
    <x v="0"/>
    <n v="0"/>
    <n v="0"/>
    <n v="1"/>
    <n v="0"/>
    <n v="0"/>
  </r>
  <r>
    <n v="304"/>
    <n v="1"/>
    <n v="2"/>
    <s v="Keane, Miss. Nora A"/>
    <n v="1"/>
    <x v="4"/>
    <n v="0"/>
    <n v="0"/>
    <s v="226593"/>
    <n v="12.35"/>
    <s v="E101"/>
    <s v="Q"/>
    <n v="0"/>
    <n v="0"/>
    <n v="1"/>
    <x v="2"/>
    <n v="1"/>
    <n v="0"/>
    <n v="0"/>
    <n v="0"/>
    <n v="0"/>
  </r>
  <r>
    <n v="305"/>
    <n v="0"/>
    <n v="3"/>
    <s v="Williams, Mr. Howard Hugh &quot;Harry&quot;"/>
    <n v="0"/>
    <x v="4"/>
    <n v="0"/>
    <n v="0"/>
    <s v="A/5 2466"/>
    <n v="8.0500000000000007"/>
    <s v=""/>
    <s v="S"/>
    <n v="1"/>
    <n v="0"/>
    <n v="0"/>
    <x v="0"/>
    <n v="0"/>
    <n v="0"/>
    <n v="1"/>
    <n v="0"/>
    <n v="0"/>
  </r>
  <r>
    <n v="306"/>
    <n v="1"/>
    <n v="1"/>
    <s v="Allison, Master. Hudson Trevor"/>
    <n v="0"/>
    <x v="4"/>
    <n v="1"/>
    <n v="2"/>
    <s v="113781"/>
    <n v="151.55000000000001"/>
    <s v="C22 C26"/>
    <s v="S"/>
    <n v="1"/>
    <n v="0"/>
    <n v="0"/>
    <x v="3"/>
    <n v="0"/>
    <n v="0"/>
    <n v="0"/>
    <n v="1"/>
    <n v="0"/>
  </r>
  <r>
    <n v="307"/>
    <n v="1"/>
    <n v="1"/>
    <s v="Fleming, Miss. Margaret"/>
    <n v="1"/>
    <x v="4"/>
    <n v="0"/>
    <n v="0"/>
    <s v="17421"/>
    <n v="110.88330000000001"/>
    <s v=""/>
    <s v="C"/>
    <n v="0"/>
    <n v="1"/>
    <n v="0"/>
    <x v="2"/>
    <n v="1"/>
    <n v="0"/>
    <n v="0"/>
    <n v="0"/>
    <n v="0"/>
  </r>
  <r>
    <n v="308"/>
    <n v="1"/>
    <n v="1"/>
    <s v="Penasco y Castellana, Mrs. Victor de Satode (Maria Josefa Perez de Soto y Vallejo)"/>
    <n v="1"/>
    <x v="33"/>
    <n v="1"/>
    <n v="0"/>
    <s v="PC 17758"/>
    <n v="108.9"/>
    <s v="C65"/>
    <s v="C"/>
    <n v="0"/>
    <n v="1"/>
    <n v="0"/>
    <x v="1"/>
    <n v="0"/>
    <n v="1"/>
    <n v="0"/>
    <n v="0"/>
    <n v="0"/>
  </r>
  <r>
    <n v="309"/>
    <n v="0"/>
    <n v="2"/>
    <s v="Abelson, Mr. Samuel"/>
    <n v="0"/>
    <x v="37"/>
    <n v="1"/>
    <n v="0"/>
    <s v="P/PP 3381"/>
    <n v="24"/>
    <s v=""/>
    <s v="C"/>
    <n v="0"/>
    <n v="1"/>
    <n v="0"/>
    <x v="0"/>
    <n v="0"/>
    <n v="0"/>
    <n v="1"/>
    <n v="0"/>
    <n v="0"/>
  </r>
  <r>
    <n v="310"/>
    <n v="1"/>
    <n v="1"/>
    <s v="Francatelli, Miss. Laura Mabel"/>
    <n v="1"/>
    <x v="37"/>
    <n v="0"/>
    <n v="0"/>
    <s v="PC 17485"/>
    <n v="56.929200000000002"/>
    <s v="E36"/>
    <s v="C"/>
    <n v="0"/>
    <n v="1"/>
    <n v="0"/>
    <x v="2"/>
    <n v="1"/>
    <n v="0"/>
    <n v="0"/>
    <n v="0"/>
    <n v="0"/>
  </r>
  <r>
    <n v="311"/>
    <n v="1"/>
    <n v="1"/>
    <s v="Hays, Miss. Margaret Bechstein"/>
    <n v="1"/>
    <x v="40"/>
    <n v="0"/>
    <n v="0"/>
    <s v="11767"/>
    <n v="83.158299999999997"/>
    <s v="C54"/>
    <s v="C"/>
    <n v="0"/>
    <n v="1"/>
    <n v="0"/>
    <x v="2"/>
    <n v="1"/>
    <n v="0"/>
    <n v="0"/>
    <n v="0"/>
    <n v="0"/>
  </r>
  <r>
    <n v="312"/>
    <n v="1"/>
    <n v="1"/>
    <s v="Ryerson, Miss. Emily Borie"/>
    <n v="1"/>
    <x v="24"/>
    <n v="2"/>
    <n v="2"/>
    <s v="PC 17608"/>
    <n v="262.375"/>
    <s v="B57 B59 B63 B66"/>
    <s v="C"/>
    <n v="0"/>
    <n v="1"/>
    <n v="0"/>
    <x v="2"/>
    <n v="1"/>
    <n v="0"/>
    <n v="0"/>
    <n v="0"/>
    <n v="0"/>
  </r>
  <r>
    <n v="313"/>
    <n v="0"/>
    <n v="2"/>
    <s v="Lahtinen, Mrs. William (Anna Sylfven)"/>
    <n v="1"/>
    <x v="2"/>
    <n v="1"/>
    <n v="1"/>
    <s v="250651"/>
    <n v="26"/>
    <s v=""/>
    <s v="S"/>
    <n v="1"/>
    <n v="0"/>
    <n v="0"/>
    <x v="1"/>
    <n v="0"/>
    <n v="1"/>
    <n v="0"/>
    <n v="0"/>
    <n v="0"/>
  </r>
  <r>
    <n v="314"/>
    <n v="0"/>
    <n v="3"/>
    <s v="Hendekovic, Mr. Ignjac"/>
    <n v="0"/>
    <x v="17"/>
    <n v="0"/>
    <n v="0"/>
    <s v="349243"/>
    <n v="7.8958000000000004"/>
    <s v=""/>
    <s v="S"/>
    <n v="1"/>
    <n v="0"/>
    <n v="0"/>
    <x v="0"/>
    <n v="0"/>
    <n v="0"/>
    <n v="1"/>
    <n v="0"/>
    <n v="0"/>
  </r>
  <r>
    <n v="315"/>
    <n v="0"/>
    <n v="2"/>
    <s v="Hart, Mr. Benjamin"/>
    <n v="0"/>
    <x v="59"/>
    <n v="1"/>
    <n v="1"/>
    <s v="F.C.C. 13529"/>
    <n v="26.25"/>
    <s v=""/>
    <s v="S"/>
    <n v="1"/>
    <n v="0"/>
    <n v="0"/>
    <x v="0"/>
    <n v="0"/>
    <n v="0"/>
    <n v="1"/>
    <n v="0"/>
    <n v="0"/>
  </r>
  <r>
    <n v="316"/>
    <n v="1"/>
    <n v="3"/>
    <s v="Nilsson, Miss. Helmina Josefina"/>
    <n v="1"/>
    <x v="2"/>
    <n v="0"/>
    <n v="0"/>
    <s v="347470"/>
    <n v="7.8541999999999996"/>
    <s v=""/>
    <s v="S"/>
    <n v="1"/>
    <n v="0"/>
    <n v="0"/>
    <x v="2"/>
    <n v="1"/>
    <n v="0"/>
    <n v="0"/>
    <n v="0"/>
    <n v="0"/>
  </r>
  <r>
    <n v="317"/>
    <n v="1"/>
    <n v="2"/>
    <s v="Kantor, Mrs. Sinai (Miriam Sternin)"/>
    <n v="1"/>
    <x v="40"/>
    <n v="1"/>
    <n v="0"/>
    <s v="244367"/>
    <n v="26"/>
    <s v=""/>
    <s v="S"/>
    <n v="1"/>
    <n v="0"/>
    <n v="0"/>
    <x v="1"/>
    <n v="0"/>
    <n v="1"/>
    <n v="0"/>
    <n v="0"/>
    <n v="0"/>
  </r>
  <r>
    <n v="318"/>
    <n v="0"/>
    <n v="2"/>
    <s v="Moraweck, Dr. Ernest"/>
    <n v="0"/>
    <x v="5"/>
    <n v="0"/>
    <n v="0"/>
    <s v="29011"/>
    <n v="14"/>
    <s v=""/>
    <s v="S"/>
    <n v="1"/>
    <n v="0"/>
    <n v="0"/>
    <x v="6"/>
    <n v="0"/>
    <n v="0"/>
    <n v="0"/>
    <n v="0"/>
    <n v="1"/>
  </r>
  <r>
    <n v="319"/>
    <n v="1"/>
    <n v="1"/>
    <s v="Wick, Miss. Mary Natalie"/>
    <n v="1"/>
    <x v="14"/>
    <n v="0"/>
    <n v="2"/>
    <s v="36928"/>
    <n v="164.86670000000001"/>
    <s v="C7"/>
    <s v="S"/>
    <n v="1"/>
    <n v="0"/>
    <n v="0"/>
    <x v="2"/>
    <n v="1"/>
    <n v="0"/>
    <n v="0"/>
    <n v="0"/>
    <n v="0"/>
  </r>
  <r>
    <n v="320"/>
    <n v="1"/>
    <n v="1"/>
    <s v="Spedden, Mrs. Frederic Oakley (Margaretta Corning Stone)"/>
    <n v="1"/>
    <x v="20"/>
    <n v="1"/>
    <n v="1"/>
    <s v="16966"/>
    <n v="134.5"/>
    <s v="E34"/>
    <s v="C"/>
    <n v="0"/>
    <n v="1"/>
    <n v="0"/>
    <x v="1"/>
    <n v="0"/>
    <n v="1"/>
    <n v="0"/>
    <n v="0"/>
    <n v="0"/>
  </r>
  <r>
    <n v="321"/>
    <n v="0"/>
    <n v="3"/>
    <s v="Dennis, Mr. Samuel"/>
    <n v="0"/>
    <x v="0"/>
    <n v="0"/>
    <n v="0"/>
    <s v="A/5 21172"/>
    <n v="7.25"/>
    <s v=""/>
    <s v="S"/>
    <n v="1"/>
    <n v="0"/>
    <n v="0"/>
    <x v="0"/>
    <n v="0"/>
    <n v="0"/>
    <n v="1"/>
    <n v="0"/>
    <n v="0"/>
  </r>
  <r>
    <n v="322"/>
    <n v="0"/>
    <n v="3"/>
    <s v="Danoff, Mr. Yoto"/>
    <n v="0"/>
    <x v="7"/>
    <n v="0"/>
    <n v="0"/>
    <s v="349219"/>
    <n v="7.8958000000000004"/>
    <s v=""/>
    <s v="S"/>
    <n v="1"/>
    <n v="0"/>
    <n v="0"/>
    <x v="0"/>
    <n v="0"/>
    <n v="0"/>
    <n v="1"/>
    <n v="0"/>
    <n v="0"/>
  </r>
  <r>
    <n v="323"/>
    <n v="1"/>
    <n v="2"/>
    <s v="Slayter, Miss. Hilda Mary"/>
    <n v="1"/>
    <x v="37"/>
    <n v="0"/>
    <n v="0"/>
    <s v="234818"/>
    <n v="12.35"/>
    <s v=""/>
    <s v="Q"/>
    <n v="0"/>
    <n v="0"/>
    <n v="1"/>
    <x v="2"/>
    <n v="1"/>
    <n v="0"/>
    <n v="0"/>
    <n v="0"/>
    <n v="0"/>
  </r>
  <r>
    <n v="324"/>
    <n v="1"/>
    <n v="2"/>
    <s v="Caldwell, Mrs. Albert Francis (Sylvia Mae Harbaugh)"/>
    <n v="1"/>
    <x v="0"/>
    <n v="1"/>
    <n v="1"/>
    <s v="248738"/>
    <n v="29"/>
    <s v=""/>
    <s v="S"/>
    <n v="1"/>
    <n v="0"/>
    <n v="0"/>
    <x v="1"/>
    <n v="0"/>
    <n v="1"/>
    <n v="0"/>
    <n v="0"/>
    <n v="0"/>
  </r>
  <r>
    <n v="325"/>
    <n v="0"/>
    <n v="3"/>
    <s v="Sage, Mr. George John Jr"/>
    <n v="0"/>
    <x v="4"/>
    <n v="8"/>
    <n v="2"/>
    <s v="CA. 2343"/>
    <n v="69.55"/>
    <s v=""/>
    <s v="S"/>
    <n v="1"/>
    <n v="0"/>
    <n v="0"/>
    <x v="0"/>
    <n v="0"/>
    <n v="0"/>
    <n v="1"/>
    <n v="0"/>
    <n v="0"/>
  </r>
  <r>
    <n v="326"/>
    <n v="1"/>
    <n v="1"/>
    <s v="Young, Miss. Marie Grice"/>
    <n v="1"/>
    <x v="54"/>
    <n v="0"/>
    <n v="0"/>
    <s v="PC 17760"/>
    <n v="135.63329999999999"/>
    <s v="C32"/>
    <s v="C"/>
    <n v="0"/>
    <n v="1"/>
    <n v="0"/>
    <x v="2"/>
    <n v="1"/>
    <n v="0"/>
    <n v="0"/>
    <n v="0"/>
    <n v="0"/>
  </r>
  <r>
    <n v="327"/>
    <n v="0"/>
    <n v="3"/>
    <s v="Nysveen, Mr. Johan Hansen"/>
    <n v="0"/>
    <x v="51"/>
    <n v="0"/>
    <n v="0"/>
    <s v="345364"/>
    <n v="6.2374999999999998"/>
    <s v=""/>
    <s v="S"/>
    <n v="1"/>
    <n v="0"/>
    <n v="0"/>
    <x v="0"/>
    <n v="0"/>
    <n v="0"/>
    <n v="1"/>
    <n v="0"/>
    <n v="0"/>
  </r>
  <r>
    <n v="328"/>
    <n v="1"/>
    <n v="2"/>
    <s v="Ball, Mrs. (Ada E Hall)"/>
    <n v="1"/>
    <x v="54"/>
    <n v="0"/>
    <n v="0"/>
    <s v="28551"/>
    <n v="13"/>
    <s v="D"/>
    <s v="S"/>
    <n v="1"/>
    <n v="0"/>
    <n v="0"/>
    <x v="1"/>
    <n v="0"/>
    <n v="1"/>
    <n v="0"/>
    <n v="0"/>
    <n v="0"/>
  </r>
  <r>
    <n v="329"/>
    <n v="1"/>
    <n v="3"/>
    <s v="Goldsmith, Mrs. Frank John (Emily Alice Brown)"/>
    <n v="1"/>
    <x v="14"/>
    <n v="1"/>
    <n v="1"/>
    <s v="363291"/>
    <n v="20.524999999999999"/>
    <s v=""/>
    <s v="S"/>
    <n v="1"/>
    <n v="0"/>
    <n v="0"/>
    <x v="1"/>
    <n v="0"/>
    <n v="1"/>
    <n v="0"/>
    <n v="0"/>
    <n v="0"/>
  </r>
  <r>
    <n v="330"/>
    <n v="1"/>
    <n v="1"/>
    <s v="Hippach, Miss. Jean Gertrude"/>
    <n v="1"/>
    <x v="35"/>
    <n v="0"/>
    <n v="1"/>
    <s v="111361"/>
    <n v="57.979199999999999"/>
    <s v="B18"/>
    <s v="C"/>
    <n v="0"/>
    <n v="1"/>
    <n v="0"/>
    <x v="2"/>
    <n v="1"/>
    <n v="0"/>
    <n v="0"/>
    <n v="0"/>
    <n v="0"/>
  </r>
  <r>
    <n v="331"/>
    <n v="1"/>
    <n v="3"/>
    <s v="McCoy, Miss. Agnes"/>
    <n v="1"/>
    <x v="4"/>
    <n v="2"/>
    <n v="0"/>
    <s v="367226"/>
    <n v="23.25"/>
    <s v=""/>
    <s v="Q"/>
    <n v="0"/>
    <n v="0"/>
    <n v="1"/>
    <x v="2"/>
    <n v="1"/>
    <n v="0"/>
    <n v="0"/>
    <n v="0"/>
    <n v="0"/>
  </r>
  <r>
    <n v="332"/>
    <n v="0"/>
    <n v="1"/>
    <s v="Partner, Mr. Austen"/>
    <n v="0"/>
    <x v="4"/>
    <n v="0"/>
    <n v="0"/>
    <s v="113043"/>
    <n v="28.5"/>
    <s v="C124"/>
    <s v="S"/>
    <n v="1"/>
    <n v="0"/>
    <n v="0"/>
    <x v="0"/>
    <n v="0"/>
    <n v="0"/>
    <n v="1"/>
    <n v="0"/>
    <n v="0"/>
  </r>
  <r>
    <n v="333"/>
    <n v="0"/>
    <n v="1"/>
    <s v="Graham, Mr. George Edward"/>
    <n v="0"/>
    <x v="1"/>
    <n v="0"/>
    <n v="1"/>
    <s v="PC 17582"/>
    <n v="153.46250000000001"/>
    <s v="C91"/>
    <s v="S"/>
    <n v="1"/>
    <n v="0"/>
    <n v="0"/>
    <x v="0"/>
    <n v="0"/>
    <n v="0"/>
    <n v="1"/>
    <n v="0"/>
    <n v="0"/>
  </r>
  <r>
    <n v="334"/>
    <n v="0"/>
    <n v="3"/>
    <s v="Vander Planke, Mr. Leo Edmondus"/>
    <n v="0"/>
    <x v="35"/>
    <n v="2"/>
    <n v="0"/>
    <s v="345764"/>
    <n v="18"/>
    <s v=""/>
    <s v="S"/>
    <n v="1"/>
    <n v="0"/>
    <n v="0"/>
    <x v="0"/>
    <n v="0"/>
    <n v="0"/>
    <n v="1"/>
    <n v="0"/>
    <n v="0"/>
  </r>
  <r>
    <n v="335"/>
    <n v="1"/>
    <n v="1"/>
    <s v="Frauenthal, Mrs. Henry William (Clara Heinsheimer)"/>
    <n v="1"/>
    <x v="4"/>
    <n v="1"/>
    <n v="0"/>
    <s v="PC 17611"/>
    <n v="133.65"/>
    <s v=""/>
    <s v="S"/>
    <n v="1"/>
    <n v="0"/>
    <n v="0"/>
    <x v="1"/>
    <n v="0"/>
    <n v="1"/>
    <n v="0"/>
    <n v="0"/>
    <n v="0"/>
  </r>
  <r>
    <n v="336"/>
    <n v="0"/>
    <n v="3"/>
    <s v="Denkoff, Mr. Mitto"/>
    <n v="0"/>
    <x v="4"/>
    <n v="0"/>
    <n v="0"/>
    <s v="349225"/>
    <n v="7.8958000000000004"/>
    <s v=""/>
    <s v="S"/>
    <n v="1"/>
    <n v="0"/>
    <n v="0"/>
    <x v="0"/>
    <n v="0"/>
    <n v="0"/>
    <n v="1"/>
    <n v="0"/>
    <n v="0"/>
  </r>
  <r>
    <n v="337"/>
    <n v="0"/>
    <n v="1"/>
    <s v="Pears, Mr. Thomas Clinton"/>
    <n v="0"/>
    <x v="28"/>
    <n v="1"/>
    <n v="0"/>
    <s v="113776"/>
    <n v="66.599999999999994"/>
    <s v="C2"/>
    <s v="S"/>
    <n v="1"/>
    <n v="0"/>
    <n v="0"/>
    <x v="0"/>
    <n v="0"/>
    <n v="0"/>
    <n v="1"/>
    <n v="0"/>
    <n v="0"/>
  </r>
  <r>
    <n v="338"/>
    <n v="1"/>
    <n v="1"/>
    <s v="Burns, Miss. Elizabeth Margaret"/>
    <n v="1"/>
    <x v="56"/>
    <n v="0"/>
    <n v="0"/>
    <s v="16966"/>
    <n v="134.5"/>
    <s v="E40"/>
    <s v="C"/>
    <n v="0"/>
    <n v="1"/>
    <n v="0"/>
    <x v="2"/>
    <n v="1"/>
    <n v="0"/>
    <n v="0"/>
    <n v="0"/>
    <n v="0"/>
  </r>
  <r>
    <n v="339"/>
    <n v="1"/>
    <n v="3"/>
    <s v="Dahl, Mr. Karl Edwart"/>
    <n v="0"/>
    <x v="32"/>
    <n v="0"/>
    <n v="0"/>
    <s v="7598"/>
    <n v="8.0500000000000007"/>
    <s v=""/>
    <s v="S"/>
    <n v="1"/>
    <n v="0"/>
    <n v="0"/>
    <x v="0"/>
    <n v="0"/>
    <n v="0"/>
    <n v="1"/>
    <n v="0"/>
    <n v="0"/>
  </r>
  <r>
    <n v="340"/>
    <n v="0"/>
    <n v="1"/>
    <s v="Blackwell, Mr. Stephen Weart"/>
    <n v="0"/>
    <x v="32"/>
    <n v="0"/>
    <n v="0"/>
    <s v="113784"/>
    <n v="35.5"/>
    <s v="T"/>
    <s v="S"/>
    <n v="1"/>
    <n v="0"/>
    <n v="0"/>
    <x v="0"/>
    <n v="0"/>
    <n v="0"/>
    <n v="1"/>
    <n v="0"/>
    <n v="0"/>
  </r>
  <r>
    <n v="341"/>
    <n v="1"/>
    <n v="2"/>
    <s v="Navratil, Master. Edmond Roger"/>
    <n v="0"/>
    <x v="6"/>
    <n v="1"/>
    <n v="1"/>
    <s v="230080"/>
    <n v="26"/>
    <s v="F2"/>
    <s v="S"/>
    <n v="1"/>
    <n v="0"/>
    <n v="0"/>
    <x v="3"/>
    <n v="0"/>
    <n v="0"/>
    <n v="0"/>
    <n v="1"/>
    <n v="0"/>
  </r>
  <r>
    <n v="342"/>
    <n v="1"/>
    <n v="1"/>
    <s v="Fortune, Miss. Alice Elizabeth"/>
    <n v="1"/>
    <x v="40"/>
    <n v="3"/>
    <n v="2"/>
    <s v="19950"/>
    <n v="263"/>
    <s v="C23 C25 C27"/>
    <s v="S"/>
    <n v="1"/>
    <n v="0"/>
    <n v="0"/>
    <x v="2"/>
    <n v="1"/>
    <n v="0"/>
    <n v="0"/>
    <n v="0"/>
    <n v="0"/>
  </r>
  <r>
    <n v="343"/>
    <n v="0"/>
    <n v="2"/>
    <s v="Collander, Mr. Erik Gustaf"/>
    <n v="0"/>
    <x v="17"/>
    <n v="0"/>
    <n v="0"/>
    <s v="248740"/>
    <n v="13"/>
    <s v=""/>
    <s v="S"/>
    <n v="1"/>
    <n v="0"/>
    <n v="0"/>
    <x v="0"/>
    <n v="0"/>
    <n v="0"/>
    <n v="1"/>
    <n v="0"/>
    <n v="0"/>
  </r>
  <r>
    <n v="344"/>
    <n v="0"/>
    <n v="2"/>
    <s v="Sedgwick, Mr. Charles Frederick Waddington"/>
    <n v="0"/>
    <x v="36"/>
    <n v="0"/>
    <n v="0"/>
    <s v="244361"/>
    <n v="13"/>
    <s v=""/>
    <s v="S"/>
    <n v="1"/>
    <n v="0"/>
    <n v="0"/>
    <x v="0"/>
    <n v="0"/>
    <n v="0"/>
    <n v="1"/>
    <n v="0"/>
    <n v="0"/>
  </r>
  <r>
    <n v="345"/>
    <n v="0"/>
    <n v="2"/>
    <s v="Fox, Mr. Stanley Hubert"/>
    <n v="0"/>
    <x v="54"/>
    <n v="0"/>
    <n v="0"/>
    <s v="229236"/>
    <n v="13"/>
    <s v=""/>
    <s v="S"/>
    <n v="1"/>
    <n v="0"/>
    <n v="0"/>
    <x v="0"/>
    <n v="0"/>
    <n v="0"/>
    <n v="1"/>
    <n v="0"/>
    <n v="0"/>
  </r>
  <r>
    <n v="346"/>
    <n v="1"/>
    <n v="2"/>
    <s v="Brown, Miss. Amelia &quot;Mildred&quot;"/>
    <n v="1"/>
    <x v="40"/>
    <n v="0"/>
    <n v="0"/>
    <s v="248733"/>
    <n v="13"/>
    <s v="F33"/>
    <s v="S"/>
    <n v="1"/>
    <n v="0"/>
    <n v="0"/>
    <x v="2"/>
    <n v="1"/>
    <n v="0"/>
    <n v="0"/>
    <n v="0"/>
    <n v="0"/>
  </r>
  <r>
    <n v="347"/>
    <n v="1"/>
    <n v="2"/>
    <s v="Smith, Miss. Marion Elsie"/>
    <n v="1"/>
    <x v="20"/>
    <n v="0"/>
    <n v="0"/>
    <s v="31418"/>
    <n v="13"/>
    <s v=""/>
    <s v="S"/>
    <n v="1"/>
    <n v="0"/>
    <n v="0"/>
    <x v="2"/>
    <n v="1"/>
    <n v="0"/>
    <n v="0"/>
    <n v="0"/>
    <n v="0"/>
  </r>
  <r>
    <n v="348"/>
    <n v="1"/>
    <n v="3"/>
    <s v="Davison, Mrs. Thomas Henry (Mary E Finck)"/>
    <n v="1"/>
    <x v="4"/>
    <n v="1"/>
    <n v="0"/>
    <s v="386525"/>
    <n v="16.100000000000001"/>
    <s v=""/>
    <s v="S"/>
    <n v="1"/>
    <n v="0"/>
    <n v="0"/>
    <x v="1"/>
    <n v="0"/>
    <n v="1"/>
    <n v="0"/>
    <n v="0"/>
    <n v="0"/>
  </r>
  <r>
    <n v="349"/>
    <n v="1"/>
    <n v="3"/>
    <s v="Coutts, Master. William Loch &quot;William&quot;"/>
    <n v="0"/>
    <x v="25"/>
    <n v="1"/>
    <n v="1"/>
    <s v="C.A. 37671"/>
    <n v="15.9"/>
    <s v=""/>
    <s v="S"/>
    <n v="1"/>
    <n v="0"/>
    <n v="0"/>
    <x v="3"/>
    <n v="0"/>
    <n v="0"/>
    <n v="0"/>
    <n v="1"/>
    <n v="0"/>
  </r>
  <r>
    <n v="350"/>
    <n v="0"/>
    <n v="3"/>
    <s v="Dimic, Mr. Jovan"/>
    <n v="0"/>
    <x v="22"/>
    <n v="0"/>
    <n v="0"/>
    <s v="315088"/>
    <n v="8.6624999999999996"/>
    <s v=""/>
    <s v="S"/>
    <n v="1"/>
    <n v="0"/>
    <n v="0"/>
    <x v="0"/>
    <n v="0"/>
    <n v="0"/>
    <n v="1"/>
    <n v="0"/>
    <n v="0"/>
  </r>
  <r>
    <n v="351"/>
    <n v="0"/>
    <n v="3"/>
    <s v="Odahl, Mr. Nils Martin"/>
    <n v="0"/>
    <x v="39"/>
    <n v="0"/>
    <n v="0"/>
    <s v="7267"/>
    <n v="9.2249999999999996"/>
    <s v=""/>
    <s v="S"/>
    <n v="1"/>
    <n v="0"/>
    <n v="0"/>
    <x v="0"/>
    <n v="0"/>
    <n v="0"/>
    <n v="1"/>
    <n v="0"/>
    <n v="0"/>
  </r>
  <r>
    <n v="352"/>
    <n v="0"/>
    <n v="1"/>
    <s v="Williams-Lambert, Mr. Fletcher Fellows"/>
    <n v="0"/>
    <x v="4"/>
    <n v="0"/>
    <n v="0"/>
    <s v="113510"/>
    <n v="35"/>
    <s v="C128"/>
    <s v="S"/>
    <n v="1"/>
    <n v="0"/>
    <n v="0"/>
    <x v="0"/>
    <n v="0"/>
    <n v="0"/>
    <n v="1"/>
    <n v="0"/>
    <n v="0"/>
  </r>
  <r>
    <n v="353"/>
    <n v="0"/>
    <n v="3"/>
    <s v="Elias, Mr. Tannous"/>
    <n v="0"/>
    <x v="16"/>
    <n v="1"/>
    <n v="1"/>
    <s v="2695"/>
    <n v="7.2291999999999996"/>
    <s v=""/>
    <s v="C"/>
    <n v="0"/>
    <n v="1"/>
    <n v="0"/>
    <x v="0"/>
    <n v="0"/>
    <n v="0"/>
    <n v="1"/>
    <n v="0"/>
    <n v="0"/>
  </r>
  <r>
    <n v="354"/>
    <n v="0"/>
    <n v="3"/>
    <s v="Arnold-Franchi, Mr. Josef"/>
    <n v="0"/>
    <x v="36"/>
    <n v="1"/>
    <n v="0"/>
    <s v="349237"/>
    <n v="17.8"/>
    <s v=""/>
    <s v="S"/>
    <n v="1"/>
    <n v="0"/>
    <n v="0"/>
    <x v="0"/>
    <n v="0"/>
    <n v="0"/>
    <n v="1"/>
    <n v="0"/>
    <n v="0"/>
  </r>
  <r>
    <n v="355"/>
    <n v="0"/>
    <n v="3"/>
    <s v="Yousif, Mr. Wazli"/>
    <n v="0"/>
    <x v="4"/>
    <n v="0"/>
    <n v="0"/>
    <s v="2647"/>
    <n v="7.2249999999999996"/>
    <s v=""/>
    <s v="C"/>
    <n v="0"/>
    <n v="1"/>
    <n v="0"/>
    <x v="0"/>
    <n v="0"/>
    <n v="0"/>
    <n v="1"/>
    <n v="0"/>
    <n v="0"/>
  </r>
  <r>
    <n v="356"/>
    <n v="0"/>
    <n v="3"/>
    <s v="Vanden Steen, Mr. Leo Peter"/>
    <n v="0"/>
    <x v="17"/>
    <n v="0"/>
    <n v="0"/>
    <s v="345783"/>
    <n v="9.5"/>
    <s v=""/>
    <s v="S"/>
    <n v="1"/>
    <n v="0"/>
    <n v="0"/>
    <x v="0"/>
    <n v="0"/>
    <n v="0"/>
    <n v="1"/>
    <n v="0"/>
    <n v="0"/>
  </r>
  <r>
    <n v="357"/>
    <n v="1"/>
    <n v="1"/>
    <s v="Bowerman, Miss. Elsie Edith"/>
    <n v="1"/>
    <x v="0"/>
    <n v="0"/>
    <n v="1"/>
    <s v="113505"/>
    <n v="55"/>
    <s v="E33"/>
    <s v="S"/>
    <n v="1"/>
    <n v="0"/>
    <n v="0"/>
    <x v="2"/>
    <n v="1"/>
    <n v="0"/>
    <n v="0"/>
    <n v="0"/>
    <n v="0"/>
  </r>
  <r>
    <n v="358"/>
    <n v="0"/>
    <n v="2"/>
    <s v="Funk, Miss. Annie Clemmer"/>
    <n v="1"/>
    <x v="1"/>
    <n v="0"/>
    <n v="0"/>
    <s v="237671"/>
    <n v="13"/>
    <s v=""/>
    <s v="S"/>
    <n v="1"/>
    <n v="0"/>
    <n v="0"/>
    <x v="2"/>
    <n v="1"/>
    <n v="0"/>
    <n v="0"/>
    <n v="0"/>
    <n v="0"/>
  </r>
  <r>
    <n v="359"/>
    <n v="1"/>
    <n v="3"/>
    <s v="McGovern, Miss. Mary"/>
    <n v="1"/>
    <x v="4"/>
    <n v="0"/>
    <n v="0"/>
    <s v="330931"/>
    <n v="7.8792"/>
    <s v=""/>
    <s v="Q"/>
    <n v="0"/>
    <n v="0"/>
    <n v="1"/>
    <x v="2"/>
    <n v="1"/>
    <n v="0"/>
    <n v="0"/>
    <n v="0"/>
    <n v="0"/>
  </r>
  <r>
    <n v="360"/>
    <n v="1"/>
    <n v="3"/>
    <s v="Mockler, Miss. Helen Mary &quot;Ellie&quot;"/>
    <n v="1"/>
    <x v="4"/>
    <n v="0"/>
    <n v="0"/>
    <s v="330980"/>
    <n v="7.8792"/>
    <s v=""/>
    <s v="Q"/>
    <n v="0"/>
    <n v="0"/>
    <n v="1"/>
    <x v="2"/>
    <n v="1"/>
    <n v="0"/>
    <n v="0"/>
    <n v="0"/>
    <n v="0"/>
  </r>
  <r>
    <n v="361"/>
    <n v="0"/>
    <n v="3"/>
    <s v="Skoog, Mr. Wilhelm"/>
    <n v="0"/>
    <x v="20"/>
    <n v="1"/>
    <n v="4"/>
    <s v="347088"/>
    <n v="27.9"/>
    <s v=""/>
    <s v="S"/>
    <n v="1"/>
    <n v="0"/>
    <n v="0"/>
    <x v="0"/>
    <n v="0"/>
    <n v="0"/>
    <n v="1"/>
    <n v="0"/>
    <n v="0"/>
  </r>
  <r>
    <n v="362"/>
    <n v="0"/>
    <n v="2"/>
    <s v="del Carlo, Mr. Sebastiano"/>
    <n v="0"/>
    <x v="28"/>
    <n v="1"/>
    <n v="0"/>
    <s v="SC/PARIS 2167"/>
    <n v="27.720800000000001"/>
    <s v=""/>
    <s v="C"/>
    <n v="0"/>
    <n v="1"/>
    <n v="0"/>
    <x v="0"/>
    <n v="0"/>
    <n v="0"/>
    <n v="1"/>
    <n v="0"/>
    <n v="0"/>
  </r>
  <r>
    <n v="363"/>
    <n v="0"/>
    <n v="3"/>
    <s v="Barbara, Mrs. (Catherine David)"/>
    <n v="1"/>
    <x v="32"/>
    <n v="0"/>
    <n v="1"/>
    <s v="2691"/>
    <n v="14.4542"/>
    <s v=""/>
    <s v="C"/>
    <n v="0"/>
    <n v="1"/>
    <n v="0"/>
    <x v="1"/>
    <n v="0"/>
    <n v="1"/>
    <n v="0"/>
    <n v="0"/>
    <n v="0"/>
  </r>
  <r>
    <n v="364"/>
    <n v="0"/>
    <n v="3"/>
    <s v="Asim, Mr. Adola"/>
    <n v="0"/>
    <x v="3"/>
    <n v="0"/>
    <n v="0"/>
    <s v="SOTON/O.Q. 3101310"/>
    <n v="7.05"/>
    <s v=""/>
    <s v="S"/>
    <n v="1"/>
    <n v="0"/>
    <n v="0"/>
    <x v="0"/>
    <n v="0"/>
    <n v="0"/>
    <n v="1"/>
    <n v="0"/>
    <n v="0"/>
  </r>
  <r>
    <n v="365"/>
    <n v="0"/>
    <n v="3"/>
    <s v="O'Brien, Mr. Thomas"/>
    <n v="0"/>
    <x v="4"/>
    <n v="1"/>
    <n v="0"/>
    <s v="370365"/>
    <n v="15.5"/>
    <s v=""/>
    <s v="Q"/>
    <n v="0"/>
    <n v="0"/>
    <n v="1"/>
    <x v="0"/>
    <n v="0"/>
    <n v="0"/>
    <n v="1"/>
    <n v="0"/>
    <n v="0"/>
  </r>
  <r>
    <n v="366"/>
    <n v="0"/>
    <n v="3"/>
    <s v="Adahl, Mr. Mauritz Nils Martin"/>
    <n v="0"/>
    <x v="37"/>
    <n v="0"/>
    <n v="0"/>
    <s v="C 7076"/>
    <n v="7.25"/>
    <s v=""/>
    <s v="S"/>
    <n v="1"/>
    <n v="0"/>
    <n v="0"/>
    <x v="0"/>
    <n v="0"/>
    <n v="0"/>
    <n v="1"/>
    <n v="0"/>
    <n v="0"/>
  </r>
  <r>
    <n v="367"/>
    <n v="1"/>
    <n v="1"/>
    <s v="Warren, Mrs. Frank Manley (Anna Sophia Atkinson)"/>
    <n v="1"/>
    <x v="60"/>
    <n v="1"/>
    <n v="0"/>
    <s v="110813"/>
    <n v="75.25"/>
    <s v="D37"/>
    <s v="C"/>
    <n v="0"/>
    <n v="1"/>
    <n v="0"/>
    <x v="1"/>
    <n v="0"/>
    <n v="1"/>
    <n v="0"/>
    <n v="0"/>
    <n v="0"/>
  </r>
  <r>
    <n v="368"/>
    <n v="1"/>
    <n v="3"/>
    <s v="Moussa, Mrs. (Mantoura Boulos)"/>
    <n v="1"/>
    <x v="4"/>
    <n v="0"/>
    <n v="0"/>
    <s v="2626"/>
    <n v="7.2291999999999996"/>
    <s v=""/>
    <s v="C"/>
    <n v="0"/>
    <n v="1"/>
    <n v="0"/>
    <x v="1"/>
    <n v="0"/>
    <n v="1"/>
    <n v="0"/>
    <n v="0"/>
    <n v="0"/>
  </r>
  <r>
    <n v="369"/>
    <n v="1"/>
    <n v="3"/>
    <s v="Jermyn, Miss. Annie"/>
    <n v="1"/>
    <x v="4"/>
    <n v="0"/>
    <n v="0"/>
    <s v="14313"/>
    <n v="7.75"/>
    <s v=""/>
    <s v="Q"/>
    <n v="0"/>
    <n v="0"/>
    <n v="1"/>
    <x v="2"/>
    <n v="1"/>
    <n v="0"/>
    <n v="0"/>
    <n v="0"/>
    <n v="0"/>
  </r>
  <r>
    <n v="370"/>
    <n v="1"/>
    <n v="1"/>
    <s v="Aubart, Mme. Leontine Pauline"/>
    <n v="1"/>
    <x v="40"/>
    <n v="0"/>
    <n v="0"/>
    <s v="PC 17477"/>
    <n v="69.3"/>
    <s v="B35"/>
    <s v="C"/>
    <n v="0"/>
    <n v="1"/>
    <n v="0"/>
    <x v="7"/>
    <n v="0"/>
    <n v="1"/>
    <n v="0"/>
    <n v="0"/>
    <n v="0"/>
  </r>
  <r>
    <n v="371"/>
    <n v="1"/>
    <n v="1"/>
    <s v="Harder, Mr. George Achilles"/>
    <n v="0"/>
    <x v="36"/>
    <n v="1"/>
    <n v="0"/>
    <s v="11765"/>
    <n v="55.441699999999997"/>
    <s v="E50"/>
    <s v="C"/>
    <n v="0"/>
    <n v="1"/>
    <n v="0"/>
    <x v="0"/>
    <n v="0"/>
    <n v="0"/>
    <n v="1"/>
    <n v="0"/>
    <n v="0"/>
  </r>
  <r>
    <n v="372"/>
    <n v="0"/>
    <n v="3"/>
    <s v="Wiklund, Mr. Jakob Alfred"/>
    <n v="0"/>
    <x v="24"/>
    <n v="1"/>
    <n v="0"/>
    <s v="3101267"/>
    <n v="6.4958"/>
    <s v=""/>
    <s v="S"/>
    <n v="1"/>
    <n v="0"/>
    <n v="0"/>
    <x v="0"/>
    <n v="0"/>
    <n v="0"/>
    <n v="1"/>
    <n v="0"/>
    <n v="0"/>
  </r>
  <r>
    <n v="373"/>
    <n v="0"/>
    <n v="3"/>
    <s v="Beavan, Mr. William Thomas"/>
    <n v="0"/>
    <x v="19"/>
    <n v="0"/>
    <n v="0"/>
    <s v="323951"/>
    <n v="8.0500000000000007"/>
    <s v=""/>
    <s v="S"/>
    <n v="1"/>
    <n v="0"/>
    <n v="0"/>
    <x v="0"/>
    <n v="0"/>
    <n v="0"/>
    <n v="1"/>
    <n v="0"/>
    <n v="0"/>
  </r>
  <r>
    <n v="374"/>
    <n v="0"/>
    <n v="1"/>
    <s v="Ringhini, Mr. Sante"/>
    <n v="0"/>
    <x v="0"/>
    <n v="0"/>
    <n v="0"/>
    <s v="PC 17760"/>
    <n v="135.63329999999999"/>
    <s v=""/>
    <s v="C"/>
    <n v="0"/>
    <n v="1"/>
    <n v="0"/>
    <x v="0"/>
    <n v="0"/>
    <n v="0"/>
    <n v="1"/>
    <n v="0"/>
    <n v="0"/>
  </r>
  <r>
    <n v="375"/>
    <n v="0"/>
    <n v="3"/>
    <s v="Palsson, Miss. Stina Viola"/>
    <n v="1"/>
    <x v="25"/>
    <n v="3"/>
    <n v="1"/>
    <s v="349909"/>
    <n v="21.074999999999999"/>
    <s v=""/>
    <s v="S"/>
    <n v="1"/>
    <n v="0"/>
    <n v="0"/>
    <x v="2"/>
    <n v="1"/>
    <n v="0"/>
    <n v="0"/>
    <n v="0"/>
    <n v="0"/>
  </r>
  <r>
    <n v="376"/>
    <n v="1"/>
    <n v="1"/>
    <s v="Meyer, Mrs. Edgar Joseph (Leila Saks)"/>
    <n v="1"/>
    <x v="4"/>
    <n v="1"/>
    <n v="0"/>
    <s v="PC 17604"/>
    <n v="82.1708"/>
    <s v=""/>
    <s v="C"/>
    <n v="0"/>
    <n v="1"/>
    <n v="0"/>
    <x v="1"/>
    <n v="0"/>
    <n v="1"/>
    <n v="0"/>
    <n v="0"/>
    <n v="0"/>
  </r>
  <r>
    <n v="377"/>
    <n v="1"/>
    <n v="3"/>
    <s v="Landergren, Miss. Aurora Adelia"/>
    <n v="1"/>
    <x v="0"/>
    <n v="0"/>
    <n v="0"/>
    <s v="C 7077"/>
    <n v="7.25"/>
    <s v=""/>
    <s v="S"/>
    <n v="1"/>
    <n v="0"/>
    <n v="0"/>
    <x v="2"/>
    <n v="1"/>
    <n v="0"/>
    <n v="0"/>
    <n v="0"/>
    <n v="0"/>
  </r>
  <r>
    <n v="378"/>
    <n v="0"/>
    <n v="1"/>
    <s v="Widener, Mr. Harry Elkins"/>
    <n v="0"/>
    <x v="7"/>
    <n v="0"/>
    <n v="2"/>
    <s v="113503"/>
    <n v="211.5"/>
    <s v="C82"/>
    <s v="C"/>
    <n v="0"/>
    <n v="1"/>
    <n v="0"/>
    <x v="0"/>
    <n v="0"/>
    <n v="0"/>
    <n v="1"/>
    <n v="0"/>
    <n v="0"/>
  </r>
  <r>
    <n v="379"/>
    <n v="0"/>
    <n v="3"/>
    <s v="Betros, Mr. Tannous"/>
    <n v="0"/>
    <x v="11"/>
    <n v="0"/>
    <n v="0"/>
    <s v="2648"/>
    <n v="4.0125000000000002"/>
    <s v=""/>
    <s v="C"/>
    <n v="0"/>
    <n v="1"/>
    <n v="0"/>
    <x v="0"/>
    <n v="0"/>
    <n v="0"/>
    <n v="1"/>
    <n v="0"/>
    <n v="0"/>
  </r>
  <r>
    <n v="380"/>
    <n v="0"/>
    <n v="3"/>
    <s v="Gustafsson, Mr. Karl Gideon"/>
    <n v="0"/>
    <x v="19"/>
    <n v="0"/>
    <n v="0"/>
    <s v="347069"/>
    <n v="7.7750000000000004"/>
    <s v=""/>
    <s v="S"/>
    <n v="1"/>
    <n v="0"/>
    <n v="0"/>
    <x v="0"/>
    <n v="0"/>
    <n v="0"/>
    <n v="1"/>
    <n v="0"/>
    <n v="0"/>
  </r>
  <r>
    <n v="381"/>
    <n v="1"/>
    <n v="1"/>
    <s v="Bidois, Miss. Rosalie"/>
    <n v="1"/>
    <x v="22"/>
    <n v="0"/>
    <n v="0"/>
    <s v="PC 17757"/>
    <n v="227.52500000000001"/>
    <s v=""/>
    <s v="C"/>
    <n v="0"/>
    <n v="1"/>
    <n v="0"/>
    <x v="2"/>
    <n v="1"/>
    <n v="0"/>
    <n v="0"/>
    <n v="0"/>
    <n v="0"/>
  </r>
  <r>
    <n v="382"/>
    <n v="1"/>
    <n v="3"/>
    <s v="Nakid, Miss. Maria (&quot;Mary&quot;)"/>
    <n v="1"/>
    <x v="50"/>
    <n v="0"/>
    <n v="2"/>
    <s v="2653"/>
    <n v="15.7417"/>
    <s v=""/>
    <s v="C"/>
    <n v="0"/>
    <n v="1"/>
    <n v="0"/>
    <x v="2"/>
    <n v="1"/>
    <n v="0"/>
    <n v="0"/>
    <n v="0"/>
    <n v="0"/>
  </r>
  <r>
    <n v="383"/>
    <n v="0"/>
    <n v="3"/>
    <s v="Tikkanen, Mr. Juho"/>
    <n v="0"/>
    <x v="34"/>
    <n v="0"/>
    <n v="0"/>
    <s v="STON/O 2. 3101293"/>
    <n v="7.9249999999999998"/>
    <s v=""/>
    <s v="S"/>
    <n v="1"/>
    <n v="0"/>
    <n v="0"/>
    <x v="0"/>
    <n v="0"/>
    <n v="0"/>
    <n v="1"/>
    <n v="0"/>
    <n v="0"/>
  </r>
  <r>
    <n v="384"/>
    <n v="1"/>
    <n v="1"/>
    <s v="Holverson, Mrs. Alexander Oskar (Mary Aline Towner)"/>
    <n v="1"/>
    <x v="3"/>
    <n v="1"/>
    <n v="0"/>
    <s v="113789"/>
    <n v="52"/>
    <s v=""/>
    <s v="S"/>
    <n v="1"/>
    <n v="0"/>
    <n v="0"/>
    <x v="1"/>
    <n v="0"/>
    <n v="1"/>
    <n v="0"/>
    <n v="0"/>
    <n v="0"/>
  </r>
  <r>
    <n v="385"/>
    <n v="0"/>
    <n v="3"/>
    <s v="Plotcharsky, Mr. Vasil"/>
    <n v="0"/>
    <x v="4"/>
    <n v="0"/>
    <n v="0"/>
    <s v="349227"/>
    <n v="7.8958000000000004"/>
    <s v=""/>
    <s v="S"/>
    <n v="1"/>
    <n v="0"/>
    <n v="0"/>
    <x v="0"/>
    <n v="0"/>
    <n v="0"/>
    <n v="1"/>
    <n v="0"/>
    <n v="0"/>
  </r>
  <r>
    <n v="386"/>
    <n v="0"/>
    <n v="2"/>
    <s v="Davies, Mr. Charles Henry"/>
    <n v="0"/>
    <x v="24"/>
    <n v="0"/>
    <n v="0"/>
    <s v="S.O.C. 14879"/>
    <n v="73.5"/>
    <s v=""/>
    <s v="S"/>
    <n v="1"/>
    <n v="0"/>
    <n v="0"/>
    <x v="0"/>
    <n v="0"/>
    <n v="0"/>
    <n v="1"/>
    <n v="0"/>
    <n v="0"/>
  </r>
  <r>
    <n v="387"/>
    <n v="0"/>
    <n v="3"/>
    <s v="Goodwin, Master. Sidney Leonard"/>
    <n v="0"/>
    <x v="50"/>
    <n v="5"/>
    <n v="2"/>
    <s v="CA 2144"/>
    <n v="46.9"/>
    <s v=""/>
    <s v="S"/>
    <n v="1"/>
    <n v="0"/>
    <n v="0"/>
    <x v="3"/>
    <n v="0"/>
    <n v="0"/>
    <n v="0"/>
    <n v="1"/>
    <n v="0"/>
  </r>
  <r>
    <n v="388"/>
    <n v="1"/>
    <n v="2"/>
    <s v="Buss, Miss. Kate"/>
    <n v="1"/>
    <x v="54"/>
    <n v="0"/>
    <n v="0"/>
    <s v="27849"/>
    <n v="13"/>
    <s v=""/>
    <s v="S"/>
    <n v="1"/>
    <n v="0"/>
    <n v="0"/>
    <x v="2"/>
    <n v="1"/>
    <n v="0"/>
    <n v="0"/>
    <n v="0"/>
    <n v="0"/>
  </r>
  <r>
    <n v="389"/>
    <n v="0"/>
    <n v="3"/>
    <s v="Sadlier, Mr. Matthew"/>
    <n v="0"/>
    <x v="4"/>
    <n v="0"/>
    <n v="0"/>
    <s v="367655"/>
    <n v="7.7291999999999996"/>
    <s v=""/>
    <s v="Q"/>
    <n v="0"/>
    <n v="0"/>
    <n v="1"/>
    <x v="0"/>
    <n v="0"/>
    <n v="0"/>
    <n v="1"/>
    <n v="0"/>
    <n v="0"/>
  </r>
  <r>
    <n v="390"/>
    <n v="1"/>
    <n v="2"/>
    <s v="Lehmann, Miss. Bertha"/>
    <n v="1"/>
    <x v="33"/>
    <n v="0"/>
    <n v="0"/>
    <s v="SC 1748"/>
    <n v="12"/>
    <s v=""/>
    <s v="C"/>
    <n v="0"/>
    <n v="1"/>
    <n v="0"/>
    <x v="2"/>
    <n v="1"/>
    <n v="0"/>
    <n v="0"/>
    <n v="0"/>
    <n v="0"/>
  </r>
  <r>
    <n v="391"/>
    <n v="1"/>
    <n v="1"/>
    <s v="Carter, Mr. William Ernest"/>
    <n v="0"/>
    <x v="54"/>
    <n v="1"/>
    <n v="2"/>
    <s v="113760"/>
    <n v="120"/>
    <s v="B96 B98"/>
    <s v="S"/>
    <n v="1"/>
    <n v="0"/>
    <n v="0"/>
    <x v="0"/>
    <n v="0"/>
    <n v="0"/>
    <n v="1"/>
    <n v="0"/>
    <n v="0"/>
  </r>
  <r>
    <n v="392"/>
    <n v="1"/>
    <n v="3"/>
    <s v="Jansson, Mr. Carl Olof"/>
    <n v="0"/>
    <x v="23"/>
    <n v="0"/>
    <n v="0"/>
    <s v="350034"/>
    <n v="7.7957999999999998"/>
    <s v=""/>
    <s v="S"/>
    <n v="1"/>
    <n v="0"/>
    <n v="0"/>
    <x v="0"/>
    <n v="0"/>
    <n v="0"/>
    <n v="1"/>
    <n v="0"/>
    <n v="0"/>
  </r>
  <r>
    <n v="393"/>
    <n v="0"/>
    <n v="3"/>
    <s v="Gustafsson, Mr. Johan Birger"/>
    <n v="0"/>
    <x v="17"/>
    <n v="2"/>
    <n v="0"/>
    <s v="3101277"/>
    <n v="7.9249999999999998"/>
    <s v=""/>
    <s v="S"/>
    <n v="1"/>
    <n v="0"/>
    <n v="0"/>
    <x v="0"/>
    <n v="0"/>
    <n v="0"/>
    <n v="1"/>
    <n v="0"/>
    <n v="0"/>
  </r>
  <r>
    <n v="394"/>
    <n v="1"/>
    <n v="1"/>
    <s v="Newell, Miss. Marjorie"/>
    <n v="1"/>
    <x v="39"/>
    <n v="1"/>
    <n v="0"/>
    <s v="35273"/>
    <n v="113.27500000000001"/>
    <s v="D36"/>
    <s v="C"/>
    <n v="0"/>
    <n v="1"/>
    <n v="0"/>
    <x v="2"/>
    <n v="1"/>
    <n v="0"/>
    <n v="0"/>
    <n v="0"/>
    <n v="0"/>
  </r>
  <r>
    <n v="395"/>
    <n v="1"/>
    <n v="3"/>
    <s v="Sandstrom, Mrs. Hjalmar (Agnes Charlotta Bengtsson)"/>
    <n v="1"/>
    <x v="40"/>
    <n v="0"/>
    <n v="2"/>
    <s v="PP 9549"/>
    <n v="16.7"/>
    <s v="G6"/>
    <s v="S"/>
    <n v="1"/>
    <n v="0"/>
    <n v="0"/>
    <x v="1"/>
    <n v="0"/>
    <n v="1"/>
    <n v="0"/>
    <n v="0"/>
    <n v="0"/>
  </r>
  <r>
    <n v="396"/>
    <n v="0"/>
    <n v="3"/>
    <s v="Johansson, Mr. Erik"/>
    <n v="0"/>
    <x v="0"/>
    <n v="0"/>
    <n v="0"/>
    <s v="350052"/>
    <n v="7.7957999999999998"/>
    <s v=""/>
    <s v="S"/>
    <n v="1"/>
    <n v="0"/>
    <n v="0"/>
    <x v="0"/>
    <n v="0"/>
    <n v="0"/>
    <n v="1"/>
    <n v="0"/>
    <n v="0"/>
  </r>
  <r>
    <n v="397"/>
    <n v="0"/>
    <n v="3"/>
    <s v="Olsson, Miss. Elina"/>
    <n v="1"/>
    <x v="14"/>
    <n v="0"/>
    <n v="0"/>
    <s v="350407"/>
    <n v="7.8541999999999996"/>
    <s v=""/>
    <s v="S"/>
    <n v="1"/>
    <n v="0"/>
    <n v="0"/>
    <x v="2"/>
    <n v="1"/>
    <n v="0"/>
    <n v="0"/>
    <n v="0"/>
    <n v="0"/>
  </r>
  <r>
    <n v="398"/>
    <n v="0"/>
    <n v="2"/>
    <s v="McKane, Mr. Peter David"/>
    <n v="0"/>
    <x v="41"/>
    <n v="0"/>
    <n v="0"/>
    <s v="28403"/>
    <n v="26"/>
    <s v=""/>
    <s v="S"/>
    <n v="1"/>
    <n v="0"/>
    <n v="0"/>
    <x v="0"/>
    <n v="0"/>
    <n v="0"/>
    <n v="1"/>
    <n v="0"/>
    <n v="0"/>
  </r>
  <r>
    <n v="399"/>
    <n v="0"/>
    <n v="2"/>
    <s v="Pain, Dr. Alfred"/>
    <n v="0"/>
    <x v="39"/>
    <n v="0"/>
    <n v="0"/>
    <s v="244278"/>
    <n v="10.5"/>
    <s v=""/>
    <s v="S"/>
    <n v="1"/>
    <n v="0"/>
    <n v="0"/>
    <x v="6"/>
    <n v="0"/>
    <n v="0"/>
    <n v="0"/>
    <n v="0"/>
    <n v="1"/>
  </r>
  <r>
    <n v="400"/>
    <n v="1"/>
    <n v="2"/>
    <s v="Trout, Mrs. William H (Jessie L)"/>
    <n v="1"/>
    <x v="17"/>
    <n v="0"/>
    <n v="0"/>
    <s v="240929"/>
    <n v="12.65"/>
    <s v=""/>
    <s v="S"/>
    <n v="1"/>
    <n v="0"/>
    <n v="0"/>
    <x v="1"/>
    <n v="0"/>
    <n v="1"/>
    <n v="0"/>
    <n v="0"/>
    <n v="0"/>
  </r>
  <r>
    <n v="401"/>
    <n v="1"/>
    <n v="3"/>
    <s v="Niskanen, Mr. Juha"/>
    <n v="0"/>
    <x v="12"/>
    <n v="0"/>
    <n v="0"/>
    <s v="STON/O 2. 3101289"/>
    <n v="7.9249999999999998"/>
    <s v=""/>
    <s v="S"/>
    <n v="1"/>
    <n v="0"/>
    <n v="0"/>
    <x v="0"/>
    <n v="0"/>
    <n v="0"/>
    <n v="1"/>
    <n v="0"/>
    <n v="0"/>
  </r>
  <r>
    <n v="402"/>
    <n v="0"/>
    <n v="3"/>
    <s v="Adams, Mr. John"/>
    <n v="0"/>
    <x v="2"/>
    <n v="0"/>
    <n v="0"/>
    <s v="341826"/>
    <n v="8.0500000000000007"/>
    <s v=""/>
    <s v="S"/>
    <n v="1"/>
    <n v="0"/>
    <n v="0"/>
    <x v="0"/>
    <n v="0"/>
    <n v="0"/>
    <n v="1"/>
    <n v="0"/>
    <n v="0"/>
  </r>
  <r>
    <n v="403"/>
    <n v="0"/>
    <n v="3"/>
    <s v="Jussila, Miss. Mari Aina"/>
    <n v="1"/>
    <x v="23"/>
    <n v="1"/>
    <n v="0"/>
    <s v="4137"/>
    <n v="9.8249999999999993"/>
    <s v=""/>
    <s v="S"/>
    <n v="1"/>
    <n v="0"/>
    <n v="0"/>
    <x v="2"/>
    <n v="1"/>
    <n v="0"/>
    <n v="0"/>
    <n v="0"/>
    <n v="0"/>
  </r>
  <r>
    <n v="404"/>
    <n v="0"/>
    <n v="3"/>
    <s v="Hakkarainen, Mr. Pekka Pietari"/>
    <n v="0"/>
    <x v="17"/>
    <n v="1"/>
    <n v="0"/>
    <s v="STON/O2. 3101279"/>
    <n v="15.85"/>
    <s v=""/>
    <s v="S"/>
    <n v="1"/>
    <n v="0"/>
    <n v="0"/>
    <x v="0"/>
    <n v="0"/>
    <n v="0"/>
    <n v="1"/>
    <n v="0"/>
    <n v="0"/>
  </r>
  <r>
    <n v="405"/>
    <n v="0"/>
    <n v="3"/>
    <s v="Oreskovic, Miss. Marija"/>
    <n v="1"/>
    <x v="11"/>
    <n v="0"/>
    <n v="0"/>
    <s v="315096"/>
    <n v="8.6624999999999996"/>
    <s v=""/>
    <s v="S"/>
    <n v="1"/>
    <n v="0"/>
    <n v="0"/>
    <x v="2"/>
    <n v="1"/>
    <n v="0"/>
    <n v="0"/>
    <n v="0"/>
    <n v="0"/>
  </r>
  <r>
    <n v="406"/>
    <n v="0"/>
    <n v="2"/>
    <s v="Gale, Mr. Shadrach"/>
    <n v="0"/>
    <x v="15"/>
    <n v="1"/>
    <n v="0"/>
    <s v="28664"/>
    <n v="21"/>
    <s v=""/>
    <s v="S"/>
    <n v="1"/>
    <n v="0"/>
    <n v="0"/>
    <x v="0"/>
    <n v="0"/>
    <n v="0"/>
    <n v="1"/>
    <n v="0"/>
    <n v="0"/>
  </r>
  <r>
    <n v="407"/>
    <n v="0"/>
    <n v="3"/>
    <s v="Widegren, Mr. Carl/Charles Peter"/>
    <n v="0"/>
    <x v="48"/>
    <n v="0"/>
    <n v="0"/>
    <s v="347064"/>
    <n v="7.75"/>
    <s v=""/>
    <s v="S"/>
    <n v="1"/>
    <n v="0"/>
    <n v="0"/>
    <x v="0"/>
    <n v="0"/>
    <n v="0"/>
    <n v="1"/>
    <n v="0"/>
    <n v="0"/>
  </r>
  <r>
    <n v="408"/>
    <n v="1"/>
    <n v="2"/>
    <s v="Richards, Master. William Rowe"/>
    <n v="0"/>
    <x v="25"/>
    <n v="1"/>
    <n v="1"/>
    <s v="29106"/>
    <n v="18.75"/>
    <s v=""/>
    <s v="S"/>
    <n v="1"/>
    <n v="0"/>
    <n v="0"/>
    <x v="3"/>
    <n v="0"/>
    <n v="0"/>
    <n v="0"/>
    <n v="1"/>
    <n v="0"/>
  </r>
  <r>
    <n v="409"/>
    <n v="0"/>
    <n v="3"/>
    <s v="Birkeland, Mr. Hans Martin Monsen"/>
    <n v="0"/>
    <x v="23"/>
    <n v="0"/>
    <n v="0"/>
    <s v="312992"/>
    <n v="7.7750000000000004"/>
    <s v=""/>
    <s v="S"/>
    <n v="1"/>
    <n v="0"/>
    <n v="0"/>
    <x v="0"/>
    <n v="0"/>
    <n v="0"/>
    <n v="1"/>
    <n v="0"/>
    <n v="0"/>
  </r>
  <r>
    <n v="410"/>
    <n v="0"/>
    <n v="3"/>
    <s v="Lefebre, Miss. Ida"/>
    <n v="1"/>
    <x v="4"/>
    <n v="3"/>
    <n v="1"/>
    <s v="4133"/>
    <n v="25.466699999999999"/>
    <s v=""/>
    <s v="S"/>
    <n v="1"/>
    <n v="0"/>
    <n v="0"/>
    <x v="2"/>
    <n v="1"/>
    <n v="0"/>
    <n v="0"/>
    <n v="0"/>
    <n v="0"/>
  </r>
  <r>
    <n v="411"/>
    <n v="0"/>
    <n v="3"/>
    <s v="Sdycoff, Mr. Todor"/>
    <n v="0"/>
    <x v="4"/>
    <n v="0"/>
    <n v="0"/>
    <s v="349222"/>
    <n v="7.8958000000000004"/>
    <s v=""/>
    <s v="S"/>
    <n v="1"/>
    <n v="0"/>
    <n v="0"/>
    <x v="0"/>
    <n v="0"/>
    <n v="0"/>
    <n v="1"/>
    <n v="0"/>
    <n v="0"/>
  </r>
  <r>
    <n v="412"/>
    <n v="0"/>
    <n v="3"/>
    <s v="Hart, Mr. Henry"/>
    <n v="0"/>
    <x v="4"/>
    <n v="0"/>
    <n v="0"/>
    <s v="394140"/>
    <n v="6.8582999999999998"/>
    <s v=""/>
    <s v="Q"/>
    <n v="0"/>
    <n v="0"/>
    <n v="1"/>
    <x v="0"/>
    <n v="0"/>
    <n v="0"/>
    <n v="1"/>
    <n v="0"/>
    <n v="0"/>
  </r>
  <r>
    <n v="413"/>
    <n v="1"/>
    <n v="1"/>
    <s v="Minahan, Miss. Daisy E"/>
    <n v="1"/>
    <x v="38"/>
    <n v="1"/>
    <n v="0"/>
    <s v="19928"/>
    <n v="90"/>
    <s v="C78"/>
    <s v="Q"/>
    <n v="0"/>
    <n v="0"/>
    <n v="1"/>
    <x v="2"/>
    <n v="1"/>
    <n v="0"/>
    <n v="0"/>
    <n v="0"/>
    <n v="0"/>
  </r>
  <r>
    <n v="414"/>
    <n v="0"/>
    <n v="2"/>
    <s v="Cunningham, Mr. Alfred Fleming"/>
    <n v="0"/>
    <x v="4"/>
    <n v="0"/>
    <n v="0"/>
    <s v="239853"/>
    <n v="0"/>
    <s v=""/>
    <s v="S"/>
    <n v="1"/>
    <n v="0"/>
    <n v="0"/>
    <x v="0"/>
    <n v="0"/>
    <n v="0"/>
    <n v="1"/>
    <n v="0"/>
    <n v="0"/>
  </r>
  <r>
    <n v="415"/>
    <n v="1"/>
    <n v="3"/>
    <s v="Sundman, Mr. Johan Julian"/>
    <n v="0"/>
    <x v="49"/>
    <n v="0"/>
    <n v="0"/>
    <s v="STON/O 2. 3101269"/>
    <n v="7.9249999999999998"/>
    <s v=""/>
    <s v="S"/>
    <n v="1"/>
    <n v="0"/>
    <n v="0"/>
    <x v="0"/>
    <n v="0"/>
    <n v="0"/>
    <n v="1"/>
    <n v="0"/>
    <n v="0"/>
  </r>
  <r>
    <n v="416"/>
    <n v="0"/>
    <n v="3"/>
    <s v="Meek, Mrs. Thomas (Annie Louise Rowley)"/>
    <n v="1"/>
    <x v="4"/>
    <n v="0"/>
    <n v="0"/>
    <s v="343095"/>
    <n v="8.0500000000000007"/>
    <s v=""/>
    <s v="S"/>
    <n v="1"/>
    <n v="0"/>
    <n v="0"/>
    <x v="1"/>
    <n v="0"/>
    <n v="1"/>
    <n v="0"/>
    <n v="0"/>
    <n v="0"/>
  </r>
  <r>
    <n v="417"/>
    <n v="1"/>
    <n v="2"/>
    <s v="Drew, Mrs. James Vivian (Lulu Thorne Christian)"/>
    <n v="1"/>
    <x v="15"/>
    <n v="1"/>
    <n v="1"/>
    <s v="28220"/>
    <n v="32.5"/>
    <s v=""/>
    <s v="S"/>
    <n v="1"/>
    <n v="0"/>
    <n v="0"/>
    <x v="1"/>
    <n v="0"/>
    <n v="1"/>
    <n v="0"/>
    <n v="0"/>
    <n v="0"/>
  </r>
  <r>
    <n v="418"/>
    <n v="1"/>
    <n v="2"/>
    <s v="Silven, Miss. Lyyli Karoliina"/>
    <n v="1"/>
    <x v="24"/>
    <n v="0"/>
    <n v="2"/>
    <s v="250652"/>
    <n v="13"/>
    <s v=""/>
    <s v="S"/>
    <n v="1"/>
    <n v="0"/>
    <n v="0"/>
    <x v="2"/>
    <n v="1"/>
    <n v="0"/>
    <n v="0"/>
    <n v="0"/>
    <n v="0"/>
  </r>
  <r>
    <n v="419"/>
    <n v="0"/>
    <n v="2"/>
    <s v="Matthews, Mr. William John"/>
    <n v="0"/>
    <x v="37"/>
    <n v="0"/>
    <n v="0"/>
    <s v="28228"/>
    <n v="13"/>
    <s v=""/>
    <s v="S"/>
    <n v="1"/>
    <n v="0"/>
    <n v="0"/>
    <x v="0"/>
    <n v="0"/>
    <n v="0"/>
    <n v="1"/>
    <n v="0"/>
    <n v="0"/>
  </r>
  <r>
    <n v="420"/>
    <n v="0"/>
    <n v="3"/>
    <s v="Van Impe, Miss. Catharina"/>
    <n v="1"/>
    <x v="61"/>
    <n v="0"/>
    <n v="2"/>
    <s v="345773"/>
    <n v="24.15"/>
    <s v=""/>
    <s v="S"/>
    <n v="1"/>
    <n v="0"/>
    <n v="0"/>
    <x v="2"/>
    <n v="1"/>
    <n v="0"/>
    <n v="0"/>
    <n v="0"/>
    <n v="0"/>
  </r>
  <r>
    <n v="421"/>
    <n v="0"/>
    <n v="3"/>
    <s v="Gheorgheff, Mr. Stanio"/>
    <n v="0"/>
    <x v="4"/>
    <n v="0"/>
    <n v="0"/>
    <s v="349254"/>
    <n v="7.8958000000000004"/>
    <s v=""/>
    <s v="C"/>
    <n v="0"/>
    <n v="1"/>
    <n v="0"/>
    <x v="0"/>
    <n v="0"/>
    <n v="0"/>
    <n v="1"/>
    <n v="0"/>
    <n v="0"/>
  </r>
  <r>
    <n v="422"/>
    <n v="0"/>
    <n v="3"/>
    <s v="Charters, Mr. David"/>
    <n v="0"/>
    <x v="23"/>
    <n v="0"/>
    <n v="0"/>
    <s v="A/5. 13032"/>
    <n v="7.7332999999999998"/>
    <s v=""/>
    <s v="Q"/>
    <n v="0"/>
    <n v="0"/>
    <n v="1"/>
    <x v="0"/>
    <n v="0"/>
    <n v="0"/>
    <n v="1"/>
    <n v="0"/>
    <n v="0"/>
  </r>
  <r>
    <n v="423"/>
    <n v="0"/>
    <n v="3"/>
    <s v="Zimmerman, Mr. Leo"/>
    <n v="0"/>
    <x v="28"/>
    <n v="0"/>
    <n v="0"/>
    <s v="315082"/>
    <n v="7.875"/>
    <s v=""/>
    <s v="S"/>
    <n v="1"/>
    <n v="0"/>
    <n v="0"/>
    <x v="0"/>
    <n v="0"/>
    <n v="0"/>
    <n v="1"/>
    <n v="0"/>
    <n v="0"/>
  </r>
  <r>
    <n v="424"/>
    <n v="0"/>
    <n v="3"/>
    <s v="Danbom, Mrs. Ernst Gilbert (Anna Sigrid Maria Brogren)"/>
    <n v="1"/>
    <x v="17"/>
    <n v="1"/>
    <n v="1"/>
    <s v="347080"/>
    <n v="14.4"/>
    <s v=""/>
    <s v="S"/>
    <n v="1"/>
    <n v="0"/>
    <n v="0"/>
    <x v="1"/>
    <n v="0"/>
    <n v="1"/>
    <n v="0"/>
    <n v="0"/>
    <n v="0"/>
  </r>
  <r>
    <n v="425"/>
    <n v="0"/>
    <n v="3"/>
    <s v="Rosblom, Mr. Viktor Richard"/>
    <n v="0"/>
    <x v="24"/>
    <n v="1"/>
    <n v="1"/>
    <s v="370129"/>
    <n v="20.212499999999999"/>
    <s v=""/>
    <s v="S"/>
    <n v="1"/>
    <n v="0"/>
    <n v="0"/>
    <x v="0"/>
    <n v="0"/>
    <n v="0"/>
    <n v="1"/>
    <n v="0"/>
    <n v="0"/>
  </r>
  <r>
    <n v="426"/>
    <n v="0"/>
    <n v="3"/>
    <s v="Wiseman, Mr. Phillippe"/>
    <n v="0"/>
    <x v="4"/>
    <n v="0"/>
    <n v="0"/>
    <s v="A/4. 34244"/>
    <n v="7.25"/>
    <s v=""/>
    <s v="S"/>
    <n v="1"/>
    <n v="0"/>
    <n v="0"/>
    <x v="0"/>
    <n v="0"/>
    <n v="0"/>
    <n v="1"/>
    <n v="0"/>
    <n v="0"/>
  </r>
  <r>
    <n v="427"/>
    <n v="1"/>
    <n v="2"/>
    <s v="Clarke, Mrs. Charles V (Ada Maria Winfield)"/>
    <n v="1"/>
    <x v="17"/>
    <n v="1"/>
    <n v="0"/>
    <s v="2003"/>
    <n v="26"/>
    <s v=""/>
    <s v="S"/>
    <n v="1"/>
    <n v="0"/>
    <n v="0"/>
    <x v="1"/>
    <n v="0"/>
    <n v="1"/>
    <n v="0"/>
    <n v="0"/>
    <n v="0"/>
  </r>
  <r>
    <n v="428"/>
    <n v="1"/>
    <n v="2"/>
    <s v="Phillips, Miss. Kate Florence (&quot;Mrs Kate Louise Phillips Marshall&quot;)"/>
    <n v="1"/>
    <x v="19"/>
    <n v="0"/>
    <n v="0"/>
    <s v="250655"/>
    <n v="26"/>
    <s v=""/>
    <s v="S"/>
    <n v="1"/>
    <n v="0"/>
    <n v="0"/>
    <x v="2"/>
    <n v="1"/>
    <n v="0"/>
    <n v="0"/>
    <n v="0"/>
    <n v="0"/>
  </r>
  <r>
    <n v="429"/>
    <n v="0"/>
    <n v="3"/>
    <s v="Flynn, Mr. James"/>
    <n v="0"/>
    <x v="4"/>
    <n v="0"/>
    <n v="0"/>
    <s v="364851"/>
    <n v="7.75"/>
    <s v=""/>
    <s v="Q"/>
    <n v="0"/>
    <n v="0"/>
    <n v="1"/>
    <x v="0"/>
    <n v="0"/>
    <n v="0"/>
    <n v="1"/>
    <n v="0"/>
    <n v="0"/>
  </r>
  <r>
    <n v="430"/>
    <n v="1"/>
    <n v="3"/>
    <s v="Pickard, Mr. Berk (Berk Trembisky)"/>
    <n v="0"/>
    <x v="34"/>
    <n v="0"/>
    <n v="0"/>
    <s v="SOTON/O.Q. 392078"/>
    <n v="8.0500000000000007"/>
    <s v="E10"/>
    <s v="S"/>
    <n v="1"/>
    <n v="0"/>
    <n v="0"/>
    <x v="0"/>
    <n v="0"/>
    <n v="0"/>
    <n v="1"/>
    <n v="0"/>
    <n v="0"/>
  </r>
  <r>
    <n v="431"/>
    <n v="1"/>
    <n v="1"/>
    <s v="Bjornstrom-Steffansson, Mr. Mauritz Hakan"/>
    <n v="0"/>
    <x v="17"/>
    <n v="0"/>
    <n v="0"/>
    <s v="110564"/>
    <n v="26.55"/>
    <s v="C52"/>
    <s v="S"/>
    <n v="1"/>
    <n v="0"/>
    <n v="0"/>
    <x v="0"/>
    <n v="0"/>
    <n v="0"/>
    <n v="1"/>
    <n v="0"/>
    <n v="0"/>
  </r>
  <r>
    <n v="432"/>
    <n v="1"/>
    <n v="3"/>
    <s v="Thorneycroft, Mrs. Percival (Florence Kate White)"/>
    <n v="1"/>
    <x v="4"/>
    <n v="1"/>
    <n v="0"/>
    <s v="376564"/>
    <n v="16.100000000000001"/>
    <s v=""/>
    <s v="S"/>
    <n v="1"/>
    <n v="0"/>
    <n v="0"/>
    <x v="1"/>
    <n v="0"/>
    <n v="1"/>
    <n v="0"/>
    <n v="0"/>
    <n v="0"/>
  </r>
  <r>
    <n v="433"/>
    <n v="1"/>
    <n v="2"/>
    <s v="Louch, Mrs. Charles Alexander (Alice Adelaide Slow)"/>
    <n v="1"/>
    <x v="22"/>
    <n v="1"/>
    <n v="0"/>
    <s v="SC/AH 3085"/>
    <n v="26"/>
    <s v=""/>
    <s v="S"/>
    <n v="1"/>
    <n v="0"/>
    <n v="0"/>
    <x v="1"/>
    <n v="0"/>
    <n v="1"/>
    <n v="0"/>
    <n v="0"/>
    <n v="0"/>
  </r>
  <r>
    <n v="434"/>
    <n v="0"/>
    <n v="3"/>
    <s v="Kallio, Mr. Nikolai Erland"/>
    <n v="0"/>
    <x v="33"/>
    <n v="0"/>
    <n v="0"/>
    <s v="STON/O 2. 3101274"/>
    <n v="7.125"/>
    <s v=""/>
    <s v="S"/>
    <n v="1"/>
    <n v="0"/>
    <n v="0"/>
    <x v="0"/>
    <n v="0"/>
    <n v="0"/>
    <n v="1"/>
    <n v="0"/>
    <n v="0"/>
  </r>
  <r>
    <n v="435"/>
    <n v="0"/>
    <n v="1"/>
    <s v="Silvey, Mr. William Baird"/>
    <n v="0"/>
    <x v="53"/>
    <n v="1"/>
    <n v="0"/>
    <s v="13507"/>
    <n v="55.9"/>
    <s v="E44"/>
    <s v="S"/>
    <n v="1"/>
    <n v="0"/>
    <n v="0"/>
    <x v="0"/>
    <n v="0"/>
    <n v="0"/>
    <n v="1"/>
    <n v="0"/>
    <n v="0"/>
  </r>
  <r>
    <n v="436"/>
    <n v="1"/>
    <n v="1"/>
    <s v="Carter, Miss. Lucile Polk"/>
    <n v="1"/>
    <x v="8"/>
    <n v="1"/>
    <n v="2"/>
    <s v="113760"/>
    <n v="120"/>
    <s v="B96 B98"/>
    <s v="S"/>
    <n v="1"/>
    <n v="0"/>
    <n v="0"/>
    <x v="2"/>
    <n v="1"/>
    <n v="0"/>
    <n v="0"/>
    <n v="0"/>
    <n v="0"/>
  </r>
  <r>
    <n v="437"/>
    <n v="0"/>
    <n v="3"/>
    <s v="Ford, Miss. Doolina Margaret &quot;Daisy&quot;"/>
    <n v="1"/>
    <x v="23"/>
    <n v="2"/>
    <n v="2"/>
    <s v="W./C. 6608"/>
    <n v="34.375"/>
    <s v=""/>
    <s v="S"/>
    <n v="1"/>
    <n v="0"/>
    <n v="0"/>
    <x v="2"/>
    <n v="1"/>
    <n v="0"/>
    <n v="0"/>
    <n v="0"/>
    <n v="0"/>
  </r>
  <r>
    <n v="438"/>
    <n v="1"/>
    <n v="2"/>
    <s v="Richards, Mrs. Sidney (Emily Hocking)"/>
    <n v="1"/>
    <x v="40"/>
    <n v="2"/>
    <n v="3"/>
    <s v="29106"/>
    <n v="18.75"/>
    <s v=""/>
    <s v="S"/>
    <n v="1"/>
    <n v="0"/>
    <n v="0"/>
    <x v="1"/>
    <n v="0"/>
    <n v="1"/>
    <n v="0"/>
    <n v="0"/>
    <n v="0"/>
  </r>
  <r>
    <n v="439"/>
    <n v="0"/>
    <n v="1"/>
    <s v="Fortune, Mr. Mark"/>
    <n v="0"/>
    <x v="62"/>
    <n v="1"/>
    <n v="4"/>
    <s v="19950"/>
    <n v="263"/>
    <s v="C23 C25 C27"/>
    <s v="S"/>
    <n v="1"/>
    <n v="0"/>
    <n v="0"/>
    <x v="0"/>
    <n v="0"/>
    <n v="0"/>
    <n v="1"/>
    <n v="0"/>
    <n v="0"/>
  </r>
  <r>
    <n v="440"/>
    <n v="0"/>
    <n v="2"/>
    <s v="Kvillner, Mr. Johan Henrik Johannesson"/>
    <n v="0"/>
    <x v="14"/>
    <n v="0"/>
    <n v="0"/>
    <s v="C.A. 18723"/>
    <n v="10.5"/>
    <s v=""/>
    <s v="S"/>
    <n v="1"/>
    <n v="0"/>
    <n v="0"/>
    <x v="0"/>
    <n v="0"/>
    <n v="0"/>
    <n v="1"/>
    <n v="0"/>
    <n v="0"/>
  </r>
  <r>
    <n v="441"/>
    <n v="1"/>
    <n v="2"/>
    <s v="Hart, Mrs. Benjamin (Esther Ada Bloomfield)"/>
    <n v="1"/>
    <x v="32"/>
    <n v="1"/>
    <n v="1"/>
    <s v="F.C.C. 13529"/>
    <n v="26.25"/>
    <s v=""/>
    <s v="S"/>
    <n v="1"/>
    <n v="0"/>
    <n v="0"/>
    <x v="1"/>
    <n v="0"/>
    <n v="1"/>
    <n v="0"/>
    <n v="0"/>
    <n v="0"/>
  </r>
  <r>
    <n v="442"/>
    <n v="0"/>
    <n v="3"/>
    <s v="Hampe, Mr. Leon"/>
    <n v="0"/>
    <x v="11"/>
    <n v="0"/>
    <n v="0"/>
    <s v="345769"/>
    <n v="9.5"/>
    <s v=""/>
    <s v="S"/>
    <n v="1"/>
    <n v="0"/>
    <n v="0"/>
    <x v="0"/>
    <n v="0"/>
    <n v="0"/>
    <n v="1"/>
    <n v="0"/>
    <n v="0"/>
  </r>
  <r>
    <n v="443"/>
    <n v="0"/>
    <n v="3"/>
    <s v="Petterson, Mr. Johan Emil"/>
    <n v="0"/>
    <x v="36"/>
    <n v="1"/>
    <n v="0"/>
    <s v="347076"/>
    <n v="7.7750000000000004"/>
    <s v=""/>
    <s v="S"/>
    <n v="1"/>
    <n v="0"/>
    <n v="0"/>
    <x v="0"/>
    <n v="0"/>
    <n v="0"/>
    <n v="1"/>
    <n v="0"/>
    <n v="0"/>
  </r>
  <r>
    <n v="444"/>
    <n v="1"/>
    <n v="2"/>
    <s v="Reynaldo, Ms. Encarnacion"/>
    <n v="1"/>
    <x v="17"/>
    <n v="0"/>
    <n v="0"/>
    <s v="230434"/>
    <n v="13"/>
    <s v=""/>
    <s v="S"/>
    <n v="1"/>
    <n v="0"/>
    <n v="0"/>
    <x v="8"/>
    <n v="1"/>
    <n v="0"/>
    <n v="0"/>
    <n v="0"/>
    <n v="0"/>
  </r>
  <r>
    <n v="445"/>
    <n v="1"/>
    <n v="3"/>
    <s v="Johannesen-Bratthammer, Mr. Bernt"/>
    <n v="0"/>
    <x v="4"/>
    <n v="0"/>
    <n v="0"/>
    <s v="65306"/>
    <n v="8.1125000000000007"/>
    <s v=""/>
    <s v="S"/>
    <n v="1"/>
    <n v="0"/>
    <n v="0"/>
    <x v="0"/>
    <n v="0"/>
    <n v="0"/>
    <n v="1"/>
    <n v="0"/>
    <n v="0"/>
  </r>
  <r>
    <n v="446"/>
    <n v="1"/>
    <n v="1"/>
    <s v="Dodge, Master. Washington"/>
    <n v="0"/>
    <x v="9"/>
    <n v="0"/>
    <n v="2"/>
    <s v="33638"/>
    <n v="81.8583"/>
    <s v="A34"/>
    <s v="S"/>
    <n v="1"/>
    <n v="0"/>
    <n v="0"/>
    <x v="3"/>
    <n v="0"/>
    <n v="0"/>
    <n v="0"/>
    <n v="1"/>
    <n v="0"/>
  </r>
  <r>
    <n v="447"/>
    <n v="1"/>
    <n v="2"/>
    <s v="Mellinger, Miss. Madeleine Violet"/>
    <n v="1"/>
    <x v="63"/>
    <n v="0"/>
    <n v="1"/>
    <s v="250644"/>
    <n v="19.5"/>
    <s v=""/>
    <s v="S"/>
    <n v="1"/>
    <n v="0"/>
    <n v="0"/>
    <x v="2"/>
    <n v="1"/>
    <n v="0"/>
    <n v="0"/>
    <n v="0"/>
    <n v="0"/>
  </r>
  <r>
    <n v="448"/>
    <n v="1"/>
    <n v="1"/>
    <s v="Seward, Mr. Frederic Kimber"/>
    <n v="0"/>
    <x v="15"/>
    <n v="0"/>
    <n v="0"/>
    <s v="113794"/>
    <n v="26.55"/>
    <s v=""/>
    <s v="S"/>
    <n v="1"/>
    <n v="0"/>
    <n v="0"/>
    <x v="0"/>
    <n v="0"/>
    <n v="0"/>
    <n v="1"/>
    <n v="0"/>
    <n v="0"/>
  </r>
  <r>
    <n v="449"/>
    <n v="1"/>
    <n v="3"/>
    <s v="Baclini, Miss. Marie Catherine"/>
    <n v="1"/>
    <x v="30"/>
    <n v="2"/>
    <n v="1"/>
    <s v="2666"/>
    <n v="19.258299999999998"/>
    <s v=""/>
    <s v="C"/>
    <n v="0"/>
    <n v="1"/>
    <n v="0"/>
    <x v="2"/>
    <n v="1"/>
    <n v="0"/>
    <n v="0"/>
    <n v="0"/>
    <n v="0"/>
  </r>
  <r>
    <n v="450"/>
    <n v="1"/>
    <n v="1"/>
    <s v="Peuchen, Major. Arthur Godfrey"/>
    <n v="0"/>
    <x v="57"/>
    <n v="0"/>
    <n v="0"/>
    <s v="113786"/>
    <n v="30.5"/>
    <s v="C104"/>
    <s v="S"/>
    <n v="1"/>
    <n v="0"/>
    <n v="0"/>
    <x v="9"/>
    <n v="0"/>
    <n v="0"/>
    <n v="0"/>
    <n v="0"/>
    <n v="1"/>
  </r>
  <r>
    <n v="451"/>
    <n v="0"/>
    <n v="2"/>
    <s v="West, Mr. Edwy Arthur"/>
    <n v="0"/>
    <x v="54"/>
    <n v="1"/>
    <n v="2"/>
    <s v="C.A. 34651"/>
    <n v="27.75"/>
    <s v=""/>
    <s v="S"/>
    <n v="1"/>
    <n v="0"/>
    <n v="0"/>
    <x v="0"/>
    <n v="0"/>
    <n v="0"/>
    <n v="1"/>
    <n v="0"/>
    <n v="0"/>
  </r>
  <r>
    <n v="452"/>
    <n v="0"/>
    <n v="3"/>
    <s v="Hagland, Mr. Ingvald Olai Olsen"/>
    <n v="0"/>
    <x v="4"/>
    <n v="1"/>
    <n v="0"/>
    <s v="65303"/>
    <n v="19.966699999999999"/>
    <s v=""/>
    <s v="S"/>
    <n v="1"/>
    <n v="0"/>
    <n v="0"/>
    <x v="0"/>
    <n v="0"/>
    <n v="0"/>
    <n v="1"/>
    <n v="0"/>
    <n v="0"/>
  </r>
  <r>
    <n v="453"/>
    <n v="0"/>
    <n v="1"/>
    <s v="Foreman, Mr. Benjamin Laventall"/>
    <n v="0"/>
    <x v="37"/>
    <n v="0"/>
    <n v="0"/>
    <s v="113051"/>
    <n v="27.75"/>
    <s v="C111"/>
    <s v="C"/>
    <n v="0"/>
    <n v="1"/>
    <n v="0"/>
    <x v="0"/>
    <n v="0"/>
    <n v="0"/>
    <n v="1"/>
    <n v="0"/>
    <n v="0"/>
  </r>
  <r>
    <n v="454"/>
    <n v="1"/>
    <n v="1"/>
    <s v="Goldenberg, Mr. Samuel L"/>
    <n v="0"/>
    <x v="27"/>
    <n v="1"/>
    <n v="0"/>
    <s v="17453"/>
    <n v="89.104200000000006"/>
    <s v="C92"/>
    <s v="C"/>
    <n v="0"/>
    <n v="1"/>
    <n v="0"/>
    <x v="0"/>
    <n v="0"/>
    <n v="0"/>
    <n v="1"/>
    <n v="0"/>
    <n v="0"/>
  </r>
  <r>
    <n v="455"/>
    <n v="0"/>
    <n v="3"/>
    <s v="Peduzzi, Mr. Joseph"/>
    <n v="0"/>
    <x v="4"/>
    <n v="0"/>
    <n v="0"/>
    <s v="A/5 2817"/>
    <n v="8.0500000000000007"/>
    <s v=""/>
    <s v="S"/>
    <n v="1"/>
    <n v="0"/>
    <n v="0"/>
    <x v="0"/>
    <n v="0"/>
    <n v="0"/>
    <n v="1"/>
    <n v="0"/>
    <n v="0"/>
  </r>
  <r>
    <n v="456"/>
    <n v="1"/>
    <n v="3"/>
    <s v="Jalsevac, Mr. Ivan"/>
    <n v="0"/>
    <x v="28"/>
    <n v="0"/>
    <n v="0"/>
    <s v="349240"/>
    <n v="7.8958000000000004"/>
    <s v=""/>
    <s v="C"/>
    <n v="0"/>
    <n v="1"/>
    <n v="0"/>
    <x v="0"/>
    <n v="0"/>
    <n v="0"/>
    <n v="1"/>
    <n v="0"/>
    <n v="0"/>
  </r>
  <r>
    <n v="457"/>
    <n v="0"/>
    <n v="1"/>
    <s v="Millet, Mr. Francis Davis"/>
    <n v="0"/>
    <x v="29"/>
    <n v="0"/>
    <n v="0"/>
    <s v="13509"/>
    <n v="26.55"/>
    <s v="E38"/>
    <s v="S"/>
    <n v="1"/>
    <n v="0"/>
    <n v="0"/>
    <x v="0"/>
    <n v="0"/>
    <n v="0"/>
    <n v="1"/>
    <n v="0"/>
    <n v="0"/>
  </r>
  <r>
    <n v="458"/>
    <n v="1"/>
    <n v="1"/>
    <s v="Kenyon, Mrs. Frederick R (Marion)"/>
    <n v="1"/>
    <x v="4"/>
    <n v="1"/>
    <n v="0"/>
    <s v="17464"/>
    <n v="51.862499999999997"/>
    <s v="D21"/>
    <s v="S"/>
    <n v="1"/>
    <n v="0"/>
    <n v="0"/>
    <x v="1"/>
    <n v="0"/>
    <n v="1"/>
    <n v="0"/>
    <n v="0"/>
    <n v="0"/>
  </r>
  <r>
    <n v="459"/>
    <n v="1"/>
    <n v="2"/>
    <s v="Toomey, Miss. Ellen"/>
    <n v="1"/>
    <x v="53"/>
    <n v="0"/>
    <n v="0"/>
    <s v="F.C.C. 13531"/>
    <n v="10.5"/>
    <s v=""/>
    <s v="S"/>
    <n v="1"/>
    <n v="0"/>
    <n v="0"/>
    <x v="2"/>
    <n v="1"/>
    <n v="0"/>
    <n v="0"/>
    <n v="0"/>
    <n v="0"/>
  </r>
  <r>
    <n v="460"/>
    <n v="0"/>
    <n v="3"/>
    <s v="O'Connor, Mr. Maurice"/>
    <n v="0"/>
    <x v="4"/>
    <n v="0"/>
    <n v="0"/>
    <s v="371060"/>
    <n v="7.75"/>
    <s v=""/>
    <s v="Q"/>
    <n v="0"/>
    <n v="0"/>
    <n v="1"/>
    <x v="0"/>
    <n v="0"/>
    <n v="0"/>
    <n v="1"/>
    <n v="0"/>
    <n v="0"/>
  </r>
  <r>
    <n v="461"/>
    <n v="1"/>
    <n v="1"/>
    <s v="Anderson, Mr. Harry"/>
    <n v="0"/>
    <x v="64"/>
    <n v="0"/>
    <n v="0"/>
    <s v="19952"/>
    <n v="26.55"/>
    <s v="E12"/>
    <s v="S"/>
    <n v="1"/>
    <n v="0"/>
    <n v="0"/>
    <x v="0"/>
    <n v="0"/>
    <n v="0"/>
    <n v="1"/>
    <n v="0"/>
    <n v="0"/>
  </r>
  <r>
    <n v="462"/>
    <n v="0"/>
    <n v="3"/>
    <s v="Morley, Mr. William"/>
    <n v="0"/>
    <x v="15"/>
    <n v="0"/>
    <n v="0"/>
    <s v="364506"/>
    <n v="8.0500000000000007"/>
    <s v=""/>
    <s v="S"/>
    <n v="1"/>
    <n v="0"/>
    <n v="0"/>
    <x v="0"/>
    <n v="0"/>
    <n v="0"/>
    <n v="1"/>
    <n v="0"/>
    <n v="0"/>
  </r>
  <r>
    <n v="463"/>
    <n v="0"/>
    <n v="1"/>
    <s v="Gee, Mr. Arthur H"/>
    <n v="0"/>
    <x v="45"/>
    <n v="0"/>
    <n v="0"/>
    <s v="111320"/>
    <n v="38.5"/>
    <s v="E63"/>
    <s v="S"/>
    <n v="1"/>
    <n v="0"/>
    <n v="0"/>
    <x v="0"/>
    <n v="0"/>
    <n v="0"/>
    <n v="1"/>
    <n v="0"/>
    <n v="0"/>
  </r>
  <r>
    <n v="464"/>
    <n v="0"/>
    <n v="2"/>
    <s v="Milling, Mr. Jacob Christian"/>
    <n v="0"/>
    <x v="64"/>
    <n v="0"/>
    <n v="0"/>
    <s v="234360"/>
    <n v="13"/>
    <s v=""/>
    <s v="S"/>
    <n v="1"/>
    <n v="0"/>
    <n v="0"/>
    <x v="0"/>
    <n v="0"/>
    <n v="0"/>
    <n v="1"/>
    <n v="0"/>
    <n v="0"/>
  </r>
  <r>
    <n v="465"/>
    <n v="0"/>
    <n v="3"/>
    <s v="Maisner, Mr. Simon"/>
    <n v="0"/>
    <x v="4"/>
    <n v="0"/>
    <n v="0"/>
    <s v="A/S 2816"/>
    <n v="8.0500000000000007"/>
    <s v=""/>
    <s v="S"/>
    <n v="1"/>
    <n v="0"/>
    <n v="0"/>
    <x v="0"/>
    <n v="0"/>
    <n v="0"/>
    <n v="1"/>
    <n v="0"/>
    <n v="0"/>
  </r>
  <r>
    <n v="466"/>
    <n v="0"/>
    <n v="3"/>
    <s v="Goncalves, Mr. Manuel Estanslas"/>
    <n v="0"/>
    <x v="1"/>
    <n v="0"/>
    <n v="0"/>
    <s v="SOTON/O.Q. 3101306"/>
    <n v="7.05"/>
    <s v=""/>
    <s v="S"/>
    <n v="1"/>
    <n v="0"/>
    <n v="0"/>
    <x v="0"/>
    <n v="0"/>
    <n v="0"/>
    <n v="1"/>
    <n v="0"/>
    <n v="0"/>
  </r>
  <r>
    <n v="467"/>
    <n v="0"/>
    <n v="2"/>
    <s v="Campbell, Mr. William"/>
    <n v="0"/>
    <x v="4"/>
    <n v="0"/>
    <n v="0"/>
    <s v="239853"/>
    <n v="0"/>
    <s v=""/>
    <s v="S"/>
    <n v="1"/>
    <n v="0"/>
    <n v="0"/>
    <x v="0"/>
    <n v="0"/>
    <n v="0"/>
    <n v="1"/>
    <n v="0"/>
    <n v="0"/>
  </r>
  <r>
    <n v="468"/>
    <n v="0"/>
    <n v="1"/>
    <s v="Smart, Mr. John Montgomery"/>
    <n v="0"/>
    <x v="52"/>
    <n v="0"/>
    <n v="0"/>
    <s v="113792"/>
    <n v="26.55"/>
    <s v=""/>
    <s v="S"/>
    <n v="1"/>
    <n v="0"/>
    <n v="0"/>
    <x v="0"/>
    <n v="0"/>
    <n v="0"/>
    <n v="1"/>
    <n v="0"/>
    <n v="0"/>
  </r>
  <r>
    <n v="469"/>
    <n v="0"/>
    <n v="3"/>
    <s v="Scanlan, Mr. James"/>
    <n v="0"/>
    <x v="4"/>
    <n v="0"/>
    <n v="0"/>
    <s v="36209"/>
    <n v="7.7249999999999996"/>
    <s v=""/>
    <s v="Q"/>
    <n v="0"/>
    <n v="0"/>
    <n v="1"/>
    <x v="0"/>
    <n v="0"/>
    <n v="0"/>
    <n v="1"/>
    <n v="0"/>
    <n v="0"/>
  </r>
  <r>
    <n v="470"/>
    <n v="1"/>
    <n v="3"/>
    <s v="Baclini, Miss. Helene Barbara"/>
    <n v="1"/>
    <x v="4"/>
    <n v="2"/>
    <n v="1"/>
    <s v="2666"/>
    <n v="19.258299999999998"/>
    <s v=""/>
    <s v="C"/>
    <n v="0"/>
    <n v="1"/>
    <n v="0"/>
    <x v="2"/>
    <n v="1"/>
    <n v="0"/>
    <n v="0"/>
    <n v="0"/>
    <n v="0"/>
  </r>
  <r>
    <n v="471"/>
    <n v="0"/>
    <n v="3"/>
    <s v="Keefe, Mr. Arthur"/>
    <n v="0"/>
    <x v="4"/>
    <n v="0"/>
    <n v="0"/>
    <s v="323592"/>
    <n v="7.25"/>
    <s v=""/>
    <s v="S"/>
    <n v="1"/>
    <n v="0"/>
    <n v="0"/>
    <x v="0"/>
    <n v="0"/>
    <n v="0"/>
    <n v="1"/>
    <n v="0"/>
    <n v="0"/>
  </r>
  <r>
    <n v="472"/>
    <n v="0"/>
    <n v="3"/>
    <s v="Cacic, Mr. Luka"/>
    <n v="0"/>
    <x v="1"/>
    <n v="0"/>
    <n v="0"/>
    <s v="315089"/>
    <n v="8.6624999999999996"/>
    <s v=""/>
    <s v="S"/>
    <n v="1"/>
    <n v="0"/>
    <n v="0"/>
    <x v="0"/>
    <n v="0"/>
    <n v="0"/>
    <n v="1"/>
    <n v="0"/>
    <n v="0"/>
  </r>
  <r>
    <n v="473"/>
    <n v="1"/>
    <n v="2"/>
    <s v="West, Mrs. Edwy Arthur (Ada Mary Worth)"/>
    <n v="1"/>
    <x v="38"/>
    <n v="1"/>
    <n v="2"/>
    <s v="C.A. 34651"/>
    <n v="27.75"/>
    <s v=""/>
    <s v="S"/>
    <n v="1"/>
    <n v="0"/>
    <n v="0"/>
    <x v="1"/>
    <n v="0"/>
    <n v="1"/>
    <n v="0"/>
    <n v="0"/>
    <n v="0"/>
  </r>
  <r>
    <n v="474"/>
    <n v="1"/>
    <n v="2"/>
    <s v="Jerwan, Mrs. Amin S (Marie Marthe Thuillard)"/>
    <n v="1"/>
    <x v="39"/>
    <n v="0"/>
    <n v="0"/>
    <s v="SC/AH Basle 541"/>
    <n v="13.791700000000001"/>
    <s v="D"/>
    <s v="C"/>
    <n v="0"/>
    <n v="1"/>
    <n v="0"/>
    <x v="1"/>
    <n v="0"/>
    <n v="1"/>
    <n v="0"/>
    <n v="0"/>
    <n v="0"/>
  </r>
  <r>
    <n v="475"/>
    <n v="0"/>
    <n v="3"/>
    <s v="Strandberg, Miss. Ida Sofia"/>
    <n v="1"/>
    <x v="0"/>
    <n v="0"/>
    <n v="0"/>
    <s v="7553"/>
    <n v="9.8375000000000004"/>
    <s v=""/>
    <s v="S"/>
    <n v="1"/>
    <n v="0"/>
    <n v="0"/>
    <x v="2"/>
    <n v="1"/>
    <n v="0"/>
    <n v="0"/>
    <n v="0"/>
    <n v="0"/>
  </r>
  <r>
    <n v="476"/>
    <n v="0"/>
    <n v="1"/>
    <s v="Clifford, Mr. George Quincy"/>
    <n v="0"/>
    <x v="4"/>
    <n v="0"/>
    <n v="0"/>
    <s v="110465"/>
    <n v="52"/>
    <s v="A14"/>
    <s v="S"/>
    <n v="1"/>
    <n v="0"/>
    <n v="0"/>
    <x v="0"/>
    <n v="0"/>
    <n v="0"/>
    <n v="1"/>
    <n v="0"/>
    <n v="0"/>
  </r>
  <r>
    <n v="477"/>
    <n v="0"/>
    <n v="2"/>
    <s v="Renouf, Mr. Peter Henry"/>
    <n v="0"/>
    <x v="15"/>
    <n v="1"/>
    <n v="0"/>
    <s v="31027"/>
    <n v="21"/>
    <s v=""/>
    <s v="S"/>
    <n v="1"/>
    <n v="0"/>
    <n v="0"/>
    <x v="0"/>
    <n v="0"/>
    <n v="0"/>
    <n v="1"/>
    <n v="0"/>
    <n v="0"/>
  </r>
  <r>
    <n v="478"/>
    <n v="0"/>
    <n v="3"/>
    <s v="Braund, Mr. Lewis Richard"/>
    <n v="0"/>
    <x v="28"/>
    <n v="1"/>
    <n v="0"/>
    <s v="3460"/>
    <n v="7.0457999999999998"/>
    <s v=""/>
    <s v="S"/>
    <n v="1"/>
    <n v="0"/>
    <n v="0"/>
    <x v="0"/>
    <n v="0"/>
    <n v="0"/>
    <n v="1"/>
    <n v="0"/>
    <n v="0"/>
  </r>
  <r>
    <n v="479"/>
    <n v="0"/>
    <n v="3"/>
    <s v="Karlsson, Mr. Nils August"/>
    <n v="0"/>
    <x v="0"/>
    <n v="0"/>
    <n v="0"/>
    <s v="350060"/>
    <n v="7.5208000000000004"/>
    <s v=""/>
    <s v="S"/>
    <n v="1"/>
    <n v="0"/>
    <n v="0"/>
    <x v="0"/>
    <n v="0"/>
    <n v="0"/>
    <n v="1"/>
    <n v="0"/>
    <n v="0"/>
  </r>
  <r>
    <n v="480"/>
    <n v="1"/>
    <n v="3"/>
    <s v="Hirvonen, Miss. Hildur E"/>
    <n v="1"/>
    <x v="6"/>
    <n v="0"/>
    <n v="1"/>
    <s v="3101298"/>
    <n v="12.2875"/>
    <s v=""/>
    <s v="S"/>
    <n v="1"/>
    <n v="0"/>
    <n v="0"/>
    <x v="2"/>
    <n v="1"/>
    <n v="0"/>
    <n v="0"/>
    <n v="0"/>
    <n v="0"/>
  </r>
  <r>
    <n v="481"/>
    <n v="0"/>
    <n v="3"/>
    <s v="Goodwin, Master. Harold Victor"/>
    <n v="0"/>
    <x v="47"/>
    <n v="5"/>
    <n v="2"/>
    <s v="CA 2144"/>
    <n v="46.9"/>
    <s v=""/>
    <s v="S"/>
    <n v="1"/>
    <n v="0"/>
    <n v="0"/>
    <x v="3"/>
    <n v="0"/>
    <n v="0"/>
    <n v="0"/>
    <n v="1"/>
    <n v="0"/>
  </r>
  <r>
    <n v="482"/>
    <n v="0"/>
    <n v="2"/>
    <s v="Frost, Mr. Anthony Wood &quot;Archie&quot;"/>
    <n v="0"/>
    <x v="4"/>
    <n v="0"/>
    <n v="0"/>
    <s v="239854"/>
    <n v="0"/>
    <s v=""/>
    <s v="S"/>
    <n v="1"/>
    <n v="0"/>
    <n v="0"/>
    <x v="0"/>
    <n v="0"/>
    <n v="0"/>
    <n v="1"/>
    <n v="0"/>
    <n v="0"/>
  </r>
  <r>
    <n v="483"/>
    <n v="0"/>
    <n v="3"/>
    <s v="Rouse, Mr. Richard Henry"/>
    <n v="0"/>
    <x v="53"/>
    <n v="0"/>
    <n v="0"/>
    <s v="A/5 3594"/>
    <n v="8.0500000000000007"/>
    <s v=""/>
    <s v="S"/>
    <n v="1"/>
    <n v="0"/>
    <n v="0"/>
    <x v="0"/>
    <n v="0"/>
    <n v="0"/>
    <n v="1"/>
    <n v="0"/>
    <n v="0"/>
  </r>
  <r>
    <n v="484"/>
    <n v="1"/>
    <n v="3"/>
    <s v="Turkula, Mrs. (Hedwig)"/>
    <n v="1"/>
    <x v="58"/>
    <n v="0"/>
    <n v="0"/>
    <s v="4134"/>
    <n v="9.5875000000000004"/>
    <s v=""/>
    <s v="S"/>
    <n v="1"/>
    <n v="0"/>
    <n v="0"/>
    <x v="1"/>
    <n v="0"/>
    <n v="1"/>
    <n v="0"/>
    <n v="0"/>
    <n v="0"/>
  </r>
  <r>
    <n v="485"/>
    <n v="1"/>
    <n v="1"/>
    <s v="Bishop, Mr. Dickinson H"/>
    <n v="0"/>
    <x v="36"/>
    <n v="1"/>
    <n v="0"/>
    <s v="11967"/>
    <n v="91.0792"/>
    <s v="B49"/>
    <s v="C"/>
    <n v="0"/>
    <n v="1"/>
    <n v="0"/>
    <x v="0"/>
    <n v="0"/>
    <n v="0"/>
    <n v="1"/>
    <n v="0"/>
    <n v="0"/>
  </r>
  <r>
    <n v="486"/>
    <n v="0"/>
    <n v="3"/>
    <s v="Lefebre, Miss. Jeannie"/>
    <n v="1"/>
    <x v="4"/>
    <n v="3"/>
    <n v="1"/>
    <s v="4133"/>
    <n v="25.466699999999999"/>
    <s v=""/>
    <s v="S"/>
    <n v="1"/>
    <n v="0"/>
    <n v="0"/>
    <x v="2"/>
    <n v="1"/>
    <n v="0"/>
    <n v="0"/>
    <n v="0"/>
    <n v="0"/>
  </r>
  <r>
    <n v="487"/>
    <n v="1"/>
    <n v="1"/>
    <s v="Hoyt, Mrs. Frederick Maxfield (Jane Anne Forby)"/>
    <n v="1"/>
    <x v="3"/>
    <n v="1"/>
    <n v="0"/>
    <s v="19943"/>
    <n v="90"/>
    <s v="C93"/>
    <s v="S"/>
    <n v="1"/>
    <n v="0"/>
    <n v="0"/>
    <x v="1"/>
    <n v="0"/>
    <n v="1"/>
    <n v="0"/>
    <n v="0"/>
    <n v="0"/>
  </r>
  <r>
    <n v="488"/>
    <n v="0"/>
    <n v="1"/>
    <s v="Kent, Mr. Edward Austin"/>
    <n v="0"/>
    <x v="10"/>
    <n v="0"/>
    <n v="0"/>
    <s v="11771"/>
    <n v="29.7"/>
    <s v="B37"/>
    <s v="C"/>
    <n v="0"/>
    <n v="1"/>
    <n v="0"/>
    <x v="0"/>
    <n v="0"/>
    <n v="0"/>
    <n v="1"/>
    <n v="0"/>
    <n v="0"/>
  </r>
  <r>
    <n v="489"/>
    <n v="0"/>
    <n v="3"/>
    <s v="Somerton, Mr. Francis William"/>
    <n v="0"/>
    <x v="37"/>
    <n v="0"/>
    <n v="0"/>
    <s v="A.5. 18509"/>
    <n v="8.0500000000000007"/>
    <s v=""/>
    <s v="S"/>
    <n v="1"/>
    <n v="0"/>
    <n v="0"/>
    <x v="0"/>
    <n v="0"/>
    <n v="0"/>
    <n v="1"/>
    <n v="0"/>
    <n v="0"/>
  </r>
  <r>
    <n v="490"/>
    <n v="1"/>
    <n v="3"/>
    <s v="Coutts, Master. Eden Leslie &quot;Neville&quot;"/>
    <n v="0"/>
    <x v="47"/>
    <n v="1"/>
    <n v="1"/>
    <s v="C.A. 37671"/>
    <n v="15.9"/>
    <s v=""/>
    <s v="S"/>
    <n v="1"/>
    <n v="0"/>
    <n v="0"/>
    <x v="3"/>
    <n v="0"/>
    <n v="0"/>
    <n v="0"/>
    <n v="1"/>
    <n v="0"/>
  </r>
  <r>
    <n v="491"/>
    <n v="0"/>
    <n v="3"/>
    <s v="Hagland, Mr. Konrad Mathias Reiersen"/>
    <n v="0"/>
    <x v="4"/>
    <n v="1"/>
    <n v="0"/>
    <s v="65304"/>
    <n v="19.966699999999999"/>
    <s v=""/>
    <s v="S"/>
    <n v="1"/>
    <n v="0"/>
    <n v="0"/>
    <x v="0"/>
    <n v="0"/>
    <n v="0"/>
    <n v="1"/>
    <n v="0"/>
    <n v="0"/>
  </r>
  <r>
    <n v="492"/>
    <n v="0"/>
    <n v="3"/>
    <s v="Windelov, Mr. Einar"/>
    <n v="0"/>
    <x v="23"/>
    <n v="0"/>
    <n v="0"/>
    <s v="SOTON/OQ 3101317"/>
    <n v="7.25"/>
    <s v=""/>
    <s v="S"/>
    <n v="1"/>
    <n v="0"/>
    <n v="0"/>
    <x v="0"/>
    <n v="0"/>
    <n v="0"/>
    <n v="1"/>
    <n v="0"/>
    <n v="0"/>
  </r>
  <r>
    <n v="493"/>
    <n v="0"/>
    <n v="1"/>
    <s v="Molson, Mr. Harry Markland"/>
    <n v="0"/>
    <x v="13"/>
    <n v="0"/>
    <n v="0"/>
    <s v="113787"/>
    <n v="30.5"/>
    <s v="C30"/>
    <s v="S"/>
    <n v="1"/>
    <n v="0"/>
    <n v="0"/>
    <x v="0"/>
    <n v="0"/>
    <n v="0"/>
    <n v="1"/>
    <n v="0"/>
    <n v="0"/>
  </r>
  <r>
    <n v="494"/>
    <n v="0"/>
    <n v="1"/>
    <s v="Artagaveytia, Mr. Ramon"/>
    <n v="0"/>
    <x v="43"/>
    <n v="0"/>
    <n v="0"/>
    <s v="PC 17609"/>
    <n v="49.504199999999997"/>
    <s v=""/>
    <s v="C"/>
    <n v="0"/>
    <n v="1"/>
    <n v="0"/>
    <x v="0"/>
    <n v="0"/>
    <n v="0"/>
    <n v="1"/>
    <n v="0"/>
    <n v="0"/>
  </r>
  <r>
    <n v="495"/>
    <n v="0"/>
    <n v="3"/>
    <s v="Stanley, Mr. Edward Roland"/>
    <n v="0"/>
    <x v="23"/>
    <n v="0"/>
    <n v="0"/>
    <s v="A/4 45380"/>
    <n v="8.0500000000000007"/>
    <s v=""/>
    <s v="S"/>
    <n v="1"/>
    <n v="0"/>
    <n v="0"/>
    <x v="0"/>
    <n v="0"/>
    <n v="0"/>
    <n v="1"/>
    <n v="0"/>
    <n v="0"/>
  </r>
  <r>
    <n v="496"/>
    <n v="0"/>
    <n v="3"/>
    <s v="Yousseff, Mr. Gerious"/>
    <n v="0"/>
    <x v="4"/>
    <n v="0"/>
    <n v="0"/>
    <s v="2627"/>
    <n v="14.458299999999999"/>
    <s v=""/>
    <s v="C"/>
    <n v="0"/>
    <n v="1"/>
    <n v="0"/>
    <x v="0"/>
    <n v="0"/>
    <n v="0"/>
    <n v="1"/>
    <n v="0"/>
    <n v="0"/>
  </r>
  <r>
    <n v="497"/>
    <n v="1"/>
    <n v="1"/>
    <s v="Eustis, Miss. Elizabeth Mussey"/>
    <n v="1"/>
    <x v="5"/>
    <n v="1"/>
    <n v="0"/>
    <s v="36947"/>
    <n v="78.2667"/>
    <s v="D20"/>
    <s v="C"/>
    <n v="0"/>
    <n v="1"/>
    <n v="0"/>
    <x v="2"/>
    <n v="1"/>
    <n v="0"/>
    <n v="0"/>
    <n v="0"/>
    <n v="0"/>
  </r>
  <r>
    <n v="498"/>
    <n v="0"/>
    <n v="3"/>
    <s v="Shellard, Mr. Frederick William"/>
    <n v="0"/>
    <x v="4"/>
    <n v="0"/>
    <n v="0"/>
    <s v="C.A. 6212"/>
    <n v="15.1"/>
    <s v=""/>
    <s v="S"/>
    <n v="1"/>
    <n v="0"/>
    <n v="0"/>
    <x v="0"/>
    <n v="0"/>
    <n v="0"/>
    <n v="1"/>
    <n v="0"/>
    <n v="0"/>
  </r>
  <r>
    <n v="499"/>
    <n v="0"/>
    <n v="1"/>
    <s v="Allison, Mrs. Hudson J C (Bessie Waldo Daniels)"/>
    <n v="1"/>
    <x v="36"/>
    <n v="1"/>
    <n v="2"/>
    <s v="113781"/>
    <n v="151.55000000000001"/>
    <s v="C22 C26"/>
    <s v="S"/>
    <n v="1"/>
    <n v="0"/>
    <n v="0"/>
    <x v="1"/>
    <n v="0"/>
    <n v="1"/>
    <n v="0"/>
    <n v="0"/>
    <n v="0"/>
  </r>
  <r>
    <n v="500"/>
    <n v="0"/>
    <n v="3"/>
    <s v="Svensson, Mr. Olof"/>
    <n v="0"/>
    <x v="40"/>
    <n v="0"/>
    <n v="0"/>
    <s v="350035"/>
    <n v="7.7957999999999998"/>
    <s v=""/>
    <s v="S"/>
    <n v="1"/>
    <n v="0"/>
    <n v="0"/>
    <x v="0"/>
    <n v="0"/>
    <n v="0"/>
    <n v="1"/>
    <n v="0"/>
    <n v="0"/>
  </r>
  <r>
    <n v="501"/>
    <n v="0"/>
    <n v="3"/>
    <s v="Calic, Mr. Petar"/>
    <n v="0"/>
    <x v="33"/>
    <n v="0"/>
    <n v="0"/>
    <s v="315086"/>
    <n v="8.6624999999999996"/>
    <s v=""/>
    <s v="S"/>
    <n v="1"/>
    <n v="0"/>
    <n v="0"/>
    <x v="0"/>
    <n v="0"/>
    <n v="0"/>
    <n v="1"/>
    <n v="0"/>
    <n v="0"/>
  </r>
  <r>
    <n v="502"/>
    <n v="0"/>
    <n v="3"/>
    <s v="Canavan, Miss. Mary"/>
    <n v="1"/>
    <x v="23"/>
    <n v="0"/>
    <n v="0"/>
    <s v="364846"/>
    <n v="7.75"/>
    <s v=""/>
    <s v="Q"/>
    <n v="0"/>
    <n v="0"/>
    <n v="1"/>
    <x v="2"/>
    <n v="1"/>
    <n v="0"/>
    <n v="0"/>
    <n v="0"/>
    <n v="0"/>
  </r>
  <r>
    <n v="503"/>
    <n v="0"/>
    <n v="3"/>
    <s v="O'Sullivan, Miss. Bridget Mary"/>
    <n v="1"/>
    <x v="4"/>
    <n v="0"/>
    <n v="0"/>
    <s v="330909"/>
    <n v="7.6292"/>
    <s v=""/>
    <s v="Q"/>
    <n v="0"/>
    <n v="0"/>
    <n v="1"/>
    <x v="2"/>
    <n v="1"/>
    <n v="0"/>
    <n v="0"/>
    <n v="0"/>
    <n v="0"/>
  </r>
  <r>
    <n v="504"/>
    <n v="0"/>
    <n v="3"/>
    <s v="Laitinen, Miss. Kristina Sofia"/>
    <n v="1"/>
    <x v="44"/>
    <n v="0"/>
    <n v="0"/>
    <s v="4135"/>
    <n v="9.5875000000000004"/>
    <s v=""/>
    <s v="S"/>
    <n v="1"/>
    <n v="0"/>
    <n v="0"/>
    <x v="2"/>
    <n v="1"/>
    <n v="0"/>
    <n v="0"/>
    <n v="0"/>
    <n v="0"/>
  </r>
  <r>
    <n v="505"/>
    <n v="1"/>
    <n v="1"/>
    <s v="Maioni, Miss. Roberta"/>
    <n v="1"/>
    <x v="35"/>
    <n v="0"/>
    <n v="0"/>
    <s v="110152"/>
    <n v="86.5"/>
    <s v="B79"/>
    <s v="S"/>
    <n v="1"/>
    <n v="0"/>
    <n v="0"/>
    <x v="2"/>
    <n v="1"/>
    <n v="0"/>
    <n v="0"/>
    <n v="0"/>
    <n v="0"/>
  </r>
  <r>
    <n v="506"/>
    <n v="0"/>
    <n v="1"/>
    <s v="Penasco y Castellana, Mr. Victor de Satode"/>
    <n v="0"/>
    <x v="24"/>
    <n v="1"/>
    <n v="0"/>
    <s v="PC 17758"/>
    <n v="108.9"/>
    <s v="C65"/>
    <s v="C"/>
    <n v="0"/>
    <n v="1"/>
    <n v="0"/>
    <x v="0"/>
    <n v="0"/>
    <n v="0"/>
    <n v="1"/>
    <n v="0"/>
    <n v="0"/>
  </r>
  <r>
    <n v="507"/>
    <n v="1"/>
    <n v="2"/>
    <s v="Quick, Mrs. Frederick Charles (Jane Richards)"/>
    <n v="1"/>
    <x v="38"/>
    <n v="0"/>
    <n v="2"/>
    <s v="26360"/>
    <n v="26"/>
    <s v=""/>
    <s v="S"/>
    <n v="1"/>
    <n v="0"/>
    <n v="0"/>
    <x v="1"/>
    <n v="0"/>
    <n v="1"/>
    <n v="0"/>
    <n v="0"/>
    <n v="0"/>
  </r>
  <r>
    <n v="508"/>
    <n v="1"/>
    <n v="1"/>
    <s v="Bradley, Mr. George (&quot;George Arthur Brayton&quot;)"/>
    <n v="0"/>
    <x v="4"/>
    <n v="0"/>
    <n v="0"/>
    <s v="111427"/>
    <n v="26.55"/>
    <s v=""/>
    <s v="S"/>
    <n v="1"/>
    <n v="0"/>
    <n v="0"/>
    <x v="0"/>
    <n v="0"/>
    <n v="0"/>
    <n v="1"/>
    <n v="0"/>
    <n v="0"/>
  </r>
  <r>
    <n v="509"/>
    <n v="0"/>
    <n v="3"/>
    <s v="Olsen, Mr. Henry Margido"/>
    <n v="0"/>
    <x v="17"/>
    <n v="0"/>
    <n v="0"/>
    <s v="C 4001"/>
    <n v="22.524999999999999"/>
    <s v=""/>
    <s v="S"/>
    <n v="1"/>
    <n v="0"/>
    <n v="0"/>
    <x v="0"/>
    <n v="0"/>
    <n v="0"/>
    <n v="1"/>
    <n v="0"/>
    <n v="0"/>
  </r>
  <r>
    <n v="510"/>
    <n v="1"/>
    <n v="3"/>
    <s v="Lang, Mr. Fang"/>
    <n v="0"/>
    <x v="2"/>
    <n v="0"/>
    <n v="0"/>
    <s v="1601"/>
    <n v="56.495800000000003"/>
    <s v=""/>
    <s v="S"/>
    <n v="1"/>
    <n v="0"/>
    <n v="0"/>
    <x v="0"/>
    <n v="0"/>
    <n v="0"/>
    <n v="1"/>
    <n v="0"/>
    <n v="0"/>
  </r>
  <r>
    <n v="511"/>
    <n v="1"/>
    <n v="3"/>
    <s v="Daly, Mr. Eugene Patrick"/>
    <n v="0"/>
    <x v="28"/>
    <n v="0"/>
    <n v="0"/>
    <s v="382651"/>
    <n v="7.75"/>
    <s v=""/>
    <s v="Q"/>
    <n v="0"/>
    <n v="0"/>
    <n v="1"/>
    <x v="0"/>
    <n v="0"/>
    <n v="0"/>
    <n v="1"/>
    <n v="0"/>
    <n v="0"/>
  </r>
  <r>
    <n v="512"/>
    <n v="0"/>
    <n v="3"/>
    <s v="Webber, Mr. James"/>
    <n v="0"/>
    <x v="4"/>
    <n v="0"/>
    <n v="0"/>
    <s v="SOTON/OQ 3101316"/>
    <n v="8.0500000000000007"/>
    <s v=""/>
    <s v="S"/>
    <n v="1"/>
    <n v="0"/>
    <n v="0"/>
    <x v="0"/>
    <n v="0"/>
    <n v="0"/>
    <n v="1"/>
    <n v="0"/>
    <n v="0"/>
  </r>
  <r>
    <n v="513"/>
    <n v="1"/>
    <n v="1"/>
    <s v="McGough, Mr. James Robert"/>
    <n v="0"/>
    <x v="54"/>
    <n v="0"/>
    <n v="0"/>
    <s v="PC 17473"/>
    <n v="26.287500000000001"/>
    <s v="E25"/>
    <s v="S"/>
    <n v="1"/>
    <n v="0"/>
    <n v="0"/>
    <x v="0"/>
    <n v="0"/>
    <n v="0"/>
    <n v="1"/>
    <n v="0"/>
    <n v="0"/>
  </r>
  <r>
    <n v="514"/>
    <n v="1"/>
    <n v="1"/>
    <s v="Rothschild, Mrs. Martin (Elizabeth L. Barrett)"/>
    <n v="1"/>
    <x v="5"/>
    <n v="1"/>
    <n v="0"/>
    <s v="PC 17603"/>
    <n v="59.4"/>
    <s v=""/>
    <s v="C"/>
    <n v="0"/>
    <n v="1"/>
    <n v="0"/>
    <x v="1"/>
    <n v="0"/>
    <n v="1"/>
    <n v="0"/>
    <n v="0"/>
    <n v="0"/>
  </r>
  <r>
    <n v="515"/>
    <n v="0"/>
    <n v="3"/>
    <s v="Coleff, Mr. Satio"/>
    <n v="0"/>
    <x v="40"/>
    <n v="0"/>
    <n v="0"/>
    <s v="349209"/>
    <n v="7.4958"/>
    <s v=""/>
    <s v="S"/>
    <n v="1"/>
    <n v="0"/>
    <n v="0"/>
    <x v="0"/>
    <n v="0"/>
    <n v="0"/>
    <n v="1"/>
    <n v="0"/>
    <n v="0"/>
  </r>
  <r>
    <n v="516"/>
    <n v="0"/>
    <n v="1"/>
    <s v="Walker, Mr. William Anderson"/>
    <n v="0"/>
    <x v="45"/>
    <n v="0"/>
    <n v="0"/>
    <s v="36967"/>
    <n v="34.020800000000001"/>
    <s v="D46"/>
    <s v="S"/>
    <n v="1"/>
    <n v="0"/>
    <n v="0"/>
    <x v="0"/>
    <n v="0"/>
    <n v="0"/>
    <n v="1"/>
    <n v="0"/>
    <n v="0"/>
  </r>
  <r>
    <n v="517"/>
    <n v="1"/>
    <n v="2"/>
    <s v="Lemore, Mrs. (Amelia Milley)"/>
    <n v="1"/>
    <x v="15"/>
    <n v="0"/>
    <n v="0"/>
    <s v="C.A. 34260"/>
    <n v="10.5"/>
    <s v="F33"/>
    <s v="S"/>
    <n v="1"/>
    <n v="0"/>
    <n v="0"/>
    <x v="1"/>
    <n v="0"/>
    <n v="1"/>
    <n v="0"/>
    <n v="0"/>
    <n v="0"/>
  </r>
  <r>
    <n v="518"/>
    <n v="0"/>
    <n v="3"/>
    <s v="Ryan, Mr. Patrick"/>
    <n v="0"/>
    <x v="4"/>
    <n v="0"/>
    <n v="0"/>
    <s v="371110"/>
    <n v="24.15"/>
    <s v=""/>
    <s v="Q"/>
    <n v="0"/>
    <n v="0"/>
    <n v="1"/>
    <x v="0"/>
    <n v="0"/>
    <n v="0"/>
    <n v="1"/>
    <n v="0"/>
    <n v="0"/>
  </r>
  <r>
    <n v="519"/>
    <n v="1"/>
    <n v="2"/>
    <s v="Angle, Mrs. William A (Florence &quot;Mary&quot; Agnes Hughes)"/>
    <n v="1"/>
    <x v="54"/>
    <n v="1"/>
    <n v="0"/>
    <s v="226875"/>
    <n v="26"/>
    <s v=""/>
    <s v="S"/>
    <n v="1"/>
    <n v="0"/>
    <n v="0"/>
    <x v="1"/>
    <n v="0"/>
    <n v="1"/>
    <n v="0"/>
    <n v="0"/>
    <n v="0"/>
  </r>
  <r>
    <n v="520"/>
    <n v="0"/>
    <n v="3"/>
    <s v="Pavlovic, Mr. Stefo"/>
    <n v="0"/>
    <x v="34"/>
    <n v="0"/>
    <n v="0"/>
    <s v="349242"/>
    <n v="7.8958000000000004"/>
    <s v=""/>
    <s v="S"/>
    <n v="1"/>
    <n v="0"/>
    <n v="0"/>
    <x v="0"/>
    <n v="0"/>
    <n v="0"/>
    <n v="1"/>
    <n v="0"/>
    <n v="0"/>
  </r>
  <r>
    <n v="521"/>
    <n v="1"/>
    <n v="1"/>
    <s v="Perreault, Miss. Anne"/>
    <n v="1"/>
    <x v="37"/>
    <n v="0"/>
    <n v="0"/>
    <s v="12749"/>
    <n v="93.5"/>
    <s v="B73"/>
    <s v="S"/>
    <n v="1"/>
    <n v="0"/>
    <n v="0"/>
    <x v="2"/>
    <n v="1"/>
    <n v="0"/>
    <n v="0"/>
    <n v="0"/>
    <n v="0"/>
  </r>
  <r>
    <n v="522"/>
    <n v="0"/>
    <n v="3"/>
    <s v="Vovk, Mr. Janko"/>
    <n v="0"/>
    <x v="0"/>
    <n v="0"/>
    <n v="0"/>
    <s v="349252"/>
    <n v="7.8958000000000004"/>
    <s v=""/>
    <s v="S"/>
    <n v="1"/>
    <n v="0"/>
    <n v="0"/>
    <x v="0"/>
    <n v="0"/>
    <n v="0"/>
    <n v="1"/>
    <n v="0"/>
    <n v="0"/>
  </r>
  <r>
    <n v="523"/>
    <n v="0"/>
    <n v="3"/>
    <s v="Lahoud, Mr. Sarkis"/>
    <n v="0"/>
    <x v="4"/>
    <n v="0"/>
    <n v="0"/>
    <s v="2624"/>
    <n v="7.2249999999999996"/>
    <s v=""/>
    <s v="C"/>
    <n v="0"/>
    <n v="1"/>
    <n v="0"/>
    <x v="0"/>
    <n v="0"/>
    <n v="0"/>
    <n v="1"/>
    <n v="0"/>
    <n v="0"/>
  </r>
  <r>
    <n v="524"/>
    <n v="1"/>
    <n v="1"/>
    <s v="Hippach, Mrs. Louis Albert (Ida Sophia Fischer)"/>
    <n v="1"/>
    <x v="49"/>
    <n v="0"/>
    <n v="1"/>
    <s v="111361"/>
    <n v="57.979199999999999"/>
    <s v="B18"/>
    <s v="C"/>
    <n v="0"/>
    <n v="1"/>
    <n v="0"/>
    <x v="1"/>
    <n v="0"/>
    <n v="1"/>
    <n v="0"/>
    <n v="0"/>
    <n v="0"/>
  </r>
  <r>
    <n v="525"/>
    <n v="0"/>
    <n v="3"/>
    <s v="Kassem, Mr. Fared"/>
    <n v="0"/>
    <x v="4"/>
    <n v="0"/>
    <n v="0"/>
    <s v="2700"/>
    <n v="7.2291999999999996"/>
    <s v=""/>
    <s v="C"/>
    <n v="0"/>
    <n v="1"/>
    <n v="0"/>
    <x v="0"/>
    <n v="0"/>
    <n v="0"/>
    <n v="1"/>
    <n v="0"/>
    <n v="0"/>
  </r>
  <r>
    <n v="526"/>
    <n v="0"/>
    <n v="3"/>
    <s v="Farrell, Mr. James"/>
    <n v="0"/>
    <x v="4"/>
    <n v="0"/>
    <n v="0"/>
    <s v="367232"/>
    <n v="7.75"/>
    <s v=""/>
    <s v="Q"/>
    <n v="0"/>
    <n v="0"/>
    <n v="1"/>
    <x v="0"/>
    <n v="0"/>
    <n v="0"/>
    <n v="1"/>
    <n v="0"/>
    <n v="0"/>
  </r>
  <r>
    <n v="527"/>
    <n v="1"/>
    <n v="2"/>
    <s v="Ridsdale, Miss. Lucy"/>
    <n v="1"/>
    <x v="53"/>
    <n v="0"/>
    <n v="0"/>
    <s v="W./C. 14258"/>
    <n v="10.5"/>
    <s v=""/>
    <s v="S"/>
    <n v="1"/>
    <n v="0"/>
    <n v="0"/>
    <x v="2"/>
    <n v="1"/>
    <n v="0"/>
    <n v="0"/>
    <n v="0"/>
    <n v="0"/>
  </r>
  <r>
    <n v="528"/>
    <n v="0"/>
    <n v="1"/>
    <s v="Farthing, Mr. John"/>
    <n v="0"/>
    <x v="4"/>
    <n v="0"/>
    <n v="0"/>
    <s v="PC 17483"/>
    <n v="221.7792"/>
    <s v="C95"/>
    <s v="S"/>
    <n v="1"/>
    <n v="0"/>
    <n v="0"/>
    <x v="0"/>
    <n v="0"/>
    <n v="0"/>
    <n v="1"/>
    <n v="0"/>
    <n v="0"/>
  </r>
  <r>
    <n v="529"/>
    <n v="0"/>
    <n v="3"/>
    <s v="Salonen, Mr. Johan Werner"/>
    <n v="0"/>
    <x v="12"/>
    <n v="0"/>
    <n v="0"/>
    <s v="3101296"/>
    <n v="7.9249999999999998"/>
    <s v=""/>
    <s v="S"/>
    <n v="1"/>
    <n v="0"/>
    <n v="0"/>
    <x v="0"/>
    <n v="0"/>
    <n v="0"/>
    <n v="1"/>
    <n v="0"/>
    <n v="0"/>
  </r>
  <r>
    <n v="530"/>
    <n v="0"/>
    <n v="2"/>
    <s v="Hocking, Mr. Richard George"/>
    <n v="0"/>
    <x v="39"/>
    <n v="2"/>
    <n v="1"/>
    <s v="29104"/>
    <n v="11.5"/>
    <s v=""/>
    <s v="S"/>
    <n v="1"/>
    <n v="0"/>
    <n v="0"/>
    <x v="0"/>
    <n v="0"/>
    <n v="0"/>
    <n v="1"/>
    <n v="0"/>
    <n v="0"/>
  </r>
  <r>
    <n v="531"/>
    <n v="1"/>
    <n v="2"/>
    <s v="Quick, Miss. Phyllis May"/>
    <n v="1"/>
    <x v="6"/>
    <n v="1"/>
    <n v="1"/>
    <s v="26360"/>
    <n v="26"/>
    <s v=""/>
    <s v="S"/>
    <n v="1"/>
    <n v="0"/>
    <n v="0"/>
    <x v="2"/>
    <n v="1"/>
    <n v="0"/>
    <n v="0"/>
    <n v="0"/>
    <n v="0"/>
  </r>
  <r>
    <n v="532"/>
    <n v="0"/>
    <n v="3"/>
    <s v="Toufik, Mr. Nakli"/>
    <n v="0"/>
    <x v="4"/>
    <n v="0"/>
    <n v="0"/>
    <s v="2641"/>
    <n v="7.2291999999999996"/>
    <s v=""/>
    <s v="C"/>
    <n v="0"/>
    <n v="1"/>
    <n v="0"/>
    <x v="0"/>
    <n v="0"/>
    <n v="0"/>
    <n v="1"/>
    <n v="0"/>
    <n v="0"/>
  </r>
  <r>
    <n v="533"/>
    <n v="0"/>
    <n v="3"/>
    <s v="Elias, Mr. Joseph Jr"/>
    <n v="0"/>
    <x v="33"/>
    <n v="1"/>
    <n v="1"/>
    <s v="2690"/>
    <n v="7.2291999999999996"/>
    <s v=""/>
    <s v="C"/>
    <n v="0"/>
    <n v="1"/>
    <n v="0"/>
    <x v="0"/>
    <n v="0"/>
    <n v="0"/>
    <n v="1"/>
    <n v="0"/>
    <n v="0"/>
  </r>
  <r>
    <n v="534"/>
    <n v="1"/>
    <n v="3"/>
    <s v="Peter, Mrs. Catherine (Catherine Rizk)"/>
    <n v="1"/>
    <x v="4"/>
    <n v="0"/>
    <n v="2"/>
    <s v="2668"/>
    <n v="22.3583"/>
    <s v=""/>
    <s v="C"/>
    <n v="0"/>
    <n v="1"/>
    <n v="0"/>
    <x v="1"/>
    <n v="0"/>
    <n v="1"/>
    <n v="0"/>
    <n v="0"/>
    <n v="0"/>
  </r>
  <r>
    <n v="535"/>
    <n v="0"/>
    <n v="3"/>
    <s v="Cacic, Miss. Marija"/>
    <n v="1"/>
    <x v="37"/>
    <n v="0"/>
    <n v="0"/>
    <s v="315084"/>
    <n v="8.6624999999999996"/>
    <s v=""/>
    <s v="S"/>
    <n v="1"/>
    <n v="0"/>
    <n v="0"/>
    <x v="2"/>
    <n v="1"/>
    <n v="0"/>
    <n v="0"/>
    <n v="0"/>
    <n v="0"/>
  </r>
  <r>
    <n v="536"/>
    <n v="1"/>
    <n v="2"/>
    <s v="Hart, Miss. Eva Miriam"/>
    <n v="1"/>
    <x v="26"/>
    <n v="0"/>
    <n v="2"/>
    <s v="F.C.C. 13529"/>
    <n v="26.25"/>
    <s v=""/>
    <s v="S"/>
    <n v="1"/>
    <n v="0"/>
    <n v="0"/>
    <x v="2"/>
    <n v="1"/>
    <n v="0"/>
    <n v="0"/>
    <n v="0"/>
    <n v="0"/>
  </r>
  <r>
    <n v="537"/>
    <n v="0"/>
    <n v="1"/>
    <s v="Butt, Major. Archibald Willingham"/>
    <n v="0"/>
    <x v="32"/>
    <n v="0"/>
    <n v="0"/>
    <s v="113050"/>
    <n v="26.55"/>
    <s v="B38"/>
    <s v="S"/>
    <n v="1"/>
    <n v="0"/>
    <n v="0"/>
    <x v="9"/>
    <n v="0"/>
    <n v="0"/>
    <n v="0"/>
    <n v="0"/>
    <n v="1"/>
  </r>
  <r>
    <n v="538"/>
    <n v="1"/>
    <n v="1"/>
    <s v="LeRoy, Miss. Bertha"/>
    <n v="1"/>
    <x v="37"/>
    <n v="0"/>
    <n v="0"/>
    <s v="PC 17761"/>
    <n v="106.425"/>
    <s v=""/>
    <s v="C"/>
    <n v="0"/>
    <n v="1"/>
    <n v="0"/>
    <x v="2"/>
    <n v="1"/>
    <n v="0"/>
    <n v="0"/>
    <n v="0"/>
    <n v="0"/>
  </r>
  <r>
    <n v="539"/>
    <n v="0"/>
    <n v="3"/>
    <s v="Risien, Mr. Samuel Beard"/>
    <n v="0"/>
    <x v="4"/>
    <n v="0"/>
    <n v="0"/>
    <s v="364498"/>
    <n v="14.5"/>
    <s v=""/>
    <s v="S"/>
    <n v="1"/>
    <n v="0"/>
    <n v="0"/>
    <x v="0"/>
    <n v="0"/>
    <n v="0"/>
    <n v="1"/>
    <n v="0"/>
    <n v="0"/>
  </r>
  <r>
    <n v="540"/>
    <n v="1"/>
    <n v="1"/>
    <s v="Frolicher, Miss. Hedwig Margaritha"/>
    <n v="1"/>
    <x v="0"/>
    <n v="0"/>
    <n v="2"/>
    <s v="13568"/>
    <n v="49.5"/>
    <s v="B39"/>
    <s v="C"/>
    <n v="0"/>
    <n v="1"/>
    <n v="0"/>
    <x v="2"/>
    <n v="1"/>
    <n v="0"/>
    <n v="0"/>
    <n v="0"/>
    <n v="0"/>
  </r>
  <r>
    <n v="541"/>
    <n v="1"/>
    <n v="1"/>
    <s v="Crosby, Miss. Harriet R"/>
    <n v="1"/>
    <x v="54"/>
    <n v="0"/>
    <n v="2"/>
    <s v="WE/P 5735"/>
    <n v="71"/>
    <s v="B22"/>
    <s v="S"/>
    <n v="1"/>
    <n v="0"/>
    <n v="0"/>
    <x v="2"/>
    <n v="1"/>
    <n v="0"/>
    <n v="0"/>
    <n v="0"/>
    <n v="0"/>
  </r>
  <r>
    <n v="542"/>
    <n v="0"/>
    <n v="3"/>
    <s v="Andersson, Miss. Ingeborg Constanzia"/>
    <n v="1"/>
    <x v="47"/>
    <n v="4"/>
    <n v="2"/>
    <s v="347082"/>
    <n v="31.274999999999999"/>
    <s v=""/>
    <s v="S"/>
    <n v="1"/>
    <n v="0"/>
    <n v="0"/>
    <x v="2"/>
    <n v="1"/>
    <n v="0"/>
    <n v="0"/>
    <n v="0"/>
    <n v="0"/>
  </r>
  <r>
    <n v="543"/>
    <n v="0"/>
    <n v="3"/>
    <s v="Andersson, Miss. Sigrid Elisabeth"/>
    <n v="1"/>
    <x v="31"/>
    <n v="4"/>
    <n v="2"/>
    <s v="347082"/>
    <n v="31.274999999999999"/>
    <s v=""/>
    <s v="S"/>
    <n v="1"/>
    <n v="0"/>
    <n v="0"/>
    <x v="2"/>
    <n v="1"/>
    <n v="0"/>
    <n v="0"/>
    <n v="0"/>
    <n v="0"/>
  </r>
  <r>
    <n v="544"/>
    <n v="1"/>
    <n v="2"/>
    <s v="Beane, Mr. Edward"/>
    <n v="0"/>
    <x v="34"/>
    <n v="1"/>
    <n v="0"/>
    <s v="2908"/>
    <n v="26"/>
    <s v=""/>
    <s v="S"/>
    <n v="1"/>
    <n v="0"/>
    <n v="0"/>
    <x v="0"/>
    <n v="0"/>
    <n v="0"/>
    <n v="1"/>
    <n v="0"/>
    <n v="0"/>
  </r>
  <r>
    <n v="545"/>
    <n v="0"/>
    <n v="1"/>
    <s v="Douglas, Mr. Walter Donald"/>
    <n v="0"/>
    <x v="53"/>
    <n v="1"/>
    <n v="0"/>
    <s v="PC 17761"/>
    <n v="106.425"/>
    <s v="C86"/>
    <s v="C"/>
    <n v="0"/>
    <n v="1"/>
    <n v="0"/>
    <x v="0"/>
    <n v="0"/>
    <n v="0"/>
    <n v="1"/>
    <n v="0"/>
    <n v="0"/>
  </r>
  <r>
    <n v="546"/>
    <n v="0"/>
    <n v="1"/>
    <s v="Nicholson, Mr. Arthur Ernest"/>
    <n v="0"/>
    <x v="62"/>
    <n v="0"/>
    <n v="0"/>
    <s v="693"/>
    <n v="26"/>
    <s v=""/>
    <s v="S"/>
    <n v="1"/>
    <n v="0"/>
    <n v="0"/>
    <x v="0"/>
    <n v="0"/>
    <n v="0"/>
    <n v="1"/>
    <n v="0"/>
    <n v="0"/>
  </r>
  <r>
    <n v="547"/>
    <n v="1"/>
    <n v="2"/>
    <s v="Beane, Mrs. Edward (Ethel Clarke)"/>
    <n v="1"/>
    <x v="19"/>
    <n v="1"/>
    <n v="0"/>
    <s v="2908"/>
    <n v="26"/>
    <s v=""/>
    <s v="S"/>
    <n v="1"/>
    <n v="0"/>
    <n v="0"/>
    <x v="1"/>
    <n v="0"/>
    <n v="1"/>
    <n v="0"/>
    <n v="0"/>
    <n v="0"/>
  </r>
  <r>
    <n v="548"/>
    <n v="1"/>
    <n v="2"/>
    <s v="Padro y Manent, Mr. Julian"/>
    <n v="0"/>
    <x v="4"/>
    <n v="0"/>
    <n v="0"/>
    <s v="SC/PARIS 2146"/>
    <n v="13.862500000000001"/>
    <s v=""/>
    <s v="C"/>
    <n v="0"/>
    <n v="1"/>
    <n v="0"/>
    <x v="0"/>
    <n v="0"/>
    <n v="0"/>
    <n v="1"/>
    <n v="0"/>
    <n v="0"/>
  </r>
  <r>
    <n v="549"/>
    <n v="0"/>
    <n v="3"/>
    <s v="Goldsmith, Mr. Frank John"/>
    <n v="0"/>
    <x v="38"/>
    <n v="1"/>
    <n v="1"/>
    <s v="363291"/>
    <n v="20.524999999999999"/>
    <s v=""/>
    <s v="S"/>
    <n v="1"/>
    <n v="0"/>
    <n v="0"/>
    <x v="0"/>
    <n v="0"/>
    <n v="0"/>
    <n v="1"/>
    <n v="0"/>
    <n v="0"/>
  </r>
  <r>
    <n v="550"/>
    <n v="1"/>
    <n v="2"/>
    <s v="Davies, Master. John Morgan Jr"/>
    <n v="0"/>
    <x v="18"/>
    <n v="1"/>
    <n v="1"/>
    <s v="C.A. 33112"/>
    <n v="36.75"/>
    <s v=""/>
    <s v="S"/>
    <n v="1"/>
    <n v="0"/>
    <n v="0"/>
    <x v="3"/>
    <n v="0"/>
    <n v="0"/>
    <n v="0"/>
    <n v="1"/>
    <n v="0"/>
  </r>
  <r>
    <n v="551"/>
    <n v="1"/>
    <n v="1"/>
    <s v="Thayer, Mr. John Borland Jr"/>
    <n v="0"/>
    <x v="33"/>
    <n v="0"/>
    <n v="2"/>
    <s v="17421"/>
    <n v="110.88330000000001"/>
    <s v="C70"/>
    <s v="C"/>
    <n v="0"/>
    <n v="1"/>
    <n v="0"/>
    <x v="0"/>
    <n v="0"/>
    <n v="0"/>
    <n v="1"/>
    <n v="0"/>
    <n v="0"/>
  </r>
  <r>
    <n v="552"/>
    <n v="0"/>
    <n v="2"/>
    <s v="Sharp, Mr. Percival James R"/>
    <n v="0"/>
    <x v="7"/>
    <n v="0"/>
    <n v="0"/>
    <s v="244358"/>
    <n v="26"/>
    <s v=""/>
    <s v="S"/>
    <n v="1"/>
    <n v="0"/>
    <n v="0"/>
    <x v="0"/>
    <n v="0"/>
    <n v="0"/>
    <n v="1"/>
    <n v="0"/>
    <n v="0"/>
  </r>
  <r>
    <n v="553"/>
    <n v="0"/>
    <n v="3"/>
    <s v="O'Brien, Mr. Timothy"/>
    <n v="0"/>
    <x v="4"/>
    <n v="0"/>
    <n v="0"/>
    <s v="330979"/>
    <n v="7.8292000000000002"/>
    <s v=""/>
    <s v="Q"/>
    <n v="0"/>
    <n v="0"/>
    <n v="1"/>
    <x v="0"/>
    <n v="0"/>
    <n v="0"/>
    <n v="1"/>
    <n v="0"/>
    <n v="0"/>
  </r>
  <r>
    <n v="554"/>
    <n v="1"/>
    <n v="3"/>
    <s v="Leeni, Mr. Fahim (&quot;Philip Zenni&quot;)"/>
    <n v="0"/>
    <x v="0"/>
    <n v="0"/>
    <n v="0"/>
    <s v="2620"/>
    <n v="7.2249999999999996"/>
    <s v=""/>
    <s v="C"/>
    <n v="0"/>
    <n v="1"/>
    <n v="0"/>
    <x v="0"/>
    <n v="0"/>
    <n v="0"/>
    <n v="1"/>
    <n v="0"/>
    <n v="0"/>
  </r>
  <r>
    <n v="555"/>
    <n v="1"/>
    <n v="3"/>
    <s v="Ohman, Miss. Velin"/>
    <n v="1"/>
    <x v="0"/>
    <n v="0"/>
    <n v="0"/>
    <s v="347085"/>
    <n v="7.7750000000000004"/>
    <s v=""/>
    <s v="S"/>
    <n v="1"/>
    <n v="0"/>
    <n v="0"/>
    <x v="2"/>
    <n v="1"/>
    <n v="0"/>
    <n v="0"/>
    <n v="0"/>
    <n v="0"/>
  </r>
  <r>
    <n v="556"/>
    <n v="0"/>
    <n v="1"/>
    <s v="Wright, Mr. George"/>
    <n v="0"/>
    <x v="55"/>
    <n v="0"/>
    <n v="0"/>
    <s v="113807"/>
    <n v="26.55"/>
    <s v=""/>
    <s v="S"/>
    <n v="1"/>
    <n v="0"/>
    <n v="0"/>
    <x v="0"/>
    <n v="0"/>
    <n v="0"/>
    <n v="1"/>
    <n v="0"/>
    <n v="0"/>
  </r>
  <r>
    <n v="557"/>
    <n v="1"/>
    <n v="1"/>
    <s v="Duff Gordon, Lady. (Lucille Christiana Sutherland) (&quot;Mrs Morgan&quot;)"/>
    <n v="1"/>
    <x v="64"/>
    <n v="1"/>
    <n v="0"/>
    <s v="11755"/>
    <n v="39.6"/>
    <s v="A16"/>
    <s v="C"/>
    <n v="0"/>
    <n v="1"/>
    <n v="0"/>
    <x v="10"/>
    <n v="0"/>
    <n v="0"/>
    <n v="0"/>
    <n v="0"/>
    <n v="1"/>
  </r>
  <r>
    <n v="558"/>
    <n v="0"/>
    <n v="1"/>
    <s v="Robbins, Mr. Victor"/>
    <n v="0"/>
    <x v="4"/>
    <n v="0"/>
    <n v="0"/>
    <s v="PC 17757"/>
    <n v="227.52500000000001"/>
    <s v=""/>
    <s v="C"/>
    <n v="0"/>
    <n v="1"/>
    <n v="0"/>
    <x v="0"/>
    <n v="0"/>
    <n v="0"/>
    <n v="1"/>
    <n v="0"/>
    <n v="0"/>
  </r>
  <r>
    <n v="559"/>
    <n v="1"/>
    <n v="1"/>
    <s v="Taussig, Mrs. Emil (Tillie Mandelbaum)"/>
    <n v="1"/>
    <x v="12"/>
    <n v="1"/>
    <n v="1"/>
    <s v="110413"/>
    <n v="79.650000000000006"/>
    <s v="E67"/>
    <s v="S"/>
    <n v="1"/>
    <n v="0"/>
    <n v="0"/>
    <x v="1"/>
    <n v="0"/>
    <n v="1"/>
    <n v="0"/>
    <n v="0"/>
    <n v="0"/>
  </r>
  <r>
    <n v="560"/>
    <n v="1"/>
    <n v="3"/>
    <s v="de Messemaeker, Mrs. Guillaume Joseph (Emma)"/>
    <n v="1"/>
    <x v="54"/>
    <n v="1"/>
    <n v="0"/>
    <s v="345572"/>
    <n v="17.399999999999999"/>
    <s v=""/>
    <s v="S"/>
    <n v="1"/>
    <n v="0"/>
    <n v="0"/>
    <x v="1"/>
    <n v="0"/>
    <n v="1"/>
    <n v="0"/>
    <n v="0"/>
    <n v="0"/>
  </r>
  <r>
    <n v="561"/>
    <n v="0"/>
    <n v="3"/>
    <s v="Morrow, Mr. Thomas Rowan"/>
    <n v="0"/>
    <x v="4"/>
    <n v="0"/>
    <n v="0"/>
    <s v="372622"/>
    <n v="7.75"/>
    <s v=""/>
    <s v="Q"/>
    <n v="0"/>
    <n v="0"/>
    <n v="1"/>
    <x v="0"/>
    <n v="0"/>
    <n v="0"/>
    <n v="1"/>
    <n v="0"/>
    <n v="0"/>
  </r>
  <r>
    <n v="562"/>
    <n v="0"/>
    <n v="3"/>
    <s v="Sivic, Mr. Husein"/>
    <n v="0"/>
    <x v="20"/>
    <n v="0"/>
    <n v="0"/>
    <s v="349251"/>
    <n v="7.8958000000000004"/>
    <s v=""/>
    <s v="S"/>
    <n v="1"/>
    <n v="0"/>
    <n v="0"/>
    <x v="0"/>
    <n v="0"/>
    <n v="0"/>
    <n v="1"/>
    <n v="0"/>
    <n v="0"/>
  </r>
  <r>
    <n v="563"/>
    <n v="0"/>
    <n v="2"/>
    <s v="Norman, Mr. Robert Douglas"/>
    <n v="0"/>
    <x v="17"/>
    <n v="0"/>
    <n v="0"/>
    <s v="218629"/>
    <n v="13.5"/>
    <s v=""/>
    <s v="S"/>
    <n v="1"/>
    <n v="0"/>
    <n v="0"/>
    <x v="0"/>
    <n v="0"/>
    <n v="0"/>
    <n v="1"/>
    <n v="0"/>
    <n v="0"/>
  </r>
  <r>
    <n v="564"/>
    <n v="0"/>
    <n v="3"/>
    <s v="Simmons, Mr. John"/>
    <n v="0"/>
    <x v="4"/>
    <n v="0"/>
    <n v="0"/>
    <s v="SOTON/OQ 392082"/>
    <n v="8.0500000000000007"/>
    <s v=""/>
    <s v="S"/>
    <n v="1"/>
    <n v="0"/>
    <n v="0"/>
    <x v="0"/>
    <n v="0"/>
    <n v="0"/>
    <n v="1"/>
    <n v="0"/>
    <n v="0"/>
  </r>
  <r>
    <n v="565"/>
    <n v="0"/>
    <n v="3"/>
    <s v="Meanwell, Miss. (Marion Ogden)"/>
    <n v="1"/>
    <x v="4"/>
    <n v="0"/>
    <n v="0"/>
    <s v="SOTON/O.Q. 392087"/>
    <n v="8.0500000000000007"/>
    <s v=""/>
    <s v="S"/>
    <n v="1"/>
    <n v="0"/>
    <n v="0"/>
    <x v="2"/>
    <n v="1"/>
    <n v="0"/>
    <n v="0"/>
    <n v="0"/>
    <n v="0"/>
  </r>
  <r>
    <n v="566"/>
    <n v="0"/>
    <n v="3"/>
    <s v="Davies, Mr. Alfred J"/>
    <n v="0"/>
    <x v="40"/>
    <n v="2"/>
    <n v="0"/>
    <s v="A/4 48871"/>
    <n v="24.15"/>
    <s v=""/>
    <s v="S"/>
    <n v="1"/>
    <n v="0"/>
    <n v="0"/>
    <x v="0"/>
    <n v="0"/>
    <n v="0"/>
    <n v="1"/>
    <n v="0"/>
    <n v="0"/>
  </r>
  <r>
    <n v="567"/>
    <n v="0"/>
    <n v="3"/>
    <s v="Stoytcheff, Mr. Ilia"/>
    <n v="0"/>
    <x v="19"/>
    <n v="0"/>
    <n v="0"/>
    <s v="349205"/>
    <n v="7.8958000000000004"/>
    <s v=""/>
    <s v="S"/>
    <n v="1"/>
    <n v="0"/>
    <n v="0"/>
    <x v="0"/>
    <n v="0"/>
    <n v="0"/>
    <n v="1"/>
    <n v="0"/>
    <n v="0"/>
  </r>
  <r>
    <n v="568"/>
    <n v="0"/>
    <n v="3"/>
    <s v="Palsson, Mrs. Nils (Alma Cornelia Berglund)"/>
    <n v="1"/>
    <x v="28"/>
    <n v="0"/>
    <n v="4"/>
    <s v="349909"/>
    <n v="21.074999999999999"/>
    <s v=""/>
    <s v="S"/>
    <n v="1"/>
    <n v="0"/>
    <n v="0"/>
    <x v="1"/>
    <n v="0"/>
    <n v="1"/>
    <n v="0"/>
    <n v="0"/>
    <n v="0"/>
  </r>
  <r>
    <n v="569"/>
    <n v="0"/>
    <n v="3"/>
    <s v="Doharr, Mr. Tannous"/>
    <n v="0"/>
    <x v="4"/>
    <n v="0"/>
    <n v="0"/>
    <s v="2686"/>
    <n v="7.2291999999999996"/>
    <s v=""/>
    <s v="C"/>
    <n v="0"/>
    <n v="1"/>
    <n v="0"/>
    <x v="0"/>
    <n v="0"/>
    <n v="0"/>
    <n v="1"/>
    <n v="0"/>
    <n v="0"/>
  </r>
  <r>
    <n v="570"/>
    <n v="1"/>
    <n v="3"/>
    <s v="Jonsson, Mr. Carl"/>
    <n v="0"/>
    <x v="34"/>
    <n v="0"/>
    <n v="0"/>
    <s v="350417"/>
    <n v="7.8541999999999996"/>
    <s v=""/>
    <s v="S"/>
    <n v="1"/>
    <n v="0"/>
    <n v="0"/>
    <x v="0"/>
    <n v="0"/>
    <n v="0"/>
    <n v="1"/>
    <n v="0"/>
    <n v="0"/>
  </r>
  <r>
    <n v="571"/>
    <n v="1"/>
    <n v="2"/>
    <s v="Harris, Mr. George"/>
    <n v="0"/>
    <x v="55"/>
    <n v="0"/>
    <n v="0"/>
    <s v="S.W./PP 752"/>
    <n v="10.5"/>
    <s v=""/>
    <s v="S"/>
    <n v="1"/>
    <n v="0"/>
    <n v="0"/>
    <x v="0"/>
    <n v="0"/>
    <n v="0"/>
    <n v="1"/>
    <n v="0"/>
    <n v="0"/>
  </r>
  <r>
    <n v="572"/>
    <n v="1"/>
    <n v="1"/>
    <s v="Appleton, Mrs. Edward Dale (Charlotte Lamson)"/>
    <n v="1"/>
    <x v="65"/>
    <n v="2"/>
    <n v="0"/>
    <s v="11769"/>
    <n v="51.479199999999999"/>
    <s v="C101"/>
    <s v="S"/>
    <n v="1"/>
    <n v="0"/>
    <n v="0"/>
    <x v="1"/>
    <n v="0"/>
    <n v="1"/>
    <n v="0"/>
    <n v="0"/>
    <n v="0"/>
  </r>
  <r>
    <n v="573"/>
    <n v="1"/>
    <n v="1"/>
    <s v="Flynn, Mr. John Irwin (&quot;Irving&quot;)"/>
    <n v="0"/>
    <x v="54"/>
    <n v="0"/>
    <n v="0"/>
    <s v="PC 17474"/>
    <n v="26.387499999999999"/>
    <s v="E25"/>
    <s v="S"/>
    <n v="1"/>
    <n v="0"/>
    <n v="0"/>
    <x v="0"/>
    <n v="0"/>
    <n v="0"/>
    <n v="1"/>
    <n v="0"/>
    <n v="0"/>
  </r>
  <r>
    <n v="574"/>
    <n v="1"/>
    <n v="3"/>
    <s v="Kelly, Miss. Mary"/>
    <n v="1"/>
    <x v="4"/>
    <n v="0"/>
    <n v="0"/>
    <s v="14312"/>
    <n v="7.75"/>
    <s v=""/>
    <s v="Q"/>
    <n v="0"/>
    <n v="0"/>
    <n v="1"/>
    <x v="2"/>
    <n v="1"/>
    <n v="0"/>
    <n v="0"/>
    <n v="0"/>
    <n v="0"/>
  </r>
  <r>
    <n v="575"/>
    <n v="0"/>
    <n v="3"/>
    <s v="Rush, Mr. Alfred George John"/>
    <n v="0"/>
    <x v="35"/>
    <n v="0"/>
    <n v="0"/>
    <s v="A/4. 20589"/>
    <n v="8.0500000000000007"/>
    <s v=""/>
    <s v="S"/>
    <n v="1"/>
    <n v="0"/>
    <n v="0"/>
    <x v="0"/>
    <n v="0"/>
    <n v="0"/>
    <n v="1"/>
    <n v="0"/>
    <n v="0"/>
  </r>
  <r>
    <n v="576"/>
    <n v="0"/>
    <n v="3"/>
    <s v="Patchett, Mr. George"/>
    <n v="0"/>
    <x v="19"/>
    <n v="0"/>
    <n v="0"/>
    <s v="358585"/>
    <n v="14.5"/>
    <s v=""/>
    <s v="S"/>
    <n v="1"/>
    <n v="0"/>
    <n v="0"/>
    <x v="0"/>
    <n v="0"/>
    <n v="0"/>
    <n v="1"/>
    <n v="0"/>
    <n v="0"/>
  </r>
  <r>
    <n v="577"/>
    <n v="1"/>
    <n v="2"/>
    <s v="Garside, Miss. Ethel"/>
    <n v="1"/>
    <x v="15"/>
    <n v="0"/>
    <n v="0"/>
    <s v="243880"/>
    <n v="13"/>
    <s v=""/>
    <s v="S"/>
    <n v="1"/>
    <n v="0"/>
    <n v="0"/>
    <x v="2"/>
    <n v="1"/>
    <n v="0"/>
    <n v="0"/>
    <n v="0"/>
    <n v="0"/>
  </r>
  <r>
    <n v="578"/>
    <n v="1"/>
    <n v="1"/>
    <s v="Silvey, Mrs. William Baird (Alice Munger)"/>
    <n v="1"/>
    <x v="12"/>
    <n v="1"/>
    <n v="0"/>
    <s v="13507"/>
    <n v="55.9"/>
    <s v="E44"/>
    <s v="S"/>
    <n v="1"/>
    <n v="0"/>
    <n v="0"/>
    <x v="1"/>
    <n v="0"/>
    <n v="1"/>
    <n v="0"/>
    <n v="0"/>
    <n v="0"/>
  </r>
  <r>
    <n v="579"/>
    <n v="0"/>
    <n v="3"/>
    <s v="Caram, Mrs. Joseph (Maria Elias)"/>
    <n v="1"/>
    <x v="4"/>
    <n v="1"/>
    <n v="0"/>
    <s v="2689"/>
    <n v="14.458299999999999"/>
    <s v=""/>
    <s v="C"/>
    <n v="0"/>
    <n v="1"/>
    <n v="0"/>
    <x v="1"/>
    <n v="0"/>
    <n v="1"/>
    <n v="0"/>
    <n v="0"/>
    <n v="0"/>
  </r>
  <r>
    <n v="580"/>
    <n v="1"/>
    <n v="3"/>
    <s v="Jussila, Mr. Eiriik"/>
    <n v="0"/>
    <x v="34"/>
    <n v="0"/>
    <n v="0"/>
    <s v="STON/O 2. 3101286"/>
    <n v="7.9249999999999998"/>
    <s v=""/>
    <s v="S"/>
    <n v="1"/>
    <n v="0"/>
    <n v="0"/>
    <x v="0"/>
    <n v="0"/>
    <n v="0"/>
    <n v="1"/>
    <n v="0"/>
    <n v="0"/>
  </r>
  <r>
    <n v="581"/>
    <n v="1"/>
    <n v="2"/>
    <s v="Christy, Miss. Julie Rachel"/>
    <n v="1"/>
    <x v="36"/>
    <n v="1"/>
    <n v="1"/>
    <s v="237789"/>
    <n v="30"/>
    <s v=""/>
    <s v="S"/>
    <n v="1"/>
    <n v="0"/>
    <n v="0"/>
    <x v="2"/>
    <n v="1"/>
    <n v="0"/>
    <n v="0"/>
    <n v="0"/>
    <n v="0"/>
  </r>
  <r>
    <n v="582"/>
    <n v="1"/>
    <n v="1"/>
    <s v="Thayer, Mrs. John Borland (Marian Longstreth Morris)"/>
    <n v="1"/>
    <x v="12"/>
    <n v="1"/>
    <n v="1"/>
    <s v="17421"/>
    <n v="110.88330000000001"/>
    <s v="C68"/>
    <s v="C"/>
    <n v="0"/>
    <n v="1"/>
    <n v="0"/>
    <x v="1"/>
    <n v="0"/>
    <n v="1"/>
    <n v="0"/>
    <n v="0"/>
    <n v="0"/>
  </r>
  <r>
    <n v="583"/>
    <n v="0"/>
    <n v="2"/>
    <s v="Downton, Mr. William James"/>
    <n v="0"/>
    <x v="5"/>
    <n v="0"/>
    <n v="0"/>
    <s v="28403"/>
    <n v="26"/>
    <s v=""/>
    <s v="S"/>
    <n v="1"/>
    <n v="0"/>
    <n v="0"/>
    <x v="0"/>
    <n v="0"/>
    <n v="0"/>
    <n v="1"/>
    <n v="0"/>
    <n v="0"/>
  </r>
  <r>
    <n v="584"/>
    <n v="0"/>
    <n v="1"/>
    <s v="Ross, Mr. John Hugo"/>
    <n v="0"/>
    <x v="54"/>
    <n v="0"/>
    <n v="0"/>
    <s v="13049"/>
    <n v="40.125"/>
    <s v="A10"/>
    <s v="C"/>
    <n v="0"/>
    <n v="1"/>
    <n v="0"/>
    <x v="0"/>
    <n v="0"/>
    <n v="0"/>
    <n v="1"/>
    <n v="0"/>
    <n v="0"/>
  </r>
  <r>
    <n v="585"/>
    <n v="0"/>
    <n v="3"/>
    <s v="Paulner, Mr. Uscher"/>
    <n v="0"/>
    <x v="4"/>
    <n v="0"/>
    <n v="0"/>
    <s v="3411"/>
    <n v="8.7125000000000004"/>
    <s v=""/>
    <s v="C"/>
    <n v="0"/>
    <n v="1"/>
    <n v="0"/>
    <x v="0"/>
    <n v="0"/>
    <n v="0"/>
    <n v="1"/>
    <n v="0"/>
    <n v="0"/>
  </r>
  <r>
    <n v="586"/>
    <n v="1"/>
    <n v="1"/>
    <s v="Taussig, Miss. Ruth"/>
    <n v="1"/>
    <x v="24"/>
    <n v="0"/>
    <n v="2"/>
    <s v="110413"/>
    <n v="79.650000000000006"/>
    <s v="E68"/>
    <s v="S"/>
    <n v="1"/>
    <n v="0"/>
    <n v="0"/>
    <x v="2"/>
    <n v="1"/>
    <n v="0"/>
    <n v="0"/>
    <n v="0"/>
    <n v="0"/>
  </r>
  <r>
    <n v="587"/>
    <n v="0"/>
    <n v="2"/>
    <s v="Jarvis, Mr. John Denzil"/>
    <n v="0"/>
    <x v="45"/>
    <n v="0"/>
    <n v="0"/>
    <s v="237565"/>
    <n v="15"/>
    <s v=""/>
    <s v="S"/>
    <n v="1"/>
    <n v="0"/>
    <n v="0"/>
    <x v="0"/>
    <n v="0"/>
    <n v="0"/>
    <n v="1"/>
    <n v="0"/>
    <n v="0"/>
  </r>
  <r>
    <n v="588"/>
    <n v="1"/>
    <n v="1"/>
    <s v="Frolicher-Stehli, Mr. Maxmillian"/>
    <n v="0"/>
    <x v="60"/>
    <n v="1"/>
    <n v="1"/>
    <s v="13567"/>
    <n v="79.2"/>
    <s v="B41"/>
    <s v="C"/>
    <n v="0"/>
    <n v="1"/>
    <n v="0"/>
    <x v="0"/>
    <n v="0"/>
    <n v="0"/>
    <n v="1"/>
    <n v="0"/>
    <n v="0"/>
  </r>
  <r>
    <n v="589"/>
    <n v="0"/>
    <n v="3"/>
    <s v="Gilinski, Mr. Eliezer"/>
    <n v="0"/>
    <x v="0"/>
    <n v="0"/>
    <n v="0"/>
    <s v="14973"/>
    <n v="8.0500000000000007"/>
    <s v=""/>
    <s v="S"/>
    <n v="1"/>
    <n v="0"/>
    <n v="0"/>
    <x v="0"/>
    <n v="0"/>
    <n v="0"/>
    <n v="1"/>
    <n v="0"/>
    <n v="0"/>
  </r>
  <r>
    <n v="590"/>
    <n v="0"/>
    <n v="3"/>
    <s v="Murdlin, Mr. Joseph"/>
    <n v="0"/>
    <x v="4"/>
    <n v="0"/>
    <n v="0"/>
    <s v="A./5. 3235"/>
    <n v="8.0500000000000007"/>
    <s v=""/>
    <s v="S"/>
    <n v="1"/>
    <n v="0"/>
    <n v="0"/>
    <x v="0"/>
    <n v="0"/>
    <n v="0"/>
    <n v="1"/>
    <n v="0"/>
    <n v="0"/>
  </r>
  <r>
    <n v="591"/>
    <n v="0"/>
    <n v="3"/>
    <s v="Rintamaki, Mr. Matti"/>
    <n v="0"/>
    <x v="3"/>
    <n v="0"/>
    <n v="0"/>
    <s v="STON/O 2. 3101273"/>
    <n v="7.125"/>
    <s v=""/>
    <s v="S"/>
    <n v="1"/>
    <n v="0"/>
    <n v="0"/>
    <x v="0"/>
    <n v="0"/>
    <n v="0"/>
    <n v="1"/>
    <n v="0"/>
    <n v="0"/>
  </r>
  <r>
    <n v="592"/>
    <n v="1"/>
    <n v="1"/>
    <s v="Stephenson, Mrs. Walter Bertram (Martha Eustis)"/>
    <n v="1"/>
    <x v="57"/>
    <n v="1"/>
    <n v="0"/>
    <s v="36947"/>
    <n v="78.2667"/>
    <s v="D20"/>
    <s v="C"/>
    <n v="0"/>
    <n v="1"/>
    <n v="0"/>
    <x v="1"/>
    <n v="0"/>
    <n v="1"/>
    <n v="0"/>
    <n v="0"/>
    <n v="0"/>
  </r>
  <r>
    <n v="593"/>
    <n v="0"/>
    <n v="3"/>
    <s v="Elsbury, Mr. William James"/>
    <n v="0"/>
    <x v="45"/>
    <n v="0"/>
    <n v="0"/>
    <s v="A/5 3902"/>
    <n v="7.25"/>
    <s v=""/>
    <s v="S"/>
    <n v="1"/>
    <n v="0"/>
    <n v="0"/>
    <x v="0"/>
    <n v="0"/>
    <n v="0"/>
    <n v="1"/>
    <n v="0"/>
    <n v="0"/>
  </r>
  <r>
    <n v="594"/>
    <n v="0"/>
    <n v="3"/>
    <s v="Bourke, Miss. Mary"/>
    <n v="1"/>
    <x v="4"/>
    <n v="0"/>
    <n v="2"/>
    <s v="364848"/>
    <n v="7.75"/>
    <s v=""/>
    <s v="Q"/>
    <n v="0"/>
    <n v="0"/>
    <n v="1"/>
    <x v="2"/>
    <n v="1"/>
    <n v="0"/>
    <n v="0"/>
    <n v="0"/>
    <n v="0"/>
  </r>
  <r>
    <n v="595"/>
    <n v="0"/>
    <n v="2"/>
    <s v="Chapman, Mr. John Henry"/>
    <n v="0"/>
    <x v="44"/>
    <n v="1"/>
    <n v="0"/>
    <s v="SC/AH 29037"/>
    <n v="26"/>
    <s v=""/>
    <s v="S"/>
    <n v="1"/>
    <n v="0"/>
    <n v="0"/>
    <x v="0"/>
    <n v="0"/>
    <n v="0"/>
    <n v="1"/>
    <n v="0"/>
    <n v="0"/>
  </r>
  <r>
    <n v="596"/>
    <n v="0"/>
    <n v="3"/>
    <s v="Van Impe, Mr. Jean Baptiste"/>
    <n v="0"/>
    <x v="54"/>
    <n v="1"/>
    <n v="1"/>
    <s v="345773"/>
    <n v="24.15"/>
    <s v=""/>
    <s v="S"/>
    <n v="1"/>
    <n v="0"/>
    <n v="0"/>
    <x v="0"/>
    <n v="0"/>
    <n v="0"/>
    <n v="1"/>
    <n v="0"/>
    <n v="0"/>
  </r>
  <r>
    <n v="597"/>
    <n v="1"/>
    <n v="2"/>
    <s v="Leitch, Miss. Jessie Wills"/>
    <n v="1"/>
    <x v="4"/>
    <n v="0"/>
    <n v="0"/>
    <s v="248727"/>
    <n v="33"/>
    <s v=""/>
    <s v="S"/>
    <n v="1"/>
    <n v="0"/>
    <n v="0"/>
    <x v="2"/>
    <n v="1"/>
    <n v="0"/>
    <n v="0"/>
    <n v="0"/>
    <n v="0"/>
  </r>
  <r>
    <n v="598"/>
    <n v="0"/>
    <n v="3"/>
    <s v="Johnson, Mr. Alfred"/>
    <n v="0"/>
    <x v="27"/>
    <n v="0"/>
    <n v="0"/>
    <s v="LINE"/>
    <n v="0"/>
    <s v=""/>
    <s v="S"/>
    <n v="1"/>
    <n v="0"/>
    <n v="0"/>
    <x v="0"/>
    <n v="0"/>
    <n v="0"/>
    <n v="1"/>
    <n v="0"/>
    <n v="0"/>
  </r>
  <r>
    <n v="599"/>
    <n v="0"/>
    <n v="3"/>
    <s v="Boulos, Mr. Hanna"/>
    <n v="0"/>
    <x v="4"/>
    <n v="0"/>
    <n v="0"/>
    <s v="2664"/>
    <n v="7.2249999999999996"/>
    <s v=""/>
    <s v="C"/>
    <n v="0"/>
    <n v="1"/>
    <n v="0"/>
    <x v="0"/>
    <n v="0"/>
    <n v="0"/>
    <n v="1"/>
    <n v="0"/>
    <n v="0"/>
  </r>
  <r>
    <n v="600"/>
    <n v="1"/>
    <n v="1"/>
    <s v="Duff Gordon, Sir. Cosmo Edmund (&quot;Mr Morgan&quot;)"/>
    <n v="0"/>
    <x v="27"/>
    <n v="1"/>
    <n v="0"/>
    <s v="PC 17485"/>
    <n v="56.929200000000002"/>
    <s v="A20"/>
    <s v="C"/>
    <n v="0"/>
    <n v="1"/>
    <n v="0"/>
    <x v="11"/>
    <n v="0"/>
    <n v="0"/>
    <n v="0"/>
    <n v="0"/>
    <n v="1"/>
  </r>
  <r>
    <n v="601"/>
    <n v="1"/>
    <n v="2"/>
    <s v="Jacobsohn, Mrs. Sidney Samuel (Amy Frances Christy)"/>
    <n v="1"/>
    <x v="40"/>
    <n v="2"/>
    <n v="1"/>
    <s v="243847"/>
    <n v="27"/>
    <s v=""/>
    <s v="S"/>
    <n v="1"/>
    <n v="0"/>
    <n v="0"/>
    <x v="1"/>
    <n v="0"/>
    <n v="1"/>
    <n v="0"/>
    <n v="0"/>
    <n v="0"/>
  </r>
  <r>
    <n v="602"/>
    <n v="0"/>
    <n v="3"/>
    <s v="Slabenoff, Mr. Petco"/>
    <n v="0"/>
    <x v="4"/>
    <n v="0"/>
    <n v="0"/>
    <s v="349214"/>
    <n v="7.8958000000000004"/>
    <s v=""/>
    <s v="S"/>
    <n v="1"/>
    <n v="0"/>
    <n v="0"/>
    <x v="0"/>
    <n v="0"/>
    <n v="0"/>
    <n v="1"/>
    <n v="0"/>
    <n v="0"/>
  </r>
  <r>
    <n v="603"/>
    <n v="0"/>
    <n v="1"/>
    <s v="Harrington, Mr. Charles H"/>
    <n v="0"/>
    <x v="4"/>
    <n v="0"/>
    <n v="0"/>
    <s v="113796"/>
    <n v="42.4"/>
    <s v=""/>
    <s v="S"/>
    <n v="1"/>
    <n v="0"/>
    <n v="0"/>
    <x v="0"/>
    <n v="0"/>
    <n v="0"/>
    <n v="1"/>
    <n v="0"/>
    <n v="0"/>
  </r>
  <r>
    <n v="604"/>
    <n v="0"/>
    <n v="3"/>
    <s v="Torber, Mr. Ernst William"/>
    <n v="0"/>
    <x v="49"/>
    <n v="0"/>
    <n v="0"/>
    <s v="364511"/>
    <n v="8.0500000000000007"/>
    <s v=""/>
    <s v="S"/>
    <n v="1"/>
    <n v="0"/>
    <n v="0"/>
    <x v="0"/>
    <n v="0"/>
    <n v="0"/>
    <n v="1"/>
    <n v="0"/>
    <n v="0"/>
  </r>
  <r>
    <n v="605"/>
    <n v="1"/>
    <n v="1"/>
    <s v="Homer, Mr. Harry (&quot;Mr E Haven&quot;)"/>
    <n v="0"/>
    <x v="3"/>
    <n v="0"/>
    <n v="0"/>
    <s v="111426"/>
    <n v="26.55"/>
    <s v=""/>
    <s v="C"/>
    <n v="0"/>
    <n v="1"/>
    <n v="0"/>
    <x v="0"/>
    <n v="0"/>
    <n v="0"/>
    <n v="1"/>
    <n v="0"/>
    <n v="0"/>
  </r>
  <r>
    <n v="606"/>
    <n v="0"/>
    <n v="3"/>
    <s v="Lindell, Mr. Edvard Bengtsson"/>
    <n v="0"/>
    <x v="54"/>
    <n v="1"/>
    <n v="0"/>
    <s v="349910"/>
    <n v="15.55"/>
    <s v=""/>
    <s v="S"/>
    <n v="1"/>
    <n v="0"/>
    <n v="0"/>
    <x v="0"/>
    <n v="0"/>
    <n v="0"/>
    <n v="1"/>
    <n v="0"/>
    <n v="0"/>
  </r>
  <r>
    <n v="607"/>
    <n v="0"/>
    <n v="3"/>
    <s v="Karaic, Mr. Milan"/>
    <n v="0"/>
    <x v="37"/>
    <n v="0"/>
    <n v="0"/>
    <s v="349246"/>
    <n v="7.8958000000000004"/>
    <s v=""/>
    <s v="S"/>
    <n v="1"/>
    <n v="0"/>
    <n v="0"/>
    <x v="0"/>
    <n v="0"/>
    <n v="0"/>
    <n v="1"/>
    <n v="0"/>
    <n v="0"/>
  </r>
  <r>
    <n v="608"/>
    <n v="1"/>
    <n v="1"/>
    <s v="Daniel, Mr. Robert Williams"/>
    <n v="0"/>
    <x v="7"/>
    <n v="0"/>
    <n v="0"/>
    <s v="113804"/>
    <n v="30.5"/>
    <s v=""/>
    <s v="S"/>
    <n v="1"/>
    <n v="0"/>
    <n v="0"/>
    <x v="0"/>
    <n v="0"/>
    <n v="0"/>
    <n v="1"/>
    <n v="0"/>
    <n v="0"/>
  </r>
  <r>
    <n v="609"/>
    <n v="1"/>
    <n v="2"/>
    <s v="Laroche, Mrs. Joseph (Juliette Marie Louise Lafargue)"/>
    <n v="1"/>
    <x v="0"/>
    <n v="1"/>
    <n v="2"/>
    <s v="SC/Paris 2123"/>
    <n v="41.5792"/>
    <s v=""/>
    <s v="C"/>
    <n v="0"/>
    <n v="1"/>
    <n v="0"/>
    <x v="1"/>
    <n v="0"/>
    <n v="1"/>
    <n v="0"/>
    <n v="0"/>
    <n v="0"/>
  </r>
  <r>
    <n v="610"/>
    <n v="1"/>
    <n v="1"/>
    <s v="Shutes, Miss. Elizabeth W"/>
    <n v="1"/>
    <x v="20"/>
    <n v="0"/>
    <n v="0"/>
    <s v="PC 17582"/>
    <n v="153.46250000000001"/>
    <s v="C125"/>
    <s v="S"/>
    <n v="1"/>
    <n v="0"/>
    <n v="0"/>
    <x v="2"/>
    <n v="1"/>
    <n v="0"/>
    <n v="0"/>
    <n v="0"/>
    <n v="0"/>
  </r>
  <r>
    <n v="611"/>
    <n v="0"/>
    <n v="3"/>
    <s v="Andersson, Mrs. Anders Johan (Alfrida Konstantia Brogren)"/>
    <n v="1"/>
    <x v="12"/>
    <n v="1"/>
    <n v="5"/>
    <s v="347082"/>
    <n v="31.274999999999999"/>
    <s v=""/>
    <s v="S"/>
    <n v="1"/>
    <n v="0"/>
    <n v="0"/>
    <x v="1"/>
    <n v="0"/>
    <n v="1"/>
    <n v="0"/>
    <n v="0"/>
    <n v="0"/>
  </r>
  <r>
    <n v="612"/>
    <n v="0"/>
    <n v="3"/>
    <s v="Jardin, Mr. Jose Neto"/>
    <n v="0"/>
    <x v="4"/>
    <n v="0"/>
    <n v="0"/>
    <s v="SOTON/O.Q. 3101305"/>
    <n v="7.05"/>
    <s v=""/>
    <s v="S"/>
    <n v="1"/>
    <n v="0"/>
    <n v="0"/>
    <x v="0"/>
    <n v="0"/>
    <n v="0"/>
    <n v="1"/>
    <n v="0"/>
    <n v="0"/>
  </r>
  <r>
    <n v="613"/>
    <n v="1"/>
    <n v="3"/>
    <s v="Murphy, Miss. Margaret Jane"/>
    <n v="1"/>
    <x v="4"/>
    <n v="1"/>
    <n v="0"/>
    <s v="367230"/>
    <n v="15.5"/>
    <s v=""/>
    <s v="Q"/>
    <n v="0"/>
    <n v="0"/>
    <n v="1"/>
    <x v="2"/>
    <n v="1"/>
    <n v="0"/>
    <n v="0"/>
    <n v="0"/>
    <n v="0"/>
  </r>
  <r>
    <n v="614"/>
    <n v="0"/>
    <n v="3"/>
    <s v="Horgan, Mr. John"/>
    <n v="0"/>
    <x v="4"/>
    <n v="0"/>
    <n v="0"/>
    <s v="370377"/>
    <n v="7.75"/>
    <s v=""/>
    <s v="Q"/>
    <n v="0"/>
    <n v="0"/>
    <n v="1"/>
    <x v="0"/>
    <n v="0"/>
    <n v="0"/>
    <n v="1"/>
    <n v="0"/>
    <n v="0"/>
  </r>
  <r>
    <n v="615"/>
    <n v="0"/>
    <n v="3"/>
    <s v="Brocklebank, Mr. William Alfred"/>
    <n v="0"/>
    <x v="3"/>
    <n v="0"/>
    <n v="0"/>
    <s v="364512"/>
    <n v="8.0500000000000007"/>
    <s v=""/>
    <s v="S"/>
    <n v="1"/>
    <n v="0"/>
    <n v="0"/>
    <x v="0"/>
    <n v="0"/>
    <n v="0"/>
    <n v="1"/>
    <n v="0"/>
    <n v="0"/>
  </r>
  <r>
    <n v="616"/>
    <n v="1"/>
    <n v="2"/>
    <s v="Herman, Miss. Alice"/>
    <n v="1"/>
    <x v="40"/>
    <n v="1"/>
    <n v="2"/>
    <s v="220845"/>
    <n v="65"/>
    <s v=""/>
    <s v="S"/>
    <n v="1"/>
    <n v="0"/>
    <n v="0"/>
    <x v="2"/>
    <n v="1"/>
    <n v="0"/>
    <n v="0"/>
    <n v="0"/>
    <n v="0"/>
  </r>
  <r>
    <n v="617"/>
    <n v="0"/>
    <n v="3"/>
    <s v="Danbom, Mr. Ernst Gilbert"/>
    <n v="0"/>
    <x v="15"/>
    <n v="1"/>
    <n v="1"/>
    <s v="347080"/>
    <n v="14.4"/>
    <s v=""/>
    <s v="S"/>
    <n v="1"/>
    <n v="0"/>
    <n v="0"/>
    <x v="0"/>
    <n v="0"/>
    <n v="0"/>
    <n v="1"/>
    <n v="0"/>
    <n v="0"/>
  </r>
  <r>
    <n v="618"/>
    <n v="0"/>
    <n v="3"/>
    <s v="Lobb, Mrs. William Arthur (Cordelia K Stanlick)"/>
    <n v="1"/>
    <x v="2"/>
    <n v="1"/>
    <n v="0"/>
    <s v="A/5. 3336"/>
    <n v="16.100000000000001"/>
    <s v=""/>
    <s v="S"/>
    <n v="1"/>
    <n v="0"/>
    <n v="0"/>
    <x v="1"/>
    <n v="0"/>
    <n v="1"/>
    <n v="0"/>
    <n v="0"/>
    <n v="0"/>
  </r>
  <r>
    <n v="619"/>
    <n v="1"/>
    <n v="2"/>
    <s v="Becker, Miss. Marion Louise"/>
    <n v="1"/>
    <x v="9"/>
    <n v="2"/>
    <n v="1"/>
    <s v="230136"/>
    <n v="39"/>
    <s v="F4"/>
    <s v="S"/>
    <n v="1"/>
    <n v="0"/>
    <n v="0"/>
    <x v="2"/>
    <n v="1"/>
    <n v="0"/>
    <n v="0"/>
    <n v="0"/>
    <n v="0"/>
  </r>
  <r>
    <n v="620"/>
    <n v="0"/>
    <n v="2"/>
    <s v="Gavey, Mr. Lawrence"/>
    <n v="0"/>
    <x v="2"/>
    <n v="0"/>
    <n v="0"/>
    <s v="31028"/>
    <n v="10.5"/>
    <s v=""/>
    <s v="S"/>
    <n v="1"/>
    <n v="0"/>
    <n v="0"/>
    <x v="0"/>
    <n v="0"/>
    <n v="0"/>
    <n v="1"/>
    <n v="0"/>
    <n v="0"/>
  </r>
  <r>
    <n v="621"/>
    <n v="0"/>
    <n v="3"/>
    <s v="Yasbeck, Mr. Antoni"/>
    <n v="0"/>
    <x v="7"/>
    <n v="1"/>
    <n v="0"/>
    <s v="2659"/>
    <n v="14.4542"/>
    <s v=""/>
    <s v="C"/>
    <n v="0"/>
    <n v="1"/>
    <n v="0"/>
    <x v="0"/>
    <n v="0"/>
    <n v="0"/>
    <n v="1"/>
    <n v="0"/>
    <n v="0"/>
  </r>
  <r>
    <n v="622"/>
    <n v="1"/>
    <n v="1"/>
    <s v="Kimball, Mr. Edwin Nelson Jr"/>
    <n v="0"/>
    <x v="22"/>
    <n v="1"/>
    <n v="0"/>
    <s v="11753"/>
    <n v="52.554200000000002"/>
    <s v="D19"/>
    <s v="S"/>
    <n v="1"/>
    <n v="0"/>
    <n v="0"/>
    <x v="0"/>
    <n v="0"/>
    <n v="0"/>
    <n v="1"/>
    <n v="0"/>
    <n v="0"/>
  </r>
  <r>
    <n v="623"/>
    <n v="1"/>
    <n v="3"/>
    <s v="Nakid, Mr. Sahid"/>
    <n v="0"/>
    <x v="11"/>
    <n v="1"/>
    <n v="1"/>
    <s v="2653"/>
    <n v="15.7417"/>
    <s v=""/>
    <s v="C"/>
    <n v="0"/>
    <n v="1"/>
    <n v="0"/>
    <x v="0"/>
    <n v="0"/>
    <n v="0"/>
    <n v="1"/>
    <n v="0"/>
    <n v="0"/>
  </r>
  <r>
    <n v="624"/>
    <n v="0"/>
    <n v="3"/>
    <s v="Hansen, Mr. Henry Damsgaard"/>
    <n v="0"/>
    <x v="23"/>
    <n v="0"/>
    <n v="0"/>
    <s v="350029"/>
    <n v="7.8541999999999996"/>
    <s v=""/>
    <s v="S"/>
    <n v="1"/>
    <n v="0"/>
    <n v="0"/>
    <x v="0"/>
    <n v="0"/>
    <n v="0"/>
    <n v="1"/>
    <n v="0"/>
    <n v="0"/>
  </r>
  <r>
    <n v="625"/>
    <n v="0"/>
    <n v="3"/>
    <s v="Bowen, Mr. David John &quot;Dai&quot;"/>
    <n v="0"/>
    <x v="23"/>
    <n v="0"/>
    <n v="0"/>
    <s v="54636"/>
    <n v="16.100000000000001"/>
    <s v=""/>
    <s v="S"/>
    <n v="1"/>
    <n v="0"/>
    <n v="0"/>
    <x v="0"/>
    <n v="0"/>
    <n v="0"/>
    <n v="1"/>
    <n v="0"/>
    <n v="0"/>
  </r>
  <r>
    <n v="626"/>
    <n v="0"/>
    <n v="1"/>
    <s v="Sutton, Mr. Frederick"/>
    <n v="0"/>
    <x v="51"/>
    <n v="0"/>
    <n v="0"/>
    <s v="36963"/>
    <n v="32.320799999999998"/>
    <s v="D50"/>
    <s v="S"/>
    <n v="1"/>
    <n v="0"/>
    <n v="0"/>
    <x v="0"/>
    <n v="0"/>
    <n v="0"/>
    <n v="1"/>
    <n v="0"/>
    <n v="0"/>
  </r>
  <r>
    <n v="627"/>
    <n v="0"/>
    <n v="2"/>
    <s v="Kirkland, Rev. Charles Leonard"/>
    <n v="0"/>
    <x v="66"/>
    <n v="0"/>
    <n v="0"/>
    <s v="219533"/>
    <n v="12.35"/>
    <s v=""/>
    <s v="Q"/>
    <n v="0"/>
    <n v="0"/>
    <n v="1"/>
    <x v="5"/>
    <n v="0"/>
    <n v="0"/>
    <n v="0"/>
    <n v="0"/>
    <n v="1"/>
  </r>
  <r>
    <n v="628"/>
    <n v="1"/>
    <n v="1"/>
    <s v="Longley, Miss. Gretchen Fiske"/>
    <n v="1"/>
    <x v="23"/>
    <n v="0"/>
    <n v="0"/>
    <s v="13502"/>
    <n v="77.958299999999994"/>
    <s v="D9"/>
    <s v="S"/>
    <n v="1"/>
    <n v="0"/>
    <n v="0"/>
    <x v="2"/>
    <n v="1"/>
    <n v="0"/>
    <n v="0"/>
    <n v="0"/>
    <n v="0"/>
  </r>
  <r>
    <n v="629"/>
    <n v="0"/>
    <n v="3"/>
    <s v="Bostandyeff, Mr. Guentcho"/>
    <n v="0"/>
    <x v="2"/>
    <n v="0"/>
    <n v="0"/>
    <s v="349224"/>
    <n v="7.8958000000000004"/>
    <s v=""/>
    <s v="S"/>
    <n v="1"/>
    <n v="0"/>
    <n v="0"/>
    <x v="0"/>
    <n v="0"/>
    <n v="0"/>
    <n v="1"/>
    <n v="0"/>
    <n v="0"/>
  </r>
  <r>
    <n v="630"/>
    <n v="0"/>
    <n v="3"/>
    <s v="O'Connell, Mr. Patrick D"/>
    <n v="0"/>
    <x v="4"/>
    <n v="0"/>
    <n v="0"/>
    <s v="334912"/>
    <n v="7.7332999999999998"/>
    <s v=""/>
    <s v="Q"/>
    <n v="0"/>
    <n v="0"/>
    <n v="1"/>
    <x v="0"/>
    <n v="0"/>
    <n v="0"/>
    <n v="1"/>
    <n v="0"/>
    <n v="0"/>
  </r>
  <r>
    <n v="631"/>
    <n v="1"/>
    <n v="1"/>
    <s v="Barkworth, Mr. Algernon Henry Wilson"/>
    <n v="0"/>
    <x v="67"/>
    <n v="0"/>
    <n v="0"/>
    <s v="27042"/>
    <n v="30"/>
    <s v="A23"/>
    <s v="S"/>
    <n v="1"/>
    <n v="0"/>
    <n v="0"/>
    <x v="0"/>
    <n v="0"/>
    <n v="0"/>
    <n v="1"/>
    <n v="0"/>
    <n v="0"/>
  </r>
  <r>
    <n v="632"/>
    <n v="0"/>
    <n v="3"/>
    <s v="Lundahl, Mr. Johan Svensson"/>
    <n v="0"/>
    <x v="48"/>
    <n v="0"/>
    <n v="0"/>
    <s v="347743"/>
    <n v="7.0541999999999998"/>
    <s v=""/>
    <s v="S"/>
    <n v="1"/>
    <n v="0"/>
    <n v="0"/>
    <x v="0"/>
    <n v="0"/>
    <n v="0"/>
    <n v="1"/>
    <n v="0"/>
    <n v="0"/>
  </r>
  <r>
    <n v="633"/>
    <n v="1"/>
    <n v="1"/>
    <s v="Stahelin-Maeglin, Dr. Max"/>
    <n v="0"/>
    <x v="34"/>
    <n v="0"/>
    <n v="0"/>
    <s v="13214"/>
    <n v="30.5"/>
    <s v="B50"/>
    <s v="C"/>
    <n v="0"/>
    <n v="1"/>
    <n v="0"/>
    <x v="6"/>
    <n v="0"/>
    <n v="0"/>
    <n v="0"/>
    <n v="0"/>
    <n v="1"/>
  </r>
  <r>
    <n v="634"/>
    <n v="0"/>
    <n v="1"/>
    <s v="Parr, Mr. William Henry Marsh"/>
    <n v="0"/>
    <x v="4"/>
    <n v="0"/>
    <n v="0"/>
    <s v="112052"/>
    <n v="0"/>
    <s v=""/>
    <s v="S"/>
    <n v="1"/>
    <n v="0"/>
    <n v="0"/>
    <x v="0"/>
    <n v="0"/>
    <n v="0"/>
    <n v="1"/>
    <n v="0"/>
    <n v="0"/>
  </r>
  <r>
    <n v="635"/>
    <n v="0"/>
    <n v="3"/>
    <s v="Skoog, Miss. Mabel"/>
    <n v="1"/>
    <x v="47"/>
    <n v="3"/>
    <n v="2"/>
    <s v="347088"/>
    <n v="27.9"/>
    <s v=""/>
    <s v="S"/>
    <n v="1"/>
    <n v="0"/>
    <n v="0"/>
    <x v="2"/>
    <n v="1"/>
    <n v="0"/>
    <n v="0"/>
    <n v="0"/>
    <n v="0"/>
  </r>
  <r>
    <n v="636"/>
    <n v="1"/>
    <n v="2"/>
    <s v="Davis, Miss. Mary"/>
    <n v="1"/>
    <x v="17"/>
    <n v="0"/>
    <n v="0"/>
    <s v="237668"/>
    <n v="13"/>
    <s v=""/>
    <s v="S"/>
    <n v="1"/>
    <n v="0"/>
    <n v="0"/>
    <x v="2"/>
    <n v="1"/>
    <n v="0"/>
    <n v="0"/>
    <n v="0"/>
    <n v="0"/>
  </r>
  <r>
    <n v="637"/>
    <n v="0"/>
    <n v="3"/>
    <s v="Leinonen, Mr. Antti Gustaf"/>
    <n v="0"/>
    <x v="34"/>
    <n v="0"/>
    <n v="0"/>
    <s v="STON/O 2. 3101292"/>
    <n v="7.9249999999999998"/>
    <s v=""/>
    <s v="S"/>
    <n v="1"/>
    <n v="0"/>
    <n v="0"/>
    <x v="0"/>
    <n v="0"/>
    <n v="0"/>
    <n v="1"/>
    <n v="0"/>
    <n v="0"/>
  </r>
  <r>
    <n v="638"/>
    <n v="0"/>
    <n v="2"/>
    <s v="Collyer, Mr. Harvey"/>
    <n v="0"/>
    <x v="14"/>
    <n v="1"/>
    <n v="1"/>
    <s v="C.A. 31921"/>
    <n v="26.25"/>
    <s v=""/>
    <s v="S"/>
    <n v="1"/>
    <n v="0"/>
    <n v="0"/>
    <x v="0"/>
    <n v="0"/>
    <n v="0"/>
    <n v="1"/>
    <n v="0"/>
    <n v="0"/>
  </r>
  <r>
    <n v="639"/>
    <n v="0"/>
    <n v="3"/>
    <s v="Panula, Mrs. Juha (Maria Emilia Ojala)"/>
    <n v="1"/>
    <x v="56"/>
    <n v="0"/>
    <n v="5"/>
    <s v="3101295"/>
    <n v="39.6875"/>
    <s v=""/>
    <s v="S"/>
    <n v="1"/>
    <n v="0"/>
    <n v="0"/>
    <x v="1"/>
    <n v="0"/>
    <n v="1"/>
    <n v="0"/>
    <n v="0"/>
    <n v="0"/>
  </r>
  <r>
    <n v="640"/>
    <n v="0"/>
    <n v="3"/>
    <s v="Thorneycroft, Mr. Percival"/>
    <n v="0"/>
    <x v="4"/>
    <n v="1"/>
    <n v="0"/>
    <s v="376564"/>
    <n v="16.100000000000001"/>
    <s v=""/>
    <s v="S"/>
    <n v="1"/>
    <n v="0"/>
    <n v="0"/>
    <x v="0"/>
    <n v="0"/>
    <n v="0"/>
    <n v="1"/>
    <n v="0"/>
    <n v="0"/>
  </r>
  <r>
    <n v="641"/>
    <n v="0"/>
    <n v="3"/>
    <s v="Jensen, Mr. Hans Peder"/>
    <n v="0"/>
    <x v="11"/>
    <n v="0"/>
    <n v="0"/>
    <s v="350050"/>
    <n v="7.8541999999999996"/>
    <s v=""/>
    <s v="S"/>
    <n v="1"/>
    <n v="0"/>
    <n v="0"/>
    <x v="0"/>
    <n v="0"/>
    <n v="0"/>
    <n v="1"/>
    <n v="0"/>
    <n v="0"/>
  </r>
  <r>
    <n v="642"/>
    <n v="1"/>
    <n v="1"/>
    <s v="Sagesser, Mlle. Emma"/>
    <n v="1"/>
    <x v="40"/>
    <n v="0"/>
    <n v="0"/>
    <s v="PC 17477"/>
    <n v="69.3"/>
    <s v="B35"/>
    <s v="C"/>
    <n v="0"/>
    <n v="1"/>
    <n v="0"/>
    <x v="12"/>
    <n v="1"/>
    <n v="0"/>
    <n v="0"/>
    <n v="0"/>
    <n v="0"/>
  </r>
  <r>
    <n v="643"/>
    <n v="0"/>
    <n v="3"/>
    <s v="Skoog, Miss. Margit Elizabeth"/>
    <n v="1"/>
    <x v="6"/>
    <n v="3"/>
    <n v="2"/>
    <s v="347088"/>
    <n v="27.9"/>
    <s v=""/>
    <s v="S"/>
    <n v="1"/>
    <n v="0"/>
    <n v="0"/>
    <x v="2"/>
    <n v="1"/>
    <n v="0"/>
    <n v="0"/>
    <n v="0"/>
    <n v="0"/>
  </r>
  <r>
    <n v="644"/>
    <n v="1"/>
    <n v="3"/>
    <s v="Foo, Mr. Choong"/>
    <n v="0"/>
    <x v="4"/>
    <n v="0"/>
    <n v="0"/>
    <s v="1601"/>
    <n v="56.495800000000003"/>
    <s v=""/>
    <s v="S"/>
    <n v="1"/>
    <n v="0"/>
    <n v="0"/>
    <x v="0"/>
    <n v="0"/>
    <n v="0"/>
    <n v="1"/>
    <n v="0"/>
    <n v="0"/>
  </r>
  <r>
    <n v="645"/>
    <n v="1"/>
    <n v="3"/>
    <s v="Baclini, Miss. Eugenie"/>
    <n v="1"/>
    <x v="4"/>
    <n v="2"/>
    <n v="1"/>
    <s v="2666"/>
    <n v="19.258299999999998"/>
    <s v=""/>
    <s v="C"/>
    <n v="0"/>
    <n v="1"/>
    <n v="0"/>
    <x v="2"/>
    <n v="1"/>
    <n v="0"/>
    <n v="0"/>
    <n v="0"/>
    <n v="0"/>
  </r>
  <r>
    <n v="646"/>
    <n v="1"/>
    <n v="1"/>
    <s v="Harper, Mr. Henry Sleeper"/>
    <n v="0"/>
    <x v="64"/>
    <n v="1"/>
    <n v="0"/>
    <s v="PC 17572"/>
    <n v="76.729200000000006"/>
    <s v="D33"/>
    <s v="C"/>
    <n v="0"/>
    <n v="1"/>
    <n v="0"/>
    <x v="0"/>
    <n v="0"/>
    <n v="0"/>
    <n v="1"/>
    <n v="0"/>
    <n v="0"/>
  </r>
  <r>
    <n v="647"/>
    <n v="0"/>
    <n v="3"/>
    <s v="Cor, Mr. Liudevit"/>
    <n v="0"/>
    <x v="19"/>
    <n v="0"/>
    <n v="0"/>
    <s v="349231"/>
    <n v="7.8958000000000004"/>
    <s v=""/>
    <s v="S"/>
    <n v="1"/>
    <n v="0"/>
    <n v="0"/>
    <x v="0"/>
    <n v="0"/>
    <n v="0"/>
    <n v="1"/>
    <n v="0"/>
    <n v="0"/>
  </r>
  <r>
    <n v="648"/>
    <n v="1"/>
    <n v="1"/>
    <s v="Simonius-Blumer, Col. Oberst Alfons"/>
    <n v="0"/>
    <x v="52"/>
    <n v="0"/>
    <n v="0"/>
    <s v="13213"/>
    <n v="35.5"/>
    <s v="A26"/>
    <s v="C"/>
    <n v="0"/>
    <n v="1"/>
    <n v="0"/>
    <x v="13"/>
    <n v="0"/>
    <n v="0"/>
    <n v="0"/>
    <n v="0"/>
    <n v="1"/>
  </r>
  <r>
    <n v="649"/>
    <n v="0"/>
    <n v="3"/>
    <s v="Willey, Mr. Edward"/>
    <n v="0"/>
    <x v="4"/>
    <n v="0"/>
    <n v="0"/>
    <s v="S.O./P.P. 751"/>
    <n v="7.55"/>
    <s v=""/>
    <s v="S"/>
    <n v="1"/>
    <n v="0"/>
    <n v="0"/>
    <x v="0"/>
    <n v="0"/>
    <n v="0"/>
    <n v="1"/>
    <n v="0"/>
    <n v="0"/>
  </r>
  <r>
    <n v="650"/>
    <n v="1"/>
    <n v="3"/>
    <s v="Stanley, Miss. Amy Zillah Elsie"/>
    <n v="1"/>
    <x v="39"/>
    <n v="0"/>
    <n v="0"/>
    <s v="CA. 2314"/>
    <n v="7.55"/>
    <s v=""/>
    <s v="S"/>
    <n v="1"/>
    <n v="0"/>
    <n v="0"/>
    <x v="2"/>
    <n v="1"/>
    <n v="0"/>
    <n v="0"/>
    <n v="0"/>
    <n v="0"/>
  </r>
  <r>
    <n v="651"/>
    <n v="0"/>
    <n v="3"/>
    <s v="Mitkoff, Mr. Mito"/>
    <n v="0"/>
    <x v="4"/>
    <n v="0"/>
    <n v="0"/>
    <s v="349221"/>
    <n v="7.8958000000000004"/>
    <s v=""/>
    <s v="S"/>
    <n v="1"/>
    <n v="0"/>
    <n v="0"/>
    <x v="0"/>
    <n v="0"/>
    <n v="0"/>
    <n v="1"/>
    <n v="0"/>
    <n v="0"/>
  </r>
  <r>
    <n v="652"/>
    <n v="1"/>
    <n v="2"/>
    <s v="Doling, Miss. Elsie"/>
    <n v="1"/>
    <x v="24"/>
    <n v="0"/>
    <n v="1"/>
    <s v="231919"/>
    <n v="23"/>
    <s v=""/>
    <s v="S"/>
    <n v="1"/>
    <n v="0"/>
    <n v="0"/>
    <x v="2"/>
    <n v="1"/>
    <n v="0"/>
    <n v="0"/>
    <n v="0"/>
    <n v="0"/>
  </r>
  <r>
    <n v="653"/>
    <n v="0"/>
    <n v="3"/>
    <s v="Kalvik, Mr. Johannes Halvorsen"/>
    <n v="0"/>
    <x v="23"/>
    <n v="0"/>
    <n v="0"/>
    <s v="8475"/>
    <n v="8.4332999999999991"/>
    <s v=""/>
    <s v="S"/>
    <n v="1"/>
    <n v="0"/>
    <n v="0"/>
    <x v="0"/>
    <n v="0"/>
    <n v="0"/>
    <n v="1"/>
    <n v="0"/>
    <n v="0"/>
  </r>
  <r>
    <n v="654"/>
    <n v="1"/>
    <n v="3"/>
    <s v="O'Leary, Miss. Hanora &quot;Norah&quot;"/>
    <n v="1"/>
    <x v="4"/>
    <n v="0"/>
    <n v="0"/>
    <s v="330919"/>
    <n v="7.8292000000000002"/>
    <s v=""/>
    <s v="Q"/>
    <n v="0"/>
    <n v="0"/>
    <n v="1"/>
    <x v="2"/>
    <n v="1"/>
    <n v="0"/>
    <n v="0"/>
    <n v="0"/>
    <n v="0"/>
  </r>
  <r>
    <n v="655"/>
    <n v="0"/>
    <n v="3"/>
    <s v="Hegarty, Miss. Hanora &quot;Nora&quot;"/>
    <n v="1"/>
    <x v="24"/>
    <n v="0"/>
    <n v="0"/>
    <s v="365226"/>
    <n v="6.75"/>
    <s v=""/>
    <s v="Q"/>
    <n v="0"/>
    <n v="0"/>
    <n v="1"/>
    <x v="2"/>
    <n v="1"/>
    <n v="0"/>
    <n v="0"/>
    <n v="0"/>
    <n v="0"/>
  </r>
  <r>
    <n v="656"/>
    <n v="0"/>
    <n v="2"/>
    <s v="Hickman, Mr. Leonard Mark"/>
    <n v="0"/>
    <x v="40"/>
    <n v="2"/>
    <n v="0"/>
    <s v="S.O.C. 14879"/>
    <n v="73.5"/>
    <s v=""/>
    <s v="S"/>
    <n v="1"/>
    <n v="0"/>
    <n v="0"/>
    <x v="0"/>
    <n v="0"/>
    <n v="0"/>
    <n v="1"/>
    <n v="0"/>
    <n v="0"/>
  </r>
  <r>
    <n v="657"/>
    <n v="0"/>
    <n v="3"/>
    <s v="Radeff, Mr. Alexander"/>
    <n v="0"/>
    <x v="4"/>
    <n v="0"/>
    <n v="0"/>
    <s v="349223"/>
    <n v="7.8958000000000004"/>
    <s v=""/>
    <s v="S"/>
    <n v="1"/>
    <n v="0"/>
    <n v="0"/>
    <x v="0"/>
    <n v="0"/>
    <n v="0"/>
    <n v="1"/>
    <n v="0"/>
    <n v="0"/>
  </r>
  <r>
    <n v="658"/>
    <n v="0"/>
    <n v="3"/>
    <s v="Bourke, Mrs. John (Catherine)"/>
    <n v="1"/>
    <x v="34"/>
    <n v="1"/>
    <n v="1"/>
    <s v="364849"/>
    <n v="15.5"/>
    <s v=""/>
    <s v="Q"/>
    <n v="0"/>
    <n v="0"/>
    <n v="1"/>
    <x v="1"/>
    <n v="0"/>
    <n v="1"/>
    <n v="0"/>
    <n v="0"/>
    <n v="0"/>
  </r>
  <r>
    <n v="659"/>
    <n v="0"/>
    <n v="2"/>
    <s v="Eitemiller, Mr. George Floyd"/>
    <n v="0"/>
    <x v="39"/>
    <n v="0"/>
    <n v="0"/>
    <s v="29751"/>
    <n v="13"/>
    <s v=""/>
    <s v="S"/>
    <n v="1"/>
    <n v="0"/>
    <n v="0"/>
    <x v="0"/>
    <n v="0"/>
    <n v="0"/>
    <n v="1"/>
    <n v="0"/>
    <n v="0"/>
  </r>
  <r>
    <n v="660"/>
    <n v="0"/>
    <n v="1"/>
    <s v="Newell, Mr. Arthur Webster"/>
    <n v="0"/>
    <x v="10"/>
    <n v="0"/>
    <n v="2"/>
    <s v="35273"/>
    <n v="113.27500000000001"/>
    <s v="D48"/>
    <s v="C"/>
    <n v="0"/>
    <n v="1"/>
    <n v="0"/>
    <x v="0"/>
    <n v="0"/>
    <n v="0"/>
    <n v="1"/>
    <n v="0"/>
    <n v="0"/>
  </r>
  <r>
    <n v="661"/>
    <n v="1"/>
    <n v="1"/>
    <s v="Frauenthal, Dr. Henry William"/>
    <n v="0"/>
    <x v="53"/>
    <n v="2"/>
    <n v="0"/>
    <s v="PC 17611"/>
    <n v="133.65"/>
    <s v=""/>
    <s v="S"/>
    <n v="1"/>
    <n v="0"/>
    <n v="0"/>
    <x v="6"/>
    <n v="0"/>
    <n v="0"/>
    <n v="0"/>
    <n v="0"/>
    <n v="1"/>
  </r>
  <r>
    <n v="662"/>
    <n v="0"/>
    <n v="3"/>
    <s v="Badt, Mr. Mohamed"/>
    <n v="0"/>
    <x v="20"/>
    <n v="0"/>
    <n v="0"/>
    <s v="2623"/>
    <n v="7.2249999999999996"/>
    <s v=""/>
    <s v="C"/>
    <n v="0"/>
    <n v="1"/>
    <n v="0"/>
    <x v="0"/>
    <n v="0"/>
    <n v="0"/>
    <n v="1"/>
    <n v="0"/>
    <n v="0"/>
  </r>
  <r>
    <n v="663"/>
    <n v="0"/>
    <n v="1"/>
    <s v="Colley, Mr. Edward Pomeroy"/>
    <n v="0"/>
    <x v="45"/>
    <n v="0"/>
    <n v="0"/>
    <s v="5727"/>
    <n v="25.587499999999999"/>
    <s v="E58"/>
    <s v="S"/>
    <n v="1"/>
    <n v="0"/>
    <n v="0"/>
    <x v="0"/>
    <n v="0"/>
    <n v="0"/>
    <n v="1"/>
    <n v="0"/>
    <n v="0"/>
  </r>
  <r>
    <n v="664"/>
    <n v="0"/>
    <n v="3"/>
    <s v="Coleff, Mr. Peju"/>
    <n v="0"/>
    <x v="54"/>
    <n v="0"/>
    <n v="0"/>
    <s v="349210"/>
    <n v="7.4958"/>
    <s v=""/>
    <s v="S"/>
    <n v="1"/>
    <n v="0"/>
    <n v="0"/>
    <x v="0"/>
    <n v="0"/>
    <n v="0"/>
    <n v="1"/>
    <n v="0"/>
    <n v="0"/>
  </r>
  <r>
    <n v="665"/>
    <n v="1"/>
    <n v="3"/>
    <s v="Lindqvist, Mr. Eino William"/>
    <n v="0"/>
    <x v="11"/>
    <n v="1"/>
    <n v="0"/>
    <s v="STON/O 2. 3101285"/>
    <n v="7.9249999999999998"/>
    <s v=""/>
    <s v="S"/>
    <n v="1"/>
    <n v="0"/>
    <n v="0"/>
    <x v="0"/>
    <n v="0"/>
    <n v="0"/>
    <n v="1"/>
    <n v="0"/>
    <n v="0"/>
  </r>
  <r>
    <n v="666"/>
    <n v="0"/>
    <n v="2"/>
    <s v="Hickman, Mr. Lewis"/>
    <n v="0"/>
    <x v="34"/>
    <n v="2"/>
    <n v="0"/>
    <s v="S.O.C. 14879"/>
    <n v="73.5"/>
    <s v=""/>
    <s v="S"/>
    <n v="1"/>
    <n v="0"/>
    <n v="0"/>
    <x v="0"/>
    <n v="0"/>
    <n v="0"/>
    <n v="1"/>
    <n v="0"/>
    <n v="0"/>
  </r>
  <r>
    <n v="667"/>
    <n v="0"/>
    <n v="2"/>
    <s v="Butler, Mr. Reginald Fenton"/>
    <n v="0"/>
    <x v="36"/>
    <n v="0"/>
    <n v="0"/>
    <s v="234686"/>
    <n v="13"/>
    <s v=""/>
    <s v="S"/>
    <n v="1"/>
    <n v="0"/>
    <n v="0"/>
    <x v="0"/>
    <n v="0"/>
    <n v="0"/>
    <n v="1"/>
    <n v="0"/>
    <n v="0"/>
  </r>
  <r>
    <n v="668"/>
    <n v="0"/>
    <n v="3"/>
    <s v="Rommetvedt, Mr. Knud Paust"/>
    <n v="0"/>
    <x v="4"/>
    <n v="0"/>
    <n v="0"/>
    <s v="312993"/>
    <n v="7.7750000000000004"/>
    <s v=""/>
    <s v="S"/>
    <n v="1"/>
    <n v="0"/>
    <n v="0"/>
    <x v="0"/>
    <n v="0"/>
    <n v="0"/>
    <n v="1"/>
    <n v="0"/>
    <n v="0"/>
  </r>
  <r>
    <n v="669"/>
    <n v="0"/>
    <n v="3"/>
    <s v="Cook, Mr. Jacob"/>
    <n v="0"/>
    <x v="59"/>
    <n v="0"/>
    <n v="0"/>
    <s v="A/5 3536"/>
    <n v="8.0500000000000007"/>
    <s v=""/>
    <s v="S"/>
    <n v="1"/>
    <n v="0"/>
    <n v="0"/>
    <x v="0"/>
    <n v="0"/>
    <n v="0"/>
    <n v="1"/>
    <n v="0"/>
    <n v="0"/>
  </r>
  <r>
    <n v="670"/>
    <n v="1"/>
    <n v="1"/>
    <s v="Taylor, Mrs. Elmer Zebley (Juliet Cummins Wright)"/>
    <n v="1"/>
    <x v="4"/>
    <n v="1"/>
    <n v="0"/>
    <s v="19996"/>
    <n v="52"/>
    <s v="C126"/>
    <s v="S"/>
    <n v="1"/>
    <n v="0"/>
    <n v="0"/>
    <x v="1"/>
    <n v="0"/>
    <n v="1"/>
    <n v="0"/>
    <n v="0"/>
    <n v="0"/>
  </r>
  <r>
    <n v="671"/>
    <n v="1"/>
    <n v="2"/>
    <s v="Brown, Mrs. Thomas William Solomon (Elizabeth Catherine Ford)"/>
    <n v="1"/>
    <x v="20"/>
    <n v="1"/>
    <n v="1"/>
    <s v="29750"/>
    <n v="39"/>
    <s v=""/>
    <s v="S"/>
    <n v="1"/>
    <n v="0"/>
    <n v="0"/>
    <x v="1"/>
    <n v="0"/>
    <n v="1"/>
    <n v="0"/>
    <n v="0"/>
    <n v="0"/>
  </r>
  <r>
    <n v="672"/>
    <n v="0"/>
    <n v="1"/>
    <s v="Davidson, Mr. Thornton"/>
    <n v="0"/>
    <x v="14"/>
    <n v="1"/>
    <n v="0"/>
    <s v="F.C. 12750"/>
    <n v="52"/>
    <s v="B71"/>
    <s v="S"/>
    <n v="1"/>
    <n v="0"/>
    <n v="0"/>
    <x v="0"/>
    <n v="0"/>
    <n v="0"/>
    <n v="1"/>
    <n v="0"/>
    <n v="0"/>
  </r>
  <r>
    <n v="673"/>
    <n v="0"/>
    <n v="2"/>
    <s v="Mitchell, Mr. Henry Michael"/>
    <n v="0"/>
    <x v="68"/>
    <n v="0"/>
    <n v="0"/>
    <s v="C.A. 24580"/>
    <n v="10.5"/>
    <s v=""/>
    <s v="S"/>
    <n v="1"/>
    <n v="0"/>
    <n v="0"/>
    <x v="0"/>
    <n v="0"/>
    <n v="0"/>
    <n v="1"/>
    <n v="0"/>
    <n v="0"/>
  </r>
  <r>
    <n v="674"/>
    <n v="1"/>
    <n v="2"/>
    <s v="Wilhelms, Mr. Charles"/>
    <n v="0"/>
    <x v="14"/>
    <n v="0"/>
    <n v="0"/>
    <s v="244270"/>
    <n v="13"/>
    <s v=""/>
    <s v="S"/>
    <n v="1"/>
    <n v="0"/>
    <n v="0"/>
    <x v="0"/>
    <n v="0"/>
    <n v="0"/>
    <n v="1"/>
    <n v="0"/>
    <n v="0"/>
  </r>
  <r>
    <n v="675"/>
    <n v="0"/>
    <n v="2"/>
    <s v="Watson, Mr. Ennis Hastings"/>
    <n v="0"/>
    <x v="4"/>
    <n v="0"/>
    <n v="0"/>
    <s v="239856"/>
    <n v="0"/>
    <s v=""/>
    <s v="S"/>
    <n v="1"/>
    <n v="0"/>
    <n v="0"/>
    <x v="0"/>
    <n v="0"/>
    <n v="0"/>
    <n v="1"/>
    <n v="0"/>
    <n v="0"/>
  </r>
  <r>
    <n v="676"/>
    <n v="0"/>
    <n v="3"/>
    <s v="Edvardsson, Mr. Gustaf Hjalmar"/>
    <n v="0"/>
    <x v="24"/>
    <n v="0"/>
    <n v="0"/>
    <s v="349912"/>
    <n v="7.7750000000000004"/>
    <s v=""/>
    <s v="S"/>
    <n v="1"/>
    <n v="0"/>
    <n v="0"/>
    <x v="0"/>
    <n v="0"/>
    <n v="0"/>
    <n v="1"/>
    <n v="0"/>
    <n v="0"/>
  </r>
  <r>
    <n v="677"/>
    <n v="0"/>
    <n v="3"/>
    <s v="Sawyer, Mr. Frederick Charles"/>
    <n v="0"/>
    <x v="4"/>
    <n v="0"/>
    <n v="0"/>
    <s v="342826"/>
    <n v="8.0500000000000007"/>
    <s v=""/>
    <s v="S"/>
    <n v="1"/>
    <n v="0"/>
    <n v="0"/>
    <x v="0"/>
    <n v="0"/>
    <n v="0"/>
    <n v="1"/>
    <n v="0"/>
    <n v="0"/>
  </r>
  <r>
    <n v="678"/>
    <n v="1"/>
    <n v="3"/>
    <s v="Turja, Miss. Anna Sofia"/>
    <n v="1"/>
    <x v="24"/>
    <n v="0"/>
    <n v="0"/>
    <s v="4138"/>
    <n v="9.8416999999999994"/>
    <s v=""/>
    <s v="S"/>
    <n v="1"/>
    <n v="0"/>
    <n v="0"/>
    <x v="2"/>
    <n v="1"/>
    <n v="0"/>
    <n v="0"/>
    <n v="0"/>
    <n v="0"/>
  </r>
  <r>
    <n v="679"/>
    <n v="0"/>
    <n v="3"/>
    <s v="Goodwin, Mrs. Frederick (Augusta Tyler)"/>
    <n v="1"/>
    <x v="59"/>
    <n v="1"/>
    <n v="6"/>
    <s v="CA 2144"/>
    <n v="46.9"/>
    <s v=""/>
    <s v="S"/>
    <n v="1"/>
    <n v="0"/>
    <n v="0"/>
    <x v="1"/>
    <n v="0"/>
    <n v="1"/>
    <n v="0"/>
    <n v="0"/>
    <n v="0"/>
  </r>
  <r>
    <n v="680"/>
    <n v="1"/>
    <n v="1"/>
    <s v="Cardeza, Mr. Thomas Drake Martinez"/>
    <n v="0"/>
    <x v="54"/>
    <n v="0"/>
    <n v="1"/>
    <s v="PC 17755"/>
    <n v="512.32920000000001"/>
    <s v="B51 B53 B55"/>
    <s v="C"/>
    <n v="0"/>
    <n v="1"/>
    <n v="0"/>
    <x v="0"/>
    <n v="0"/>
    <n v="0"/>
    <n v="1"/>
    <n v="0"/>
    <n v="0"/>
  </r>
  <r>
    <n v="681"/>
    <n v="0"/>
    <n v="3"/>
    <s v="Peters, Miss. Katie"/>
    <n v="1"/>
    <x v="4"/>
    <n v="0"/>
    <n v="0"/>
    <s v="330935"/>
    <n v="8.1374999999999993"/>
    <s v=""/>
    <s v="Q"/>
    <n v="0"/>
    <n v="0"/>
    <n v="1"/>
    <x v="2"/>
    <n v="1"/>
    <n v="0"/>
    <n v="0"/>
    <n v="0"/>
    <n v="0"/>
  </r>
  <r>
    <n v="682"/>
    <n v="1"/>
    <n v="1"/>
    <s v="Hassab, Mr. Hammad"/>
    <n v="0"/>
    <x v="7"/>
    <n v="0"/>
    <n v="0"/>
    <s v="PC 17572"/>
    <n v="76.729200000000006"/>
    <s v="D49"/>
    <s v="C"/>
    <n v="0"/>
    <n v="1"/>
    <n v="0"/>
    <x v="0"/>
    <n v="0"/>
    <n v="0"/>
    <n v="1"/>
    <n v="0"/>
    <n v="0"/>
  </r>
  <r>
    <n v="683"/>
    <n v="0"/>
    <n v="3"/>
    <s v="Olsvigen, Mr. Thor Anderson"/>
    <n v="0"/>
    <x v="11"/>
    <n v="0"/>
    <n v="0"/>
    <s v="6563"/>
    <n v="9.2249999999999996"/>
    <s v=""/>
    <s v="S"/>
    <n v="1"/>
    <n v="0"/>
    <n v="0"/>
    <x v="0"/>
    <n v="0"/>
    <n v="0"/>
    <n v="1"/>
    <n v="0"/>
    <n v="0"/>
  </r>
  <r>
    <n v="684"/>
    <n v="0"/>
    <n v="3"/>
    <s v="Goodwin, Mr. Charles Edward"/>
    <n v="0"/>
    <x v="8"/>
    <n v="5"/>
    <n v="2"/>
    <s v="CA 2144"/>
    <n v="46.9"/>
    <s v=""/>
    <s v="S"/>
    <n v="1"/>
    <n v="0"/>
    <n v="0"/>
    <x v="0"/>
    <n v="0"/>
    <n v="0"/>
    <n v="1"/>
    <n v="0"/>
    <n v="0"/>
  </r>
  <r>
    <n v="685"/>
    <n v="0"/>
    <n v="2"/>
    <s v="Brown, Mr. Thomas William Solomon"/>
    <n v="0"/>
    <x v="60"/>
    <n v="1"/>
    <n v="1"/>
    <s v="29750"/>
    <n v="39"/>
    <s v=""/>
    <s v="S"/>
    <n v="1"/>
    <n v="0"/>
    <n v="0"/>
    <x v="0"/>
    <n v="0"/>
    <n v="0"/>
    <n v="1"/>
    <n v="0"/>
    <n v="0"/>
  </r>
  <r>
    <n v="686"/>
    <n v="0"/>
    <n v="2"/>
    <s v="Laroche, Mr. Joseph Philippe Lemercier"/>
    <n v="0"/>
    <x v="36"/>
    <n v="1"/>
    <n v="2"/>
    <s v="SC/Paris 2123"/>
    <n v="41.5792"/>
    <s v=""/>
    <s v="C"/>
    <n v="0"/>
    <n v="1"/>
    <n v="0"/>
    <x v="0"/>
    <n v="0"/>
    <n v="0"/>
    <n v="1"/>
    <n v="0"/>
    <n v="0"/>
  </r>
  <r>
    <n v="687"/>
    <n v="0"/>
    <n v="3"/>
    <s v="Panula, Mr. Jaako Arnold"/>
    <n v="0"/>
    <x v="8"/>
    <n v="4"/>
    <n v="1"/>
    <s v="3101295"/>
    <n v="39.6875"/>
    <s v=""/>
    <s v="S"/>
    <n v="1"/>
    <n v="0"/>
    <n v="0"/>
    <x v="0"/>
    <n v="0"/>
    <n v="0"/>
    <n v="1"/>
    <n v="0"/>
    <n v="0"/>
  </r>
  <r>
    <n v="688"/>
    <n v="0"/>
    <n v="3"/>
    <s v="Dakic, Mr. Branko"/>
    <n v="0"/>
    <x v="19"/>
    <n v="0"/>
    <n v="0"/>
    <s v="349228"/>
    <n v="10.1708"/>
    <s v=""/>
    <s v="S"/>
    <n v="1"/>
    <n v="0"/>
    <n v="0"/>
    <x v="0"/>
    <n v="0"/>
    <n v="0"/>
    <n v="1"/>
    <n v="0"/>
    <n v="0"/>
  </r>
  <r>
    <n v="689"/>
    <n v="0"/>
    <n v="3"/>
    <s v="Fischer, Mr. Eberhard Thelander"/>
    <n v="0"/>
    <x v="24"/>
    <n v="0"/>
    <n v="0"/>
    <s v="350036"/>
    <n v="7.7957999999999998"/>
    <s v=""/>
    <s v="S"/>
    <n v="1"/>
    <n v="0"/>
    <n v="0"/>
    <x v="0"/>
    <n v="0"/>
    <n v="0"/>
    <n v="1"/>
    <n v="0"/>
    <n v="0"/>
  </r>
  <r>
    <n v="690"/>
    <n v="1"/>
    <n v="1"/>
    <s v="Madill, Miss. Georgette Alexandra"/>
    <n v="1"/>
    <x v="16"/>
    <n v="0"/>
    <n v="1"/>
    <s v="24160"/>
    <n v="211.33750000000001"/>
    <s v="B5"/>
    <s v="S"/>
    <n v="1"/>
    <n v="0"/>
    <n v="0"/>
    <x v="2"/>
    <n v="1"/>
    <n v="0"/>
    <n v="0"/>
    <n v="0"/>
    <n v="0"/>
  </r>
  <r>
    <n v="691"/>
    <n v="1"/>
    <n v="1"/>
    <s v="Dick, Mr. Albert Adrian"/>
    <n v="0"/>
    <x v="14"/>
    <n v="1"/>
    <n v="0"/>
    <s v="17474"/>
    <n v="57"/>
    <s v="B20"/>
    <s v="S"/>
    <n v="1"/>
    <n v="0"/>
    <n v="0"/>
    <x v="0"/>
    <n v="0"/>
    <n v="0"/>
    <n v="1"/>
    <n v="0"/>
    <n v="0"/>
  </r>
  <r>
    <n v="692"/>
    <n v="1"/>
    <n v="3"/>
    <s v="Karun, Miss. Manca"/>
    <n v="1"/>
    <x v="9"/>
    <n v="0"/>
    <n v="1"/>
    <s v="349256"/>
    <n v="13.416700000000001"/>
    <s v=""/>
    <s v="C"/>
    <n v="0"/>
    <n v="1"/>
    <n v="0"/>
    <x v="2"/>
    <n v="1"/>
    <n v="0"/>
    <n v="0"/>
    <n v="0"/>
    <n v="0"/>
  </r>
  <r>
    <n v="693"/>
    <n v="1"/>
    <n v="3"/>
    <s v="Lam, Mr. Ali"/>
    <n v="0"/>
    <x v="4"/>
    <n v="0"/>
    <n v="0"/>
    <s v="1601"/>
    <n v="56.495800000000003"/>
    <s v=""/>
    <s v="S"/>
    <n v="1"/>
    <n v="0"/>
    <n v="0"/>
    <x v="0"/>
    <n v="0"/>
    <n v="0"/>
    <n v="1"/>
    <n v="0"/>
    <n v="0"/>
  </r>
  <r>
    <n v="694"/>
    <n v="0"/>
    <n v="3"/>
    <s v="Saad, Mr. Khalil"/>
    <n v="0"/>
    <x v="36"/>
    <n v="0"/>
    <n v="0"/>
    <s v="2672"/>
    <n v="7.2249999999999996"/>
    <s v=""/>
    <s v="C"/>
    <n v="0"/>
    <n v="1"/>
    <n v="0"/>
    <x v="0"/>
    <n v="0"/>
    <n v="0"/>
    <n v="1"/>
    <n v="0"/>
    <n v="0"/>
  </r>
  <r>
    <n v="695"/>
    <n v="0"/>
    <n v="1"/>
    <s v="Weir, Col. John"/>
    <n v="0"/>
    <x v="60"/>
    <n v="0"/>
    <n v="0"/>
    <s v="113800"/>
    <n v="26.55"/>
    <s v=""/>
    <s v="S"/>
    <n v="1"/>
    <n v="0"/>
    <n v="0"/>
    <x v="13"/>
    <n v="0"/>
    <n v="0"/>
    <n v="0"/>
    <n v="0"/>
    <n v="1"/>
  </r>
  <r>
    <n v="696"/>
    <n v="0"/>
    <n v="2"/>
    <s v="Chapman, Mr. Charles Henry"/>
    <n v="0"/>
    <x v="57"/>
    <n v="0"/>
    <n v="0"/>
    <s v="248731"/>
    <n v="13.5"/>
    <s v=""/>
    <s v="S"/>
    <n v="1"/>
    <n v="0"/>
    <n v="0"/>
    <x v="0"/>
    <n v="0"/>
    <n v="0"/>
    <n v="1"/>
    <n v="0"/>
    <n v="0"/>
  </r>
  <r>
    <n v="697"/>
    <n v="0"/>
    <n v="3"/>
    <s v="Kelly, Mr. James"/>
    <n v="0"/>
    <x v="49"/>
    <n v="0"/>
    <n v="0"/>
    <s v="363592"/>
    <n v="8.0500000000000007"/>
    <s v=""/>
    <s v="S"/>
    <n v="1"/>
    <n v="0"/>
    <n v="0"/>
    <x v="0"/>
    <n v="0"/>
    <n v="0"/>
    <n v="1"/>
    <n v="0"/>
    <n v="0"/>
  </r>
  <r>
    <n v="698"/>
    <n v="1"/>
    <n v="3"/>
    <s v="Mullens, Miss. Katherine &quot;Katie&quot;"/>
    <n v="1"/>
    <x v="4"/>
    <n v="0"/>
    <n v="0"/>
    <s v="35852"/>
    <n v="7.7332999999999998"/>
    <s v=""/>
    <s v="Q"/>
    <n v="0"/>
    <n v="0"/>
    <n v="1"/>
    <x v="2"/>
    <n v="1"/>
    <n v="0"/>
    <n v="0"/>
    <n v="0"/>
    <n v="0"/>
  </r>
  <r>
    <n v="699"/>
    <n v="0"/>
    <n v="1"/>
    <s v="Thayer, Mr. John Borland"/>
    <n v="0"/>
    <x v="27"/>
    <n v="1"/>
    <n v="1"/>
    <s v="17421"/>
    <n v="110.88330000000001"/>
    <s v="C68"/>
    <s v="C"/>
    <n v="0"/>
    <n v="1"/>
    <n v="0"/>
    <x v="0"/>
    <n v="0"/>
    <n v="0"/>
    <n v="1"/>
    <n v="0"/>
    <n v="0"/>
  </r>
  <r>
    <n v="700"/>
    <n v="0"/>
    <n v="3"/>
    <s v="Humblen, Mr. Adolf Mathias Nicolai Olsen"/>
    <n v="0"/>
    <x v="22"/>
    <n v="0"/>
    <n v="0"/>
    <s v="348121"/>
    <n v="7.65"/>
    <s v="F G63"/>
    <s v="S"/>
    <n v="1"/>
    <n v="0"/>
    <n v="0"/>
    <x v="0"/>
    <n v="0"/>
    <n v="0"/>
    <n v="1"/>
    <n v="0"/>
    <n v="0"/>
  </r>
  <r>
    <n v="701"/>
    <n v="1"/>
    <n v="1"/>
    <s v="Astor, Mrs. John Jacob (Madeleine Talmadge Force)"/>
    <n v="1"/>
    <x v="24"/>
    <n v="1"/>
    <n v="0"/>
    <s v="PC 17757"/>
    <n v="227.52500000000001"/>
    <s v="C62 C64"/>
    <s v="C"/>
    <n v="0"/>
    <n v="1"/>
    <n v="0"/>
    <x v="1"/>
    <n v="0"/>
    <n v="1"/>
    <n v="0"/>
    <n v="0"/>
    <n v="0"/>
  </r>
  <r>
    <n v="702"/>
    <n v="1"/>
    <n v="1"/>
    <s v="Silverthorne, Mr. Spencer Victor"/>
    <n v="0"/>
    <x v="3"/>
    <n v="0"/>
    <n v="0"/>
    <s v="PC 17475"/>
    <n v="26.287500000000001"/>
    <s v="E24"/>
    <s v="S"/>
    <n v="1"/>
    <n v="0"/>
    <n v="0"/>
    <x v="0"/>
    <n v="0"/>
    <n v="0"/>
    <n v="1"/>
    <n v="0"/>
    <n v="0"/>
  </r>
  <r>
    <n v="703"/>
    <n v="0"/>
    <n v="3"/>
    <s v="Barbara, Miss. Saiide"/>
    <n v="1"/>
    <x v="24"/>
    <n v="0"/>
    <n v="1"/>
    <s v="2691"/>
    <n v="14.4542"/>
    <s v=""/>
    <s v="C"/>
    <n v="0"/>
    <n v="1"/>
    <n v="0"/>
    <x v="2"/>
    <n v="1"/>
    <n v="0"/>
    <n v="0"/>
    <n v="0"/>
    <n v="0"/>
  </r>
  <r>
    <n v="704"/>
    <n v="0"/>
    <n v="3"/>
    <s v="Gallagher, Mr. Martin"/>
    <n v="0"/>
    <x v="36"/>
    <n v="0"/>
    <n v="0"/>
    <s v="36864"/>
    <n v="7.7416999999999998"/>
    <s v=""/>
    <s v="Q"/>
    <n v="0"/>
    <n v="0"/>
    <n v="1"/>
    <x v="0"/>
    <n v="0"/>
    <n v="0"/>
    <n v="1"/>
    <n v="0"/>
    <n v="0"/>
  </r>
  <r>
    <n v="705"/>
    <n v="0"/>
    <n v="3"/>
    <s v="Hansen, Mr. Henrik Juul"/>
    <n v="0"/>
    <x v="2"/>
    <n v="1"/>
    <n v="0"/>
    <s v="350025"/>
    <n v="7.8541999999999996"/>
    <s v=""/>
    <s v="S"/>
    <n v="1"/>
    <n v="0"/>
    <n v="0"/>
    <x v="0"/>
    <n v="0"/>
    <n v="0"/>
    <n v="1"/>
    <n v="0"/>
    <n v="0"/>
  </r>
  <r>
    <n v="706"/>
    <n v="0"/>
    <n v="2"/>
    <s v="Morley, Mr. Henry Samuel (&quot;Mr Henry Marshall&quot;)"/>
    <n v="0"/>
    <x v="12"/>
    <n v="0"/>
    <n v="0"/>
    <s v="250655"/>
    <n v="26"/>
    <s v=""/>
    <s v="S"/>
    <n v="1"/>
    <n v="0"/>
    <n v="0"/>
    <x v="0"/>
    <n v="0"/>
    <n v="0"/>
    <n v="1"/>
    <n v="0"/>
    <n v="0"/>
  </r>
  <r>
    <n v="707"/>
    <n v="1"/>
    <n v="2"/>
    <s v="Kelly, Mrs. Florence &quot;Fannie&quot;"/>
    <n v="1"/>
    <x v="32"/>
    <n v="0"/>
    <n v="0"/>
    <s v="223596"/>
    <n v="13.5"/>
    <s v=""/>
    <s v="S"/>
    <n v="1"/>
    <n v="0"/>
    <n v="0"/>
    <x v="1"/>
    <n v="0"/>
    <n v="1"/>
    <n v="0"/>
    <n v="0"/>
    <n v="0"/>
  </r>
  <r>
    <n v="708"/>
    <n v="1"/>
    <n v="1"/>
    <s v="Calderhead, Mr. Edward Pennington"/>
    <n v="0"/>
    <x v="22"/>
    <n v="0"/>
    <n v="0"/>
    <s v="PC 17476"/>
    <n v="26.287500000000001"/>
    <s v="E24"/>
    <s v="S"/>
    <n v="1"/>
    <n v="0"/>
    <n v="0"/>
    <x v="0"/>
    <n v="0"/>
    <n v="0"/>
    <n v="1"/>
    <n v="0"/>
    <n v="0"/>
  </r>
  <r>
    <n v="709"/>
    <n v="1"/>
    <n v="1"/>
    <s v="Cleaver, Miss. Alice"/>
    <n v="1"/>
    <x v="0"/>
    <n v="0"/>
    <n v="0"/>
    <s v="113781"/>
    <n v="151.55000000000001"/>
    <s v=""/>
    <s v="S"/>
    <n v="1"/>
    <n v="0"/>
    <n v="0"/>
    <x v="2"/>
    <n v="1"/>
    <n v="0"/>
    <n v="0"/>
    <n v="0"/>
    <n v="0"/>
  </r>
  <r>
    <n v="710"/>
    <n v="1"/>
    <n v="3"/>
    <s v="Moubarek, Master. Halim Gonios (&quot;William George&quot;)"/>
    <n v="0"/>
    <x v="4"/>
    <n v="1"/>
    <n v="1"/>
    <s v="2661"/>
    <n v="15.245799999999999"/>
    <s v=""/>
    <s v="C"/>
    <n v="0"/>
    <n v="1"/>
    <n v="0"/>
    <x v="3"/>
    <n v="0"/>
    <n v="0"/>
    <n v="0"/>
    <n v="1"/>
    <n v="0"/>
  </r>
  <r>
    <n v="711"/>
    <n v="1"/>
    <n v="1"/>
    <s v="Mayne, Mlle. Berthe Antonine (&quot;Mrs de Villiers&quot;)"/>
    <n v="1"/>
    <x v="40"/>
    <n v="0"/>
    <n v="0"/>
    <s v="PC 17482"/>
    <n v="49.504199999999997"/>
    <s v="C90"/>
    <s v="C"/>
    <n v="0"/>
    <n v="1"/>
    <n v="0"/>
    <x v="12"/>
    <n v="1"/>
    <n v="0"/>
    <n v="0"/>
    <n v="0"/>
    <n v="0"/>
  </r>
  <r>
    <n v="712"/>
    <n v="0"/>
    <n v="1"/>
    <s v="Klaber, Mr. Herman"/>
    <n v="0"/>
    <x v="4"/>
    <n v="0"/>
    <n v="0"/>
    <s v="113028"/>
    <n v="26.55"/>
    <s v="C124"/>
    <s v="S"/>
    <n v="1"/>
    <n v="0"/>
    <n v="0"/>
    <x v="0"/>
    <n v="0"/>
    <n v="0"/>
    <n v="1"/>
    <n v="0"/>
    <n v="0"/>
  </r>
  <r>
    <n v="713"/>
    <n v="1"/>
    <n v="1"/>
    <s v="Taylor, Mr. Elmer Zebley"/>
    <n v="0"/>
    <x v="64"/>
    <n v="1"/>
    <n v="0"/>
    <s v="19996"/>
    <n v="52"/>
    <s v="C126"/>
    <s v="S"/>
    <n v="1"/>
    <n v="0"/>
    <n v="0"/>
    <x v="0"/>
    <n v="0"/>
    <n v="0"/>
    <n v="1"/>
    <n v="0"/>
    <n v="0"/>
  </r>
  <r>
    <n v="714"/>
    <n v="0"/>
    <n v="3"/>
    <s v="Larsson, Mr. August Viktor"/>
    <n v="0"/>
    <x v="28"/>
    <n v="0"/>
    <n v="0"/>
    <s v="7545"/>
    <n v="9.4832999999999998"/>
    <s v=""/>
    <s v="S"/>
    <n v="1"/>
    <n v="0"/>
    <n v="0"/>
    <x v="0"/>
    <n v="0"/>
    <n v="0"/>
    <n v="1"/>
    <n v="0"/>
    <n v="0"/>
  </r>
  <r>
    <n v="715"/>
    <n v="0"/>
    <n v="2"/>
    <s v="Greenberg, Mr. Samuel"/>
    <n v="0"/>
    <x v="57"/>
    <n v="0"/>
    <n v="0"/>
    <s v="250647"/>
    <n v="13"/>
    <s v=""/>
    <s v="S"/>
    <n v="1"/>
    <n v="0"/>
    <n v="0"/>
    <x v="0"/>
    <n v="0"/>
    <n v="0"/>
    <n v="1"/>
    <n v="0"/>
    <n v="0"/>
  </r>
  <r>
    <n v="716"/>
    <n v="0"/>
    <n v="3"/>
    <s v="Soholt, Mr. Peter Andreas Lauritz Andersen"/>
    <n v="0"/>
    <x v="19"/>
    <n v="0"/>
    <n v="0"/>
    <s v="348124"/>
    <n v="7.65"/>
    <s v="F G73"/>
    <s v="S"/>
    <n v="1"/>
    <n v="0"/>
    <n v="0"/>
    <x v="0"/>
    <n v="0"/>
    <n v="0"/>
    <n v="1"/>
    <n v="0"/>
    <n v="0"/>
  </r>
  <r>
    <n v="717"/>
    <n v="1"/>
    <n v="1"/>
    <s v="Endres, Miss. Caroline Louise"/>
    <n v="1"/>
    <x v="1"/>
    <n v="0"/>
    <n v="0"/>
    <s v="PC 17757"/>
    <n v="227.52500000000001"/>
    <s v="C45"/>
    <s v="C"/>
    <n v="0"/>
    <n v="1"/>
    <n v="0"/>
    <x v="2"/>
    <n v="1"/>
    <n v="0"/>
    <n v="0"/>
    <n v="0"/>
    <n v="0"/>
  </r>
  <r>
    <n v="718"/>
    <n v="1"/>
    <n v="2"/>
    <s v="Troutt, Miss. Edwina Celia &quot;Winnie&quot;"/>
    <n v="1"/>
    <x v="7"/>
    <n v="0"/>
    <n v="0"/>
    <s v="34218"/>
    <n v="10.5"/>
    <s v="E101"/>
    <s v="S"/>
    <n v="1"/>
    <n v="0"/>
    <n v="0"/>
    <x v="2"/>
    <n v="1"/>
    <n v="0"/>
    <n v="0"/>
    <n v="0"/>
    <n v="0"/>
  </r>
  <r>
    <n v="719"/>
    <n v="0"/>
    <n v="3"/>
    <s v="McEvoy, Mr. Michael"/>
    <n v="0"/>
    <x v="4"/>
    <n v="0"/>
    <n v="0"/>
    <s v="36568"/>
    <n v="15.5"/>
    <s v=""/>
    <s v="Q"/>
    <n v="0"/>
    <n v="0"/>
    <n v="1"/>
    <x v="0"/>
    <n v="0"/>
    <n v="0"/>
    <n v="1"/>
    <n v="0"/>
    <n v="0"/>
  </r>
  <r>
    <n v="720"/>
    <n v="0"/>
    <n v="3"/>
    <s v="Johnson, Mr. Malkolm Joackim"/>
    <n v="0"/>
    <x v="38"/>
    <n v="0"/>
    <n v="0"/>
    <s v="347062"/>
    <n v="7.7750000000000004"/>
    <s v=""/>
    <s v="S"/>
    <n v="1"/>
    <n v="0"/>
    <n v="0"/>
    <x v="0"/>
    <n v="0"/>
    <n v="0"/>
    <n v="1"/>
    <n v="0"/>
    <n v="0"/>
  </r>
  <r>
    <n v="721"/>
    <n v="1"/>
    <n v="2"/>
    <s v="Harper, Miss. Annie Jessie &quot;Nina&quot;"/>
    <n v="1"/>
    <x v="69"/>
    <n v="0"/>
    <n v="1"/>
    <s v="248727"/>
    <n v="33"/>
    <s v=""/>
    <s v="S"/>
    <n v="1"/>
    <n v="0"/>
    <n v="0"/>
    <x v="2"/>
    <n v="1"/>
    <n v="0"/>
    <n v="0"/>
    <n v="0"/>
    <n v="0"/>
  </r>
  <r>
    <n v="722"/>
    <n v="0"/>
    <n v="3"/>
    <s v="Jensen, Mr. Svend Lauritz"/>
    <n v="0"/>
    <x v="33"/>
    <n v="1"/>
    <n v="0"/>
    <s v="350048"/>
    <n v="7.0541999999999998"/>
    <s v=""/>
    <s v="S"/>
    <n v="1"/>
    <n v="0"/>
    <n v="0"/>
    <x v="0"/>
    <n v="0"/>
    <n v="0"/>
    <n v="1"/>
    <n v="0"/>
    <n v="0"/>
  </r>
  <r>
    <n v="723"/>
    <n v="0"/>
    <n v="2"/>
    <s v="Gillespie, Mr. William Henry"/>
    <n v="0"/>
    <x v="15"/>
    <n v="0"/>
    <n v="0"/>
    <s v="12233"/>
    <n v="13"/>
    <s v=""/>
    <s v="S"/>
    <n v="1"/>
    <n v="0"/>
    <n v="0"/>
    <x v="0"/>
    <n v="0"/>
    <n v="0"/>
    <n v="1"/>
    <n v="0"/>
    <n v="0"/>
  </r>
  <r>
    <n v="724"/>
    <n v="0"/>
    <n v="2"/>
    <s v="Hodges, Mr. Henry Price"/>
    <n v="0"/>
    <x v="53"/>
    <n v="0"/>
    <n v="0"/>
    <s v="250643"/>
    <n v="13"/>
    <s v=""/>
    <s v="S"/>
    <n v="1"/>
    <n v="0"/>
    <n v="0"/>
    <x v="0"/>
    <n v="0"/>
    <n v="0"/>
    <n v="1"/>
    <n v="0"/>
    <n v="0"/>
  </r>
  <r>
    <n v="725"/>
    <n v="1"/>
    <n v="1"/>
    <s v="Chambers, Mr. Norman Campbell"/>
    <n v="0"/>
    <x v="7"/>
    <n v="1"/>
    <n v="0"/>
    <s v="113806"/>
    <n v="53.1"/>
    <s v="E8"/>
    <s v="S"/>
    <n v="1"/>
    <n v="0"/>
    <n v="0"/>
    <x v="0"/>
    <n v="0"/>
    <n v="0"/>
    <n v="1"/>
    <n v="0"/>
    <n v="0"/>
  </r>
  <r>
    <n v="726"/>
    <n v="0"/>
    <n v="3"/>
    <s v="Oreskovic, Mr. Luka"/>
    <n v="0"/>
    <x v="11"/>
    <n v="0"/>
    <n v="0"/>
    <s v="315094"/>
    <n v="8.6624999999999996"/>
    <s v=""/>
    <s v="S"/>
    <n v="1"/>
    <n v="0"/>
    <n v="0"/>
    <x v="0"/>
    <n v="0"/>
    <n v="0"/>
    <n v="1"/>
    <n v="0"/>
    <n v="0"/>
  </r>
  <r>
    <n v="727"/>
    <n v="1"/>
    <n v="2"/>
    <s v="Renouf, Mrs. Peter Henry (Lillian Jefferys)"/>
    <n v="1"/>
    <x v="37"/>
    <n v="3"/>
    <n v="0"/>
    <s v="31027"/>
    <n v="21"/>
    <s v=""/>
    <s v="S"/>
    <n v="1"/>
    <n v="0"/>
    <n v="0"/>
    <x v="1"/>
    <n v="0"/>
    <n v="1"/>
    <n v="0"/>
    <n v="0"/>
    <n v="0"/>
  </r>
  <r>
    <n v="728"/>
    <n v="1"/>
    <n v="3"/>
    <s v="Mannion, Miss. Margareth"/>
    <n v="1"/>
    <x v="4"/>
    <n v="0"/>
    <n v="0"/>
    <s v="36866"/>
    <n v="7.7374999999999998"/>
    <s v=""/>
    <s v="Q"/>
    <n v="0"/>
    <n v="0"/>
    <n v="1"/>
    <x v="2"/>
    <n v="1"/>
    <n v="0"/>
    <n v="0"/>
    <n v="0"/>
    <n v="0"/>
  </r>
  <r>
    <n v="729"/>
    <n v="0"/>
    <n v="2"/>
    <s v="Bryhl, Mr. Kurt Arnold Gottfrid"/>
    <n v="0"/>
    <x v="36"/>
    <n v="1"/>
    <n v="0"/>
    <s v="236853"/>
    <n v="26"/>
    <s v=""/>
    <s v="S"/>
    <n v="1"/>
    <n v="0"/>
    <n v="0"/>
    <x v="0"/>
    <n v="0"/>
    <n v="0"/>
    <n v="1"/>
    <n v="0"/>
    <n v="0"/>
  </r>
  <r>
    <n v="730"/>
    <n v="0"/>
    <n v="3"/>
    <s v="Ilmakangas, Miss. Pieta Sofia"/>
    <n v="1"/>
    <x v="36"/>
    <n v="1"/>
    <n v="0"/>
    <s v="STON/O2. 3101271"/>
    <n v="7.9249999999999998"/>
    <s v=""/>
    <s v="S"/>
    <n v="1"/>
    <n v="0"/>
    <n v="0"/>
    <x v="2"/>
    <n v="1"/>
    <n v="0"/>
    <n v="0"/>
    <n v="0"/>
    <n v="0"/>
  </r>
  <r>
    <n v="731"/>
    <n v="1"/>
    <n v="1"/>
    <s v="Allen, Miss. Elisabeth Walton"/>
    <n v="1"/>
    <x v="28"/>
    <n v="0"/>
    <n v="0"/>
    <s v="24160"/>
    <n v="211.33750000000001"/>
    <s v="B5"/>
    <s v="S"/>
    <n v="1"/>
    <n v="0"/>
    <n v="0"/>
    <x v="2"/>
    <n v="1"/>
    <n v="0"/>
    <n v="0"/>
    <n v="0"/>
    <n v="0"/>
  </r>
  <r>
    <n v="732"/>
    <n v="0"/>
    <n v="3"/>
    <s v="Hassan, Mr. Houssein G N"/>
    <n v="0"/>
    <x v="31"/>
    <n v="0"/>
    <n v="0"/>
    <s v="2699"/>
    <n v="18.787500000000001"/>
    <s v=""/>
    <s v="C"/>
    <n v="0"/>
    <n v="1"/>
    <n v="0"/>
    <x v="0"/>
    <n v="0"/>
    <n v="0"/>
    <n v="1"/>
    <n v="0"/>
    <n v="0"/>
  </r>
  <r>
    <n v="733"/>
    <n v="0"/>
    <n v="2"/>
    <s v="Knight, Mr. Robert J"/>
    <n v="0"/>
    <x v="4"/>
    <n v="0"/>
    <n v="0"/>
    <s v="239855"/>
    <n v="0"/>
    <s v=""/>
    <s v="S"/>
    <n v="1"/>
    <n v="0"/>
    <n v="0"/>
    <x v="0"/>
    <n v="0"/>
    <n v="0"/>
    <n v="1"/>
    <n v="0"/>
    <n v="0"/>
  </r>
  <r>
    <n v="734"/>
    <n v="0"/>
    <n v="2"/>
    <s v="Berriman, Mr. William John"/>
    <n v="0"/>
    <x v="39"/>
    <n v="0"/>
    <n v="0"/>
    <s v="28425"/>
    <n v="13"/>
    <s v=""/>
    <s v="S"/>
    <n v="1"/>
    <n v="0"/>
    <n v="0"/>
    <x v="0"/>
    <n v="0"/>
    <n v="0"/>
    <n v="1"/>
    <n v="0"/>
    <n v="0"/>
  </r>
  <r>
    <n v="735"/>
    <n v="0"/>
    <n v="2"/>
    <s v="Troupiansky, Mr. Moses Aaron"/>
    <n v="0"/>
    <x v="39"/>
    <n v="0"/>
    <n v="0"/>
    <s v="233639"/>
    <n v="13"/>
    <s v=""/>
    <s v="S"/>
    <n v="1"/>
    <n v="0"/>
    <n v="0"/>
    <x v="0"/>
    <n v="0"/>
    <n v="0"/>
    <n v="1"/>
    <n v="0"/>
    <n v="0"/>
  </r>
  <r>
    <n v="736"/>
    <n v="0"/>
    <n v="3"/>
    <s v="Williams, Mr. Leslie"/>
    <n v="0"/>
    <x v="4"/>
    <n v="0"/>
    <n v="0"/>
    <s v="54636"/>
    <n v="16.100000000000001"/>
    <s v=""/>
    <s v="S"/>
    <n v="1"/>
    <n v="0"/>
    <n v="0"/>
    <x v="0"/>
    <n v="0"/>
    <n v="0"/>
    <n v="1"/>
    <n v="0"/>
    <n v="0"/>
  </r>
  <r>
    <n v="737"/>
    <n v="0"/>
    <n v="3"/>
    <s v="Ford, Mrs. Edward (Margaret Ann Watson)"/>
    <n v="1"/>
    <x v="64"/>
    <n v="1"/>
    <n v="3"/>
    <s v="W./C. 6608"/>
    <n v="34.375"/>
    <s v=""/>
    <s v="S"/>
    <n v="1"/>
    <n v="0"/>
    <n v="0"/>
    <x v="1"/>
    <n v="0"/>
    <n v="1"/>
    <n v="0"/>
    <n v="0"/>
    <n v="0"/>
  </r>
  <r>
    <n v="738"/>
    <n v="1"/>
    <n v="1"/>
    <s v="Lesurer, Mr. Gustave J"/>
    <n v="0"/>
    <x v="3"/>
    <n v="0"/>
    <n v="0"/>
    <s v="PC 17755"/>
    <n v="512.32920000000001"/>
    <s v="B101"/>
    <s v="C"/>
    <n v="0"/>
    <n v="1"/>
    <n v="0"/>
    <x v="0"/>
    <n v="0"/>
    <n v="0"/>
    <n v="1"/>
    <n v="0"/>
    <n v="0"/>
  </r>
  <r>
    <n v="739"/>
    <n v="0"/>
    <n v="3"/>
    <s v="Ivanoff, Mr. Kanio"/>
    <n v="0"/>
    <x v="4"/>
    <n v="0"/>
    <n v="0"/>
    <s v="349201"/>
    <n v="7.8958000000000004"/>
    <s v=""/>
    <s v="S"/>
    <n v="1"/>
    <n v="0"/>
    <n v="0"/>
    <x v="0"/>
    <n v="0"/>
    <n v="0"/>
    <n v="1"/>
    <n v="0"/>
    <n v="0"/>
  </r>
  <r>
    <n v="740"/>
    <n v="0"/>
    <n v="3"/>
    <s v="Nankoff, Mr. Minko"/>
    <n v="0"/>
    <x v="4"/>
    <n v="0"/>
    <n v="0"/>
    <s v="349218"/>
    <n v="7.8958000000000004"/>
    <s v=""/>
    <s v="S"/>
    <n v="1"/>
    <n v="0"/>
    <n v="0"/>
    <x v="0"/>
    <n v="0"/>
    <n v="0"/>
    <n v="1"/>
    <n v="0"/>
    <n v="0"/>
  </r>
  <r>
    <n v="741"/>
    <n v="1"/>
    <n v="1"/>
    <s v="Hawksford, Mr. Walter James"/>
    <n v="0"/>
    <x v="4"/>
    <n v="0"/>
    <n v="0"/>
    <s v="16988"/>
    <n v="30"/>
    <s v="D45"/>
    <s v="S"/>
    <n v="1"/>
    <n v="0"/>
    <n v="0"/>
    <x v="0"/>
    <n v="0"/>
    <n v="0"/>
    <n v="1"/>
    <n v="0"/>
    <n v="0"/>
  </r>
  <r>
    <n v="742"/>
    <n v="0"/>
    <n v="1"/>
    <s v="Cavendish, Mr. Tyrell William"/>
    <n v="0"/>
    <x v="54"/>
    <n v="1"/>
    <n v="0"/>
    <s v="19877"/>
    <n v="78.849999999999994"/>
    <s v="C46"/>
    <s v="S"/>
    <n v="1"/>
    <n v="0"/>
    <n v="0"/>
    <x v="0"/>
    <n v="0"/>
    <n v="0"/>
    <n v="1"/>
    <n v="0"/>
    <n v="0"/>
  </r>
  <r>
    <n v="743"/>
    <n v="1"/>
    <n v="1"/>
    <s v="Ryerson, Miss. Susan Parker &quot;Suzette&quot;"/>
    <n v="1"/>
    <x v="23"/>
    <n v="2"/>
    <n v="2"/>
    <s v="PC 17608"/>
    <n v="262.375"/>
    <s v="B57 B59 B63 B66"/>
    <s v="C"/>
    <n v="0"/>
    <n v="1"/>
    <n v="0"/>
    <x v="2"/>
    <n v="1"/>
    <n v="0"/>
    <n v="0"/>
    <n v="0"/>
    <n v="0"/>
  </r>
  <r>
    <n v="744"/>
    <n v="0"/>
    <n v="3"/>
    <s v="McNamee, Mr. Neal"/>
    <n v="0"/>
    <x v="40"/>
    <n v="1"/>
    <n v="0"/>
    <s v="376566"/>
    <n v="16.100000000000001"/>
    <s v=""/>
    <s v="S"/>
    <n v="1"/>
    <n v="0"/>
    <n v="0"/>
    <x v="0"/>
    <n v="0"/>
    <n v="0"/>
    <n v="1"/>
    <n v="0"/>
    <n v="0"/>
  </r>
  <r>
    <n v="745"/>
    <n v="1"/>
    <n v="3"/>
    <s v="Stranden, Mr. Juho"/>
    <n v="0"/>
    <x v="14"/>
    <n v="0"/>
    <n v="0"/>
    <s v="STON/O 2. 3101288"/>
    <n v="7.9249999999999998"/>
    <s v=""/>
    <s v="S"/>
    <n v="1"/>
    <n v="0"/>
    <n v="0"/>
    <x v="0"/>
    <n v="0"/>
    <n v="0"/>
    <n v="1"/>
    <n v="0"/>
    <n v="0"/>
  </r>
  <r>
    <n v="746"/>
    <n v="0"/>
    <n v="1"/>
    <s v="Crosby, Capt. Edward Gifford"/>
    <n v="0"/>
    <x v="68"/>
    <n v="1"/>
    <n v="1"/>
    <s v="WE/P 5735"/>
    <n v="71"/>
    <s v="B22"/>
    <s v="S"/>
    <n v="1"/>
    <n v="0"/>
    <n v="0"/>
    <x v="14"/>
    <n v="0"/>
    <n v="0"/>
    <n v="0"/>
    <n v="0"/>
    <n v="1"/>
  </r>
  <r>
    <n v="747"/>
    <n v="0"/>
    <n v="3"/>
    <s v="Abbott, Mr. Rossmore Edward"/>
    <n v="0"/>
    <x v="35"/>
    <n v="1"/>
    <n v="1"/>
    <s v="C.A. 2673"/>
    <n v="20.25"/>
    <s v=""/>
    <s v="S"/>
    <n v="1"/>
    <n v="0"/>
    <n v="0"/>
    <x v="0"/>
    <n v="0"/>
    <n v="0"/>
    <n v="1"/>
    <n v="0"/>
    <n v="0"/>
  </r>
  <r>
    <n v="748"/>
    <n v="1"/>
    <n v="2"/>
    <s v="Sinkkonen, Miss. Anna"/>
    <n v="1"/>
    <x v="37"/>
    <n v="0"/>
    <n v="0"/>
    <s v="250648"/>
    <n v="13"/>
    <s v=""/>
    <s v="S"/>
    <n v="1"/>
    <n v="0"/>
    <n v="0"/>
    <x v="2"/>
    <n v="1"/>
    <n v="0"/>
    <n v="0"/>
    <n v="0"/>
    <n v="0"/>
  </r>
  <r>
    <n v="749"/>
    <n v="0"/>
    <n v="1"/>
    <s v="Marvin, Mr. Daniel Warner"/>
    <n v="0"/>
    <x v="19"/>
    <n v="1"/>
    <n v="0"/>
    <s v="113773"/>
    <n v="53.1"/>
    <s v="D30"/>
    <s v="S"/>
    <n v="1"/>
    <n v="0"/>
    <n v="0"/>
    <x v="0"/>
    <n v="0"/>
    <n v="0"/>
    <n v="1"/>
    <n v="0"/>
    <n v="0"/>
  </r>
  <r>
    <n v="750"/>
    <n v="0"/>
    <n v="3"/>
    <s v="Connaghton, Mr. Michael"/>
    <n v="0"/>
    <x v="14"/>
    <n v="0"/>
    <n v="0"/>
    <s v="335097"/>
    <n v="7.75"/>
    <s v=""/>
    <s v="Q"/>
    <n v="0"/>
    <n v="0"/>
    <n v="1"/>
    <x v="0"/>
    <n v="0"/>
    <n v="0"/>
    <n v="1"/>
    <n v="0"/>
    <n v="0"/>
  </r>
  <r>
    <n v="751"/>
    <n v="1"/>
    <n v="2"/>
    <s v="Wells, Miss. Joan"/>
    <n v="1"/>
    <x v="9"/>
    <n v="1"/>
    <n v="1"/>
    <s v="29103"/>
    <n v="23"/>
    <s v=""/>
    <s v="S"/>
    <n v="1"/>
    <n v="0"/>
    <n v="0"/>
    <x v="2"/>
    <n v="1"/>
    <n v="0"/>
    <n v="0"/>
    <n v="0"/>
    <n v="0"/>
  </r>
  <r>
    <n v="752"/>
    <n v="1"/>
    <n v="3"/>
    <s v="Moor, Master. Meier"/>
    <n v="0"/>
    <x v="69"/>
    <n v="0"/>
    <n v="1"/>
    <s v="392096"/>
    <n v="12.475"/>
    <s v="E121"/>
    <s v="S"/>
    <n v="1"/>
    <n v="0"/>
    <n v="0"/>
    <x v="3"/>
    <n v="0"/>
    <n v="0"/>
    <n v="0"/>
    <n v="1"/>
    <n v="0"/>
  </r>
  <r>
    <n v="753"/>
    <n v="0"/>
    <n v="3"/>
    <s v="Vande Velde, Mr. Johannes Joseph"/>
    <n v="0"/>
    <x v="38"/>
    <n v="0"/>
    <n v="0"/>
    <s v="345780"/>
    <n v="9.5"/>
    <s v=""/>
    <s v="S"/>
    <n v="1"/>
    <n v="0"/>
    <n v="0"/>
    <x v="0"/>
    <n v="0"/>
    <n v="0"/>
    <n v="1"/>
    <n v="0"/>
    <n v="0"/>
  </r>
  <r>
    <n v="754"/>
    <n v="0"/>
    <n v="3"/>
    <s v="Jonkoff, Mr. Lalio"/>
    <n v="0"/>
    <x v="39"/>
    <n v="0"/>
    <n v="0"/>
    <s v="349204"/>
    <n v="7.8958000000000004"/>
    <s v=""/>
    <s v="S"/>
    <n v="1"/>
    <n v="0"/>
    <n v="0"/>
    <x v="0"/>
    <n v="0"/>
    <n v="0"/>
    <n v="1"/>
    <n v="0"/>
    <n v="0"/>
  </r>
  <r>
    <n v="755"/>
    <n v="1"/>
    <n v="2"/>
    <s v="Herman, Mrs. Samuel (Jane Laver)"/>
    <n v="1"/>
    <x v="64"/>
    <n v="1"/>
    <n v="2"/>
    <s v="220845"/>
    <n v="65"/>
    <s v=""/>
    <s v="S"/>
    <n v="1"/>
    <n v="0"/>
    <n v="0"/>
    <x v="1"/>
    <n v="0"/>
    <n v="1"/>
    <n v="0"/>
    <n v="0"/>
    <n v="0"/>
  </r>
  <r>
    <n v="756"/>
    <n v="1"/>
    <n v="2"/>
    <s v="Hamalainen, Master. Viljo"/>
    <n v="0"/>
    <x v="4"/>
    <n v="1"/>
    <n v="1"/>
    <s v="250649"/>
    <n v="14.5"/>
    <s v=""/>
    <s v="S"/>
    <n v="1"/>
    <n v="0"/>
    <n v="0"/>
    <x v="3"/>
    <n v="0"/>
    <n v="0"/>
    <n v="0"/>
    <n v="1"/>
    <n v="0"/>
  </r>
  <r>
    <n v="757"/>
    <n v="0"/>
    <n v="3"/>
    <s v="Carlsson, Mr. August Sigfrid"/>
    <n v="0"/>
    <x v="17"/>
    <n v="0"/>
    <n v="0"/>
    <s v="350042"/>
    <n v="7.7957999999999998"/>
    <s v=""/>
    <s v="S"/>
    <n v="1"/>
    <n v="0"/>
    <n v="0"/>
    <x v="0"/>
    <n v="0"/>
    <n v="0"/>
    <n v="1"/>
    <n v="0"/>
    <n v="0"/>
  </r>
  <r>
    <n v="758"/>
    <n v="0"/>
    <n v="2"/>
    <s v="Bailey, Mr. Percy Andrew"/>
    <n v="0"/>
    <x v="24"/>
    <n v="0"/>
    <n v="0"/>
    <s v="29108"/>
    <n v="11.5"/>
    <s v=""/>
    <s v="S"/>
    <n v="1"/>
    <n v="0"/>
    <n v="0"/>
    <x v="0"/>
    <n v="0"/>
    <n v="0"/>
    <n v="1"/>
    <n v="0"/>
    <n v="0"/>
  </r>
  <r>
    <n v="759"/>
    <n v="0"/>
    <n v="3"/>
    <s v="Theobald, Mr. Thomas Leonard"/>
    <n v="0"/>
    <x v="15"/>
    <n v="0"/>
    <n v="0"/>
    <s v="363294"/>
    <n v="8.0500000000000007"/>
    <s v=""/>
    <s v="S"/>
    <n v="1"/>
    <n v="0"/>
    <n v="0"/>
    <x v="0"/>
    <n v="0"/>
    <n v="0"/>
    <n v="1"/>
    <n v="0"/>
    <n v="0"/>
  </r>
  <r>
    <n v="760"/>
    <n v="1"/>
    <n v="1"/>
    <s v="Rothes, the Countess. of (Lucy Noel Martha Dyer-Edwards)"/>
    <n v="1"/>
    <x v="38"/>
    <n v="0"/>
    <n v="0"/>
    <s v="110152"/>
    <n v="86.5"/>
    <s v="B77"/>
    <s v="S"/>
    <n v="1"/>
    <n v="0"/>
    <n v="0"/>
    <x v="15"/>
    <n v="0"/>
    <n v="0"/>
    <n v="0"/>
    <n v="0"/>
    <n v="0"/>
  </r>
  <r>
    <n v="761"/>
    <n v="0"/>
    <n v="3"/>
    <s v="Garfirth, Mr. John"/>
    <n v="0"/>
    <x v="4"/>
    <n v="0"/>
    <n v="0"/>
    <s v="358585"/>
    <n v="14.5"/>
    <s v=""/>
    <s v="S"/>
    <n v="1"/>
    <n v="0"/>
    <n v="0"/>
    <x v="0"/>
    <n v="0"/>
    <n v="0"/>
    <n v="1"/>
    <n v="0"/>
    <n v="0"/>
  </r>
  <r>
    <n v="762"/>
    <n v="0"/>
    <n v="3"/>
    <s v="Nirva, Mr. Iisakki Antino Aijo"/>
    <n v="0"/>
    <x v="56"/>
    <n v="0"/>
    <n v="0"/>
    <s v="SOTON/O2 3101272"/>
    <n v="7.125"/>
    <s v=""/>
    <s v="S"/>
    <n v="1"/>
    <n v="0"/>
    <n v="0"/>
    <x v="0"/>
    <n v="0"/>
    <n v="0"/>
    <n v="1"/>
    <n v="0"/>
    <n v="0"/>
  </r>
  <r>
    <n v="763"/>
    <n v="1"/>
    <n v="3"/>
    <s v="Barah, Mr. Hanna Assi"/>
    <n v="0"/>
    <x v="11"/>
    <n v="0"/>
    <n v="0"/>
    <s v="2663"/>
    <n v="7.2291999999999996"/>
    <s v=""/>
    <s v="C"/>
    <n v="0"/>
    <n v="1"/>
    <n v="0"/>
    <x v="0"/>
    <n v="0"/>
    <n v="0"/>
    <n v="1"/>
    <n v="0"/>
    <n v="0"/>
  </r>
  <r>
    <n v="764"/>
    <n v="1"/>
    <n v="1"/>
    <s v="Carter, Mrs. William Ernest (Lucile Polk)"/>
    <n v="1"/>
    <x v="54"/>
    <n v="1"/>
    <n v="2"/>
    <s v="113760"/>
    <n v="120"/>
    <s v="B96 B98"/>
    <s v="S"/>
    <n v="1"/>
    <n v="0"/>
    <n v="0"/>
    <x v="1"/>
    <n v="0"/>
    <n v="1"/>
    <n v="0"/>
    <n v="0"/>
    <n v="0"/>
  </r>
  <r>
    <n v="765"/>
    <n v="0"/>
    <n v="3"/>
    <s v="Eklund, Mr. Hans Linus"/>
    <n v="0"/>
    <x v="35"/>
    <n v="0"/>
    <n v="0"/>
    <s v="347074"/>
    <n v="7.7750000000000004"/>
    <s v=""/>
    <s v="S"/>
    <n v="1"/>
    <n v="0"/>
    <n v="0"/>
    <x v="0"/>
    <n v="0"/>
    <n v="0"/>
    <n v="1"/>
    <n v="0"/>
    <n v="0"/>
  </r>
  <r>
    <n v="766"/>
    <n v="1"/>
    <n v="1"/>
    <s v="Hogeboom, Mrs. John C (Anna Andrews)"/>
    <n v="1"/>
    <x v="48"/>
    <n v="1"/>
    <n v="0"/>
    <s v="13502"/>
    <n v="77.958299999999994"/>
    <s v="D11"/>
    <s v="S"/>
    <n v="1"/>
    <n v="0"/>
    <n v="0"/>
    <x v="1"/>
    <n v="0"/>
    <n v="1"/>
    <n v="0"/>
    <n v="0"/>
    <n v="0"/>
  </r>
  <r>
    <n v="767"/>
    <n v="0"/>
    <n v="1"/>
    <s v="Brewe, Dr. Arthur Jackson"/>
    <n v="0"/>
    <x v="4"/>
    <n v="0"/>
    <n v="0"/>
    <s v="112379"/>
    <n v="39.6"/>
    <s v=""/>
    <s v="C"/>
    <n v="0"/>
    <n v="1"/>
    <n v="0"/>
    <x v="6"/>
    <n v="0"/>
    <n v="0"/>
    <n v="0"/>
    <n v="0"/>
    <n v="1"/>
  </r>
  <r>
    <n v="768"/>
    <n v="0"/>
    <n v="3"/>
    <s v="Mangan, Miss. Mary"/>
    <n v="1"/>
    <x v="4"/>
    <n v="0"/>
    <n v="0"/>
    <s v="364850"/>
    <n v="7.75"/>
    <s v=""/>
    <s v="Q"/>
    <n v="0"/>
    <n v="0"/>
    <n v="1"/>
    <x v="2"/>
    <n v="1"/>
    <n v="0"/>
    <n v="0"/>
    <n v="0"/>
    <n v="0"/>
  </r>
  <r>
    <n v="769"/>
    <n v="0"/>
    <n v="3"/>
    <s v="Moran, Mr. Daniel J"/>
    <n v="0"/>
    <x v="4"/>
    <n v="1"/>
    <n v="0"/>
    <s v="371110"/>
    <n v="24.15"/>
    <s v=""/>
    <s v="Q"/>
    <n v="0"/>
    <n v="0"/>
    <n v="1"/>
    <x v="0"/>
    <n v="0"/>
    <n v="0"/>
    <n v="1"/>
    <n v="0"/>
    <n v="0"/>
  </r>
  <r>
    <n v="770"/>
    <n v="0"/>
    <n v="3"/>
    <s v="Gronnestad, Mr. Daniel Danielsen"/>
    <n v="0"/>
    <x v="34"/>
    <n v="0"/>
    <n v="0"/>
    <s v="8471"/>
    <n v="8.3625000000000007"/>
    <s v=""/>
    <s v="S"/>
    <n v="1"/>
    <n v="0"/>
    <n v="0"/>
    <x v="0"/>
    <n v="0"/>
    <n v="0"/>
    <n v="1"/>
    <n v="0"/>
    <n v="0"/>
  </r>
  <r>
    <n v="771"/>
    <n v="0"/>
    <n v="3"/>
    <s v="Lievens, Mr. Rene Aime"/>
    <n v="0"/>
    <x v="40"/>
    <n v="0"/>
    <n v="0"/>
    <s v="345781"/>
    <n v="9.5"/>
    <s v=""/>
    <s v="S"/>
    <n v="1"/>
    <n v="0"/>
    <n v="0"/>
    <x v="0"/>
    <n v="0"/>
    <n v="0"/>
    <n v="1"/>
    <n v="0"/>
    <n v="0"/>
  </r>
  <r>
    <n v="772"/>
    <n v="0"/>
    <n v="3"/>
    <s v="Jensen, Mr. Niels Peder"/>
    <n v="0"/>
    <x v="64"/>
    <n v="0"/>
    <n v="0"/>
    <s v="350047"/>
    <n v="7.8541999999999996"/>
    <s v=""/>
    <s v="S"/>
    <n v="1"/>
    <n v="0"/>
    <n v="0"/>
    <x v="0"/>
    <n v="0"/>
    <n v="0"/>
    <n v="1"/>
    <n v="0"/>
    <n v="0"/>
  </r>
  <r>
    <n v="773"/>
    <n v="0"/>
    <n v="2"/>
    <s v="Mack, Mrs. (Mary)"/>
    <n v="1"/>
    <x v="66"/>
    <n v="0"/>
    <n v="0"/>
    <s v="S.O./P.P. 3"/>
    <n v="10.5"/>
    <s v="E77"/>
    <s v="S"/>
    <n v="1"/>
    <n v="0"/>
    <n v="0"/>
    <x v="1"/>
    <n v="0"/>
    <n v="1"/>
    <n v="0"/>
    <n v="0"/>
    <n v="0"/>
  </r>
  <r>
    <n v="774"/>
    <n v="0"/>
    <n v="3"/>
    <s v="Elias, Mr. Dibo"/>
    <n v="0"/>
    <x v="4"/>
    <n v="0"/>
    <n v="0"/>
    <s v="2674"/>
    <n v="7.2249999999999996"/>
    <s v=""/>
    <s v="C"/>
    <n v="0"/>
    <n v="1"/>
    <n v="0"/>
    <x v="0"/>
    <n v="0"/>
    <n v="0"/>
    <n v="1"/>
    <n v="0"/>
    <n v="0"/>
  </r>
  <r>
    <n v="775"/>
    <n v="1"/>
    <n v="2"/>
    <s v="Hocking, Mrs. Elizabeth (Eliza Needs)"/>
    <n v="1"/>
    <x v="5"/>
    <n v="1"/>
    <n v="3"/>
    <s v="29105"/>
    <n v="23"/>
    <s v=""/>
    <s v="S"/>
    <n v="1"/>
    <n v="0"/>
    <n v="0"/>
    <x v="1"/>
    <n v="0"/>
    <n v="1"/>
    <n v="0"/>
    <n v="0"/>
    <n v="0"/>
  </r>
  <r>
    <n v="776"/>
    <n v="0"/>
    <n v="3"/>
    <s v="Myhrman, Mr. Pehr Fabian Oliver Malkolm"/>
    <n v="0"/>
    <x v="24"/>
    <n v="0"/>
    <n v="0"/>
    <s v="347078"/>
    <n v="7.75"/>
    <s v=""/>
    <s v="S"/>
    <n v="1"/>
    <n v="0"/>
    <n v="0"/>
    <x v="0"/>
    <n v="0"/>
    <n v="0"/>
    <n v="1"/>
    <n v="0"/>
    <n v="0"/>
  </r>
  <r>
    <n v="777"/>
    <n v="0"/>
    <n v="3"/>
    <s v="Tobin, Mr. Roger"/>
    <n v="0"/>
    <x v="4"/>
    <n v="0"/>
    <n v="0"/>
    <s v="383121"/>
    <n v="7.75"/>
    <s v="F38"/>
    <s v="Q"/>
    <n v="0"/>
    <n v="0"/>
    <n v="1"/>
    <x v="0"/>
    <n v="0"/>
    <n v="0"/>
    <n v="1"/>
    <n v="0"/>
    <n v="0"/>
  </r>
  <r>
    <n v="778"/>
    <n v="1"/>
    <n v="3"/>
    <s v="Emanuel, Miss. Virginia Ethel"/>
    <n v="1"/>
    <x v="30"/>
    <n v="0"/>
    <n v="0"/>
    <s v="364516"/>
    <n v="12.475"/>
    <s v=""/>
    <s v="S"/>
    <n v="1"/>
    <n v="0"/>
    <n v="0"/>
    <x v="2"/>
    <n v="1"/>
    <n v="0"/>
    <n v="0"/>
    <n v="0"/>
    <n v="0"/>
  </r>
  <r>
    <n v="779"/>
    <n v="0"/>
    <n v="3"/>
    <s v="Kilgannon, Mr. Thomas J"/>
    <n v="0"/>
    <x v="4"/>
    <n v="0"/>
    <n v="0"/>
    <s v="36865"/>
    <n v="7.7374999999999998"/>
    <s v=""/>
    <s v="Q"/>
    <n v="0"/>
    <n v="0"/>
    <n v="1"/>
    <x v="0"/>
    <n v="0"/>
    <n v="0"/>
    <n v="1"/>
    <n v="0"/>
    <n v="0"/>
  </r>
  <r>
    <n v="780"/>
    <n v="1"/>
    <n v="1"/>
    <s v="Robert, Mrs. Edward Scott (Elisabeth Walton McMillan)"/>
    <n v="1"/>
    <x v="59"/>
    <n v="0"/>
    <n v="1"/>
    <s v="24160"/>
    <n v="211.33750000000001"/>
    <s v="B3"/>
    <s v="S"/>
    <n v="1"/>
    <n v="0"/>
    <n v="0"/>
    <x v="1"/>
    <n v="0"/>
    <n v="1"/>
    <n v="0"/>
    <n v="0"/>
    <n v="0"/>
  </r>
  <r>
    <n v="781"/>
    <n v="1"/>
    <n v="3"/>
    <s v="Ayoub, Miss. Banoura"/>
    <n v="1"/>
    <x v="63"/>
    <n v="0"/>
    <n v="0"/>
    <s v="2687"/>
    <n v="7.2291999999999996"/>
    <s v=""/>
    <s v="C"/>
    <n v="0"/>
    <n v="1"/>
    <n v="0"/>
    <x v="2"/>
    <n v="1"/>
    <n v="0"/>
    <n v="0"/>
    <n v="0"/>
    <n v="0"/>
  </r>
  <r>
    <n v="782"/>
    <n v="1"/>
    <n v="1"/>
    <s v="Dick, Mrs. Albert Adrian (Vera Gillespie)"/>
    <n v="1"/>
    <x v="33"/>
    <n v="1"/>
    <n v="0"/>
    <s v="17474"/>
    <n v="57"/>
    <s v="B20"/>
    <s v="S"/>
    <n v="1"/>
    <n v="0"/>
    <n v="0"/>
    <x v="1"/>
    <n v="0"/>
    <n v="1"/>
    <n v="0"/>
    <n v="0"/>
    <n v="0"/>
  </r>
  <r>
    <n v="783"/>
    <n v="0"/>
    <n v="1"/>
    <s v="Long, Mr. Milton Clyde"/>
    <n v="0"/>
    <x v="28"/>
    <n v="0"/>
    <n v="0"/>
    <s v="113501"/>
    <n v="30"/>
    <s v="D6"/>
    <s v="S"/>
    <n v="1"/>
    <n v="0"/>
    <n v="0"/>
    <x v="0"/>
    <n v="0"/>
    <n v="0"/>
    <n v="1"/>
    <n v="0"/>
    <n v="0"/>
  </r>
  <r>
    <n v="784"/>
    <n v="0"/>
    <n v="3"/>
    <s v="Johnston, Mr. Andrew G"/>
    <n v="0"/>
    <x v="4"/>
    <n v="1"/>
    <n v="2"/>
    <s v="W./C. 6607"/>
    <n v="23.45"/>
    <s v=""/>
    <s v="S"/>
    <n v="1"/>
    <n v="0"/>
    <n v="0"/>
    <x v="0"/>
    <n v="0"/>
    <n v="0"/>
    <n v="1"/>
    <n v="0"/>
    <n v="0"/>
  </r>
  <r>
    <n v="785"/>
    <n v="0"/>
    <n v="3"/>
    <s v="Ali, Mr. William"/>
    <n v="0"/>
    <x v="36"/>
    <n v="0"/>
    <n v="0"/>
    <s v="SOTON/O.Q. 3101312"/>
    <n v="7.05"/>
    <s v=""/>
    <s v="S"/>
    <n v="1"/>
    <n v="0"/>
    <n v="0"/>
    <x v="0"/>
    <n v="0"/>
    <n v="0"/>
    <n v="1"/>
    <n v="0"/>
    <n v="0"/>
  </r>
  <r>
    <n v="786"/>
    <n v="0"/>
    <n v="3"/>
    <s v="Harmer, Mr. Abraham (David Lishin)"/>
    <n v="0"/>
    <x v="36"/>
    <n v="0"/>
    <n v="0"/>
    <s v="374887"/>
    <n v="7.25"/>
    <s v=""/>
    <s v="S"/>
    <n v="1"/>
    <n v="0"/>
    <n v="0"/>
    <x v="0"/>
    <n v="0"/>
    <n v="0"/>
    <n v="1"/>
    <n v="0"/>
    <n v="0"/>
  </r>
  <r>
    <n v="787"/>
    <n v="1"/>
    <n v="3"/>
    <s v="Sjoblom, Miss. Anna Sofia"/>
    <n v="1"/>
    <x v="24"/>
    <n v="0"/>
    <n v="0"/>
    <s v="3101265"/>
    <n v="7.4958"/>
    <s v=""/>
    <s v="S"/>
    <n v="1"/>
    <n v="0"/>
    <n v="0"/>
    <x v="2"/>
    <n v="1"/>
    <n v="0"/>
    <n v="0"/>
    <n v="0"/>
    <n v="0"/>
  </r>
  <r>
    <n v="788"/>
    <n v="0"/>
    <n v="3"/>
    <s v="Rice, Master. George Hugh"/>
    <n v="0"/>
    <x v="18"/>
    <n v="4"/>
    <n v="1"/>
    <s v="382652"/>
    <n v="29.125"/>
    <s v=""/>
    <s v="Q"/>
    <n v="0"/>
    <n v="0"/>
    <n v="1"/>
    <x v="3"/>
    <n v="0"/>
    <n v="0"/>
    <n v="0"/>
    <n v="1"/>
    <n v="0"/>
  </r>
  <r>
    <n v="789"/>
    <n v="1"/>
    <n v="3"/>
    <s v="Dean, Master. Bertram Vere"/>
    <n v="0"/>
    <x v="50"/>
    <n v="1"/>
    <n v="2"/>
    <s v="C.A. 2315"/>
    <n v="20.574999999999999"/>
    <s v=""/>
    <s v="S"/>
    <n v="1"/>
    <n v="0"/>
    <n v="0"/>
    <x v="3"/>
    <n v="0"/>
    <n v="0"/>
    <n v="0"/>
    <n v="1"/>
    <n v="0"/>
  </r>
  <r>
    <n v="790"/>
    <n v="0"/>
    <n v="1"/>
    <s v="Guggenheim, Mr. Benjamin"/>
    <n v="0"/>
    <x v="41"/>
    <n v="0"/>
    <n v="0"/>
    <s v="PC 17593"/>
    <n v="79.2"/>
    <s v="B82 B84"/>
    <s v="C"/>
    <n v="0"/>
    <n v="1"/>
    <n v="0"/>
    <x v="0"/>
    <n v="0"/>
    <n v="0"/>
    <n v="1"/>
    <n v="0"/>
    <n v="0"/>
  </r>
  <r>
    <n v="791"/>
    <n v="0"/>
    <n v="3"/>
    <s v="Keane, Mr. Andrew &quot;Andy&quot;"/>
    <n v="0"/>
    <x v="4"/>
    <n v="0"/>
    <n v="0"/>
    <s v="12460"/>
    <n v="7.75"/>
    <s v=""/>
    <s v="Q"/>
    <n v="0"/>
    <n v="0"/>
    <n v="1"/>
    <x v="0"/>
    <n v="0"/>
    <n v="0"/>
    <n v="1"/>
    <n v="0"/>
    <n v="0"/>
  </r>
  <r>
    <n v="792"/>
    <n v="0"/>
    <n v="2"/>
    <s v="Gaskell, Mr. Alfred"/>
    <n v="0"/>
    <x v="35"/>
    <n v="0"/>
    <n v="0"/>
    <s v="239865"/>
    <n v="26"/>
    <s v=""/>
    <s v="S"/>
    <n v="1"/>
    <n v="0"/>
    <n v="0"/>
    <x v="0"/>
    <n v="0"/>
    <n v="0"/>
    <n v="1"/>
    <n v="0"/>
    <n v="0"/>
  </r>
  <r>
    <n v="793"/>
    <n v="0"/>
    <n v="3"/>
    <s v="Sage, Miss. Stella Anna"/>
    <n v="1"/>
    <x v="4"/>
    <n v="8"/>
    <n v="2"/>
    <s v="CA. 2343"/>
    <n v="69.55"/>
    <s v=""/>
    <s v="S"/>
    <n v="1"/>
    <n v="0"/>
    <n v="0"/>
    <x v="2"/>
    <n v="1"/>
    <n v="0"/>
    <n v="0"/>
    <n v="0"/>
    <n v="0"/>
  </r>
  <r>
    <n v="794"/>
    <n v="0"/>
    <n v="1"/>
    <s v="Hoyt, Mr. William Fisher"/>
    <n v="0"/>
    <x v="4"/>
    <n v="0"/>
    <n v="0"/>
    <s v="PC 17600"/>
    <n v="30.695799999999998"/>
    <s v=""/>
    <s v="C"/>
    <n v="0"/>
    <n v="1"/>
    <n v="0"/>
    <x v="0"/>
    <n v="0"/>
    <n v="0"/>
    <n v="1"/>
    <n v="0"/>
    <n v="0"/>
  </r>
  <r>
    <n v="795"/>
    <n v="0"/>
    <n v="3"/>
    <s v="Dantcheff, Mr. Ristiu"/>
    <n v="0"/>
    <x v="36"/>
    <n v="0"/>
    <n v="0"/>
    <s v="349203"/>
    <n v="7.8958000000000004"/>
    <s v=""/>
    <s v="S"/>
    <n v="1"/>
    <n v="0"/>
    <n v="0"/>
    <x v="0"/>
    <n v="0"/>
    <n v="0"/>
    <n v="1"/>
    <n v="0"/>
    <n v="0"/>
  </r>
  <r>
    <n v="796"/>
    <n v="0"/>
    <n v="2"/>
    <s v="Otter, Mr. Richard"/>
    <n v="0"/>
    <x v="12"/>
    <n v="0"/>
    <n v="0"/>
    <s v="28213"/>
    <n v="13"/>
    <s v=""/>
    <s v="S"/>
    <n v="1"/>
    <n v="0"/>
    <n v="0"/>
    <x v="0"/>
    <n v="0"/>
    <n v="0"/>
    <n v="1"/>
    <n v="0"/>
    <n v="0"/>
  </r>
  <r>
    <n v="797"/>
    <n v="1"/>
    <n v="1"/>
    <s v="Leader, Dr. Alice (Farnham)"/>
    <n v="1"/>
    <x v="27"/>
    <n v="0"/>
    <n v="0"/>
    <s v="17465"/>
    <n v="25.929200000000002"/>
    <s v="D17"/>
    <s v="S"/>
    <n v="1"/>
    <n v="0"/>
    <n v="0"/>
    <x v="6"/>
    <n v="0"/>
    <n v="0"/>
    <n v="0"/>
    <n v="0"/>
    <n v="1"/>
  </r>
  <r>
    <n v="798"/>
    <n v="1"/>
    <n v="3"/>
    <s v="Osman, Mrs. Mara"/>
    <n v="1"/>
    <x v="14"/>
    <n v="0"/>
    <n v="0"/>
    <s v="349244"/>
    <n v="8.6832999999999991"/>
    <s v=""/>
    <s v="S"/>
    <n v="1"/>
    <n v="0"/>
    <n v="0"/>
    <x v="1"/>
    <n v="0"/>
    <n v="1"/>
    <n v="0"/>
    <n v="0"/>
    <n v="0"/>
  </r>
  <r>
    <n v="799"/>
    <n v="0"/>
    <n v="3"/>
    <s v="Ibrahim Shawah, Mr. Yousseff"/>
    <n v="0"/>
    <x v="37"/>
    <n v="0"/>
    <n v="0"/>
    <s v="2685"/>
    <n v="7.2291999999999996"/>
    <s v=""/>
    <s v="C"/>
    <n v="0"/>
    <n v="1"/>
    <n v="0"/>
    <x v="0"/>
    <n v="0"/>
    <n v="0"/>
    <n v="1"/>
    <n v="0"/>
    <n v="0"/>
  </r>
  <r>
    <n v="800"/>
    <n v="0"/>
    <n v="3"/>
    <s v="Van Impe, Mrs. Jean Baptiste (Rosalie Paula Govaert)"/>
    <n v="1"/>
    <x v="37"/>
    <n v="1"/>
    <n v="1"/>
    <s v="345773"/>
    <n v="24.15"/>
    <s v=""/>
    <s v="S"/>
    <n v="1"/>
    <n v="0"/>
    <n v="0"/>
    <x v="1"/>
    <n v="0"/>
    <n v="1"/>
    <n v="0"/>
    <n v="0"/>
    <n v="0"/>
  </r>
  <r>
    <n v="801"/>
    <n v="0"/>
    <n v="2"/>
    <s v="Ponesell, Mr. Martin"/>
    <n v="0"/>
    <x v="15"/>
    <n v="0"/>
    <n v="0"/>
    <s v="250647"/>
    <n v="13"/>
    <s v=""/>
    <s v="S"/>
    <n v="1"/>
    <n v="0"/>
    <n v="0"/>
    <x v="0"/>
    <n v="0"/>
    <n v="0"/>
    <n v="1"/>
    <n v="0"/>
    <n v="0"/>
  </r>
  <r>
    <n v="802"/>
    <n v="1"/>
    <n v="2"/>
    <s v="Collyer, Mrs. Harvey (Charlotte Annie Tate)"/>
    <n v="1"/>
    <x v="14"/>
    <n v="1"/>
    <n v="1"/>
    <s v="C.A. 31921"/>
    <n v="26.25"/>
    <s v=""/>
    <s v="S"/>
    <n v="1"/>
    <n v="0"/>
    <n v="0"/>
    <x v="1"/>
    <n v="0"/>
    <n v="1"/>
    <n v="0"/>
    <n v="0"/>
    <n v="0"/>
  </r>
  <r>
    <n v="803"/>
    <n v="1"/>
    <n v="1"/>
    <s v="Carter, Master. William Thornton II"/>
    <n v="0"/>
    <x v="31"/>
    <n v="1"/>
    <n v="2"/>
    <s v="113760"/>
    <n v="120"/>
    <s v="B96 B98"/>
    <s v="S"/>
    <n v="1"/>
    <n v="0"/>
    <n v="0"/>
    <x v="3"/>
    <n v="0"/>
    <n v="0"/>
    <n v="0"/>
    <n v="1"/>
    <n v="0"/>
  </r>
  <r>
    <n v="804"/>
    <n v="1"/>
    <n v="3"/>
    <s v="Thomas, Master. Assad Alexander"/>
    <n v="0"/>
    <x v="4"/>
    <n v="0"/>
    <n v="1"/>
    <s v="2625"/>
    <n v="8.5167000000000002"/>
    <s v=""/>
    <s v="C"/>
    <n v="0"/>
    <n v="1"/>
    <n v="0"/>
    <x v="3"/>
    <n v="0"/>
    <n v="0"/>
    <n v="0"/>
    <n v="1"/>
    <n v="0"/>
  </r>
  <r>
    <n v="805"/>
    <n v="1"/>
    <n v="3"/>
    <s v="Hedman, Mr. Oskar Arvid"/>
    <n v="0"/>
    <x v="7"/>
    <n v="0"/>
    <n v="0"/>
    <s v="347089"/>
    <n v="6.9749999999999996"/>
    <s v=""/>
    <s v="S"/>
    <n v="1"/>
    <n v="0"/>
    <n v="0"/>
    <x v="0"/>
    <n v="0"/>
    <n v="0"/>
    <n v="1"/>
    <n v="0"/>
    <n v="0"/>
  </r>
  <r>
    <n v="806"/>
    <n v="0"/>
    <n v="3"/>
    <s v="Johansson, Mr. Karl Johan"/>
    <n v="0"/>
    <x v="14"/>
    <n v="0"/>
    <n v="0"/>
    <s v="347063"/>
    <n v="7.7750000000000004"/>
    <s v=""/>
    <s v="S"/>
    <n v="1"/>
    <n v="0"/>
    <n v="0"/>
    <x v="0"/>
    <n v="0"/>
    <n v="0"/>
    <n v="1"/>
    <n v="0"/>
    <n v="0"/>
  </r>
  <r>
    <n v="807"/>
    <n v="0"/>
    <n v="1"/>
    <s v="Andrews, Mr. Thomas Jr"/>
    <n v="0"/>
    <x v="12"/>
    <n v="0"/>
    <n v="0"/>
    <s v="112050"/>
    <n v="0"/>
    <s v="A36"/>
    <s v="S"/>
    <n v="1"/>
    <n v="0"/>
    <n v="0"/>
    <x v="0"/>
    <n v="0"/>
    <n v="0"/>
    <n v="1"/>
    <n v="0"/>
    <n v="0"/>
  </r>
  <r>
    <n v="808"/>
    <n v="0"/>
    <n v="3"/>
    <s v="Pettersson, Miss. Ellen Natalia"/>
    <n v="1"/>
    <x v="24"/>
    <n v="0"/>
    <n v="0"/>
    <s v="347087"/>
    <n v="7.7750000000000004"/>
    <s v=""/>
    <s v="S"/>
    <n v="1"/>
    <n v="0"/>
    <n v="0"/>
    <x v="2"/>
    <n v="1"/>
    <n v="0"/>
    <n v="0"/>
    <n v="0"/>
    <n v="0"/>
  </r>
  <r>
    <n v="809"/>
    <n v="0"/>
    <n v="2"/>
    <s v="Meyer, Mr. August"/>
    <n v="0"/>
    <x v="12"/>
    <n v="0"/>
    <n v="0"/>
    <s v="248723"/>
    <n v="13"/>
    <s v=""/>
    <s v="S"/>
    <n v="1"/>
    <n v="0"/>
    <n v="0"/>
    <x v="0"/>
    <n v="0"/>
    <n v="0"/>
    <n v="1"/>
    <n v="0"/>
    <n v="0"/>
  </r>
  <r>
    <n v="810"/>
    <n v="1"/>
    <n v="1"/>
    <s v="Chambers, Mrs. Norman Campbell (Bertha Griggs)"/>
    <n v="1"/>
    <x v="38"/>
    <n v="1"/>
    <n v="0"/>
    <s v="113806"/>
    <n v="53.1"/>
    <s v="E8"/>
    <s v="S"/>
    <n v="1"/>
    <n v="0"/>
    <n v="0"/>
    <x v="1"/>
    <n v="0"/>
    <n v="1"/>
    <n v="0"/>
    <n v="0"/>
    <n v="0"/>
  </r>
  <r>
    <n v="811"/>
    <n v="0"/>
    <n v="3"/>
    <s v="Alexander, Mr. William"/>
    <n v="0"/>
    <x v="2"/>
    <n v="0"/>
    <n v="0"/>
    <s v="3474"/>
    <n v="7.8875000000000002"/>
    <s v=""/>
    <s v="S"/>
    <n v="1"/>
    <n v="0"/>
    <n v="0"/>
    <x v="0"/>
    <n v="0"/>
    <n v="0"/>
    <n v="1"/>
    <n v="0"/>
    <n v="0"/>
  </r>
  <r>
    <n v="812"/>
    <n v="0"/>
    <n v="3"/>
    <s v="Lester, Mr. James"/>
    <n v="0"/>
    <x v="12"/>
    <n v="0"/>
    <n v="0"/>
    <s v="A/4 48871"/>
    <n v="24.15"/>
    <s v=""/>
    <s v="S"/>
    <n v="1"/>
    <n v="0"/>
    <n v="0"/>
    <x v="0"/>
    <n v="0"/>
    <n v="0"/>
    <n v="1"/>
    <n v="0"/>
    <n v="0"/>
  </r>
  <r>
    <n v="813"/>
    <n v="0"/>
    <n v="2"/>
    <s v="Slemen, Mr. Richard James"/>
    <n v="0"/>
    <x v="3"/>
    <n v="0"/>
    <n v="0"/>
    <s v="28206"/>
    <n v="10.5"/>
    <s v=""/>
    <s v="S"/>
    <n v="1"/>
    <n v="0"/>
    <n v="0"/>
    <x v="0"/>
    <n v="0"/>
    <n v="0"/>
    <n v="1"/>
    <n v="0"/>
    <n v="0"/>
  </r>
  <r>
    <n v="814"/>
    <n v="0"/>
    <n v="3"/>
    <s v="Andersson, Miss. Ebba Iris Alfrida"/>
    <n v="1"/>
    <x v="69"/>
    <n v="4"/>
    <n v="2"/>
    <s v="347082"/>
    <n v="31.274999999999999"/>
    <s v=""/>
    <s v="S"/>
    <n v="1"/>
    <n v="0"/>
    <n v="0"/>
    <x v="2"/>
    <n v="1"/>
    <n v="0"/>
    <n v="0"/>
    <n v="0"/>
    <n v="0"/>
  </r>
  <r>
    <n v="815"/>
    <n v="0"/>
    <n v="3"/>
    <s v="Tomlin, Mr. Ernest Portage"/>
    <n v="0"/>
    <x v="4"/>
    <n v="0"/>
    <n v="0"/>
    <s v="364499"/>
    <n v="8.0500000000000007"/>
    <s v=""/>
    <s v="S"/>
    <n v="1"/>
    <n v="0"/>
    <n v="0"/>
    <x v="0"/>
    <n v="0"/>
    <n v="0"/>
    <n v="1"/>
    <n v="0"/>
    <n v="0"/>
  </r>
  <r>
    <n v="816"/>
    <n v="0"/>
    <n v="1"/>
    <s v="Fry, Mr. Richard"/>
    <n v="0"/>
    <x v="4"/>
    <n v="0"/>
    <n v="0"/>
    <s v="112058"/>
    <n v="0"/>
    <s v="B102"/>
    <s v="S"/>
    <n v="1"/>
    <n v="0"/>
    <n v="0"/>
    <x v="0"/>
    <n v="0"/>
    <n v="0"/>
    <n v="1"/>
    <n v="0"/>
    <n v="0"/>
  </r>
  <r>
    <n v="817"/>
    <n v="0"/>
    <n v="3"/>
    <s v="Heininen, Miss. Wendla Maria"/>
    <n v="1"/>
    <x v="39"/>
    <n v="0"/>
    <n v="0"/>
    <s v="STON/O2. 3101290"/>
    <n v="7.9249999999999998"/>
    <s v=""/>
    <s v="S"/>
    <n v="1"/>
    <n v="0"/>
    <n v="0"/>
    <x v="2"/>
    <n v="1"/>
    <n v="0"/>
    <n v="0"/>
    <n v="0"/>
    <n v="0"/>
  </r>
  <r>
    <n v="818"/>
    <n v="0"/>
    <n v="2"/>
    <s v="Mallet, Mr. Albert"/>
    <n v="0"/>
    <x v="14"/>
    <n v="1"/>
    <n v="1"/>
    <s v="S.C./PARIS 2079"/>
    <n v="37.004199999999997"/>
    <s v=""/>
    <s v="C"/>
    <n v="0"/>
    <n v="1"/>
    <n v="0"/>
    <x v="0"/>
    <n v="0"/>
    <n v="0"/>
    <n v="1"/>
    <n v="0"/>
    <n v="0"/>
  </r>
  <r>
    <n v="819"/>
    <n v="0"/>
    <n v="3"/>
    <s v="Holm, Mr. John Fredrik Alexander"/>
    <n v="0"/>
    <x v="59"/>
    <n v="0"/>
    <n v="0"/>
    <s v="C 7075"/>
    <n v="6.45"/>
    <s v=""/>
    <s v="S"/>
    <n v="1"/>
    <n v="0"/>
    <n v="0"/>
    <x v="0"/>
    <n v="0"/>
    <n v="0"/>
    <n v="1"/>
    <n v="0"/>
    <n v="0"/>
  </r>
  <r>
    <n v="820"/>
    <n v="0"/>
    <n v="3"/>
    <s v="Skoog, Master. Karl Thorsten"/>
    <n v="0"/>
    <x v="61"/>
    <n v="3"/>
    <n v="2"/>
    <s v="347088"/>
    <n v="27.9"/>
    <s v=""/>
    <s v="S"/>
    <n v="1"/>
    <n v="0"/>
    <n v="0"/>
    <x v="3"/>
    <n v="0"/>
    <n v="0"/>
    <n v="0"/>
    <n v="1"/>
    <n v="0"/>
  </r>
  <r>
    <n v="821"/>
    <n v="1"/>
    <n v="1"/>
    <s v="Hays, Mrs. Charles Melville (Clara Jennings Gregg)"/>
    <n v="1"/>
    <x v="57"/>
    <n v="1"/>
    <n v="1"/>
    <s v="12749"/>
    <n v="93.5"/>
    <s v="B69"/>
    <s v="S"/>
    <n v="1"/>
    <n v="0"/>
    <n v="0"/>
    <x v="1"/>
    <n v="0"/>
    <n v="1"/>
    <n v="0"/>
    <n v="0"/>
    <n v="0"/>
  </r>
  <r>
    <n v="822"/>
    <n v="1"/>
    <n v="3"/>
    <s v="Lulic, Mr. Nikola"/>
    <n v="0"/>
    <x v="7"/>
    <n v="0"/>
    <n v="0"/>
    <s v="315098"/>
    <n v="8.6624999999999996"/>
    <s v=""/>
    <s v="S"/>
    <n v="1"/>
    <n v="0"/>
    <n v="0"/>
    <x v="0"/>
    <n v="0"/>
    <n v="0"/>
    <n v="1"/>
    <n v="0"/>
    <n v="0"/>
  </r>
  <r>
    <n v="823"/>
    <n v="0"/>
    <n v="1"/>
    <s v="Reuchlin, Jonkheer. John George"/>
    <n v="0"/>
    <x v="1"/>
    <n v="0"/>
    <n v="0"/>
    <s v="19972"/>
    <n v="0"/>
    <s v=""/>
    <s v="S"/>
    <n v="1"/>
    <n v="0"/>
    <n v="0"/>
    <x v="16"/>
    <n v="0"/>
    <n v="0"/>
    <n v="0"/>
    <n v="0"/>
    <n v="1"/>
  </r>
  <r>
    <n v="824"/>
    <n v="1"/>
    <n v="3"/>
    <s v="Moor, Mrs. (Beila)"/>
    <n v="1"/>
    <x v="7"/>
    <n v="0"/>
    <n v="1"/>
    <s v="392096"/>
    <n v="12.475"/>
    <s v="E121"/>
    <s v="S"/>
    <n v="1"/>
    <n v="0"/>
    <n v="0"/>
    <x v="1"/>
    <n v="0"/>
    <n v="1"/>
    <n v="0"/>
    <n v="0"/>
    <n v="0"/>
  </r>
  <r>
    <n v="825"/>
    <n v="0"/>
    <n v="3"/>
    <s v="Panula, Master. Urho Abraham"/>
    <n v="0"/>
    <x v="6"/>
    <n v="4"/>
    <n v="1"/>
    <s v="3101295"/>
    <n v="39.6875"/>
    <s v=""/>
    <s v="S"/>
    <n v="1"/>
    <n v="0"/>
    <n v="0"/>
    <x v="3"/>
    <n v="0"/>
    <n v="0"/>
    <n v="0"/>
    <n v="1"/>
    <n v="0"/>
  </r>
  <r>
    <n v="826"/>
    <n v="0"/>
    <n v="3"/>
    <s v="Flynn, Mr. John"/>
    <n v="0"/>
    <x v="4"/>
    <n v="0"/>
    <n v="0"/>
    <s v="368323"/>
    <n v="6.95"/>
    <s v=""/>
    <s v="Q"/>
    <n v="0"/>
    <n v="0"/>
    <n v="1"/>
    <x v="0"/>
    <n v="0"/>
    <n v="0"/>
    <n v="1"/>
    <n v="0"/>
    <n v="0"/>
  </r>
  <r>
    <n v="827"/>
    <n v="0"/>
    <n v="3"/>
    <s v="Lam, Mr. Len"/>
    <n v="0"/>
    <x v="4"/>
    <n v="0"/>
    <n v="0"/>
    <s v="1601"/>
    <n v="56.495800000000003"/>
    <s v=""/>
    <s v="S"/>
    <n v="1"/>
    <n v="0"/>
    <n v="0"/>
    <x v="0"/>
    <n v="0"/>
    <n v="0"/>
    <n v="1"/>
    <n v="0"/>
    <n v="0"/>
  </r>
  <r>
    <n v="828"/>
    <n v="1"/>
    <n v="2"/>
    <s v="Mallet, Master. Andre"/>
    <n v="0"/>
    <x v="50"/>
    <n v="0"/>
    <n v="2"/>
    <s v="S.C./PARIS 2079"/>
    <n v="37.004199999999997"/>
    <s v=""/>
    <s v="C"/>
    <n v="0"/>
    <n v="1"/>
    <n v="0"/>
    <x v="3"/>
    <n v="0"/>
    <n v="0"/>
    <n v="0"/>
    <n v="1"/>
    <n v="0"/>
  </r>
  <r>
    <n v="829"/>
    <n v="1"/>
    <n v="3"/>
    <s v="McCormack, Mr. Thomas Joseph"/>
    <n v="0"/>
    <x v="4"/>
    <n v="0"/>
    <n v="0"/>
    <s v="367228"/>
    <n v="7.75"/>
    <s v=""/>
    <s v="Q"/>
    <n v="0"/>
    <n v="0"/>
    <n v="1"/>
    <x v="0"/>
    <n v="0"/>
    <n v="0"/>
    <n v="1"/>
    <n v="0"/>
    <n v="0"/>
  </r>
  <r>
    <n v="830"/>
    <n v="1"/>
    <n v="1"/>
    <s v="Stone, Mrs. George Nelson (Martha Evelyn)"/>
    <n v="1"/>
    <x v="55"/>
    <n v="0"/>
    <n v="0"/>
    <s v="113572"/>
    <n v="80"/>
    <s v="B28"/>
    <s v=""/>
    <n v="0"/>
    <n v="0"/>
    <n v="0"/>
    <x v="1"/>
    <n v="0"/>
    <n v="1"/>
    <n v="0"/>
    <n v="0"/>
    <n v="0"/>
  </r>
  <r>
    <n v="831"/>
    <n v="1"/>
    <n v="3"/>
    <s v="Yasbeck, Mrs. Antoni (Selini Alexander)"/>
    <n v="1"/>
    <x v="16"/>
    <n v="1"/>
    <n v="0"/>
    <s v="2659"/>
    <n v="14.4542"/>
    <s v=""/>
    <s v="C"/>
    <n v="0"/>
    <n v="1"/>
    <n v="0"/>
    <x v="1"/>
    <n v="0"/>
    <n v="1"/>
    <n v="0"/>
    <n v="0"/>
    <n v="0"/>
  </r>
  <r>
    <n v="832"/>
    <n v="1"/>
    <n v="2"/>
    <s v="Richards, Master. George Sibley"/>
    <n v="0"/>
    <x v="4"/>
    <n v="1"/>
    <n v="1"/>
    <s v="29106"/>
    <n v="18.75"/>
    <s v=""/>
    <s v="S"/>
    <n v="1"/>
    <n v="0"/>
    <n v="0"/>
    <x v="3"/>
    <n v="0"/>
    <n v="0"/>
    <n v="0"/>
    <n v="1"/>
    <n v="0"/>
  </r>
  <r>
    <n v="833"/>
    <n v="0"/>
    <n v="3"/>
    <s v="Saad, Mr. Amin"/>
    <n v="0"/>
    <x v="4"/>
    <n v="0"/>
    <n v="0"/>
    <s v="2671"/>
    <n v="7.2291999999999996"/>
    <s v=""/>
    <s v="C"/>
    <n v="0"/>
    <n v="1"/>
    <n v="0"/>
    <x v="0"/>
    <n v="0"/>
    <n v="0"/>
    <n v="1"/>
    <n v="0"/>
    <n v="0"/>
  </r>
  <r>
    <n v="834"/>
    <n v="0"/>
    <n v="3"/>
    <s v="Augustsson, Mr. Albert"/>
    <n v="0"/>
    <x v="39"/>
    <n v="0"/>
    <n v="0"/>
    <s v="347468"/>
    <n v="7.8541999999999996"/>
    <s v=""/>
    <s v="S"/>
    <n v="1"/>
    <n v="0"/>
    <n v="0"/>
    <x v="0"/>
    <n v="0"/>
    <n v="0"/>
    <n v="1"/>
    <n v="0"/>
    <n v="0"/>
  </r>
  <r>
    <n v="835"/>
    <n v="0"/>
    <n v="3"/>
    <s v="Allum, Mr. Owen George"/>
    <n v="0"/>
    <x v="24"/>
    <n v="0"/>
    <n v="0"/>
    <s v="2223"/>
    <n v="8.3000000000000007"/>
    <s v=""/>
    <s v="S"/>
    <n v="1"/>
    <n v="0"/>
    <n v="0"/>
    <x v="0"/>
    <n v="0"/>
    <n v="0"/>
    <n v="1"/>
    <n v="0"/>
    <n v="0"/>
  </r>
  <r>
    <n v="836"/>
    <n v="1"/>
    <n v="1"/>
    <s v="Compton, Miss. Sara Rebecca"/>
    <n v="1"/>
    <x v="12"/>
    <n v="1"/>
    <n v="1"/>
    <s v="PC 17756"/>
    <n v="83.158299999999997"/>
    <s v="E49"/>
    <s v="C"/>
    <n v="0"/>
    <n v="1"/>
    <n v="0"/>
    <x v="2"/>
    <n v="1"/>
    <n v="0"/>
    <n v="0"/>
    <n v="0"/>
    <n v="0"/>
  </r>
  <r>
    <n v="837"/>
    <n v="0"/>
    <n v="3"/>
    <s v="Pasic, Mr. Jakob"/>
    <n v="0"/>
    <x v="23"/>
    <n v="0"/>
    <n v="0"/>
    <s v="315097"/>
    <n v="8.6624999999999996"/>
    <s v=""/>
    <s v="S"/>
    <n v="1"/>
    <n v="0"/>
    <n v="0"/>
    <x v="0"/>
    <n v="0"/>
    <n v="0"/>
    <n v="1"/>
    <n v="0"/>
    <n v="0"/>
  </r>
  <r>
    <n v="838"/>
    <n v="0"/>
    <n v="3"/>
    <s v="Sirota, Mr. Maurice"/>
    <n v="0"/>
    <x v="4"/>
    <n v="0"/>
    <n v="0"/>
    <s v="392092"/>
    <n v="8.0500000000000007"/>
    <s v=""/>
    <s v="S"/>
    <n v="1"/>
    <n v="0"/>
    <n v="0"/>
    <x v="0"/>
    <n v="0"/>
    <n v="0"/>
    <n v="1"/>
    <n v="0"/>
    <n v="0"/>
  </r>
  <r>
    <n v="839"/>
    <n v="1"/>
    <n v="3"/>
    <s v="Chip, Mr. Chang"/>
    <n v="0"/>
    <x v="34"/>
    <n v="0"/>
    <n v="0"/>
    <s v="1601"/>
    <n v="56.495800000000003"/>
    <s v=""/>
    <s v="S"/>
    <n v="1"/>
    <n v="0"/>
    <n v="0"/>
    <x v="0"/>
    <n v="0"/>
    <n v="0"/>
    <n v="1"/>
    <n v="0"/>
    <n v="0"/>
  </r>
  <r>
    <n v="840"/>
    <n v="1"/>
    <n v="1"/>
    <s v="Marechal, Mr. Pierre"/>
    <n v="0"/>
    <x v="4"/>
    <n v="0"/>
    <n v="0"/>
    <s v="11774"/>
    <n v="29.7"/>
    <s v="C47"/>
    <s v="C"/>
    <n v="0"/>
    <n v="1"/>
    <n v="0"/>
    <x v="0"/>
    <n v="0"/>
    <n v="0"/>
    <n v="1"/>
    <n v="0"/>
    <n v="0"/>
  </r>
  <r>
    <n v="841"/>
    <n v="0"/>
    <n v="3"/>
    <s v="Alhomaki, Mr. Ilmari Rudolf"/>
    <n v="0"/>
    <x v="11"/>
    <n v="0"/>
    <n v="0"/>
    <s v="SOTON/O2 3101287"/>
    <n v="7.9249999999999998"/>
    <s v=""/>
    <s v="S"/>
    <n v="1"/>
    <n v="0"/>
    <n v="0"/>
    <x v="0"/>
    <n v="0"/>
    <n v="0"/>
    <n v="1"/>
    <n v="0"/>
    <n v="0"/>
  </r>
  <r>
    <n v="842"/>
    <n v="0"/>
    <n v="2"/>
    <s v="Mudd, Mr. Thomas Charles"/>
    <n v="0"/>
    <x v="35"/>
    <n v="0"/>
    <n v="0"/>
    <s v="S.O./P.P. 3"/>
    <n v="10.5"/>
    <s v=""/>
    <s v="S"/>
    <n v="1"/>
    <n v="0"/>
    <n v="0"/>
    <x v="0"/>
    <n v="0"/>
    <n v="0"/>
    <n v="1"/>
    <n v="0"/>
    <n v="0"/>
  </r>
  <r>
    <n v="843"/>
    <n v="1"/>
    <n v="1"/>
    <s v="Serepeca, Miss. Augusta"/>
    <n v="1"/>
    <x v="37"/>
    <n v="0"/>
    <n v="0"/>
    <s v="113798"/>
    <n v="31"/>
    <s v=""/>
    <s v="C"/>
    <n v="0"/>
    <n v="1"/>
    <n v="0"/>
    <x v="2"/>
    <n v="1"/>
    <n v="0"/>
    <n v="0"/>
    <n v="0"/>
    <n v="0"/>
  </r>
  <r>
    <n v="844"/>
    <n v="0"/>
    <n v="3"/>
    <s v="Lemberopolous, Mr. Peter L"/>
    <n v="0"/>
    <x v="4"/>
    <n v="0"/>
    <n v="0"/>
    <s v="2683"/>
    <n v="6.4375"/>
    <s v=""/>
    <s v="C"/>
    <n v="0"/>
    <n v="1"/>
    <n v="0"/>
    <x v="0"/>
    <n v="0"/>
    <n v="0"/>
    <n v="1"/>
    <n v="0"/>
    <n v="0"/>
  </r>
  <r>
    <n v="845"/>
    <n v="0"/>
    <n v="3"/>
    <s v="Culumovic, Mr. Jeso"/>
    <n v="0"/>
    <x v="33"/>
    <n v="0"/>
    <n v="0"/>
    <s v="315090"/>
    <n v="8.6624999999999996"/>
    <s v=""/>
    <s v="S"/>
    <n v="1"/>
    <n v="0"/>
    <n v="0"/>
    <x v="0"/>
    <n v="0"/>
    <n v="0"/>
    <n v="1"/>
    <n v="0"/>
    <n v="0"/>
  </r>
  <r>
    <n v="846"/>
    <n v="0"/>
    <n v="3"/>
    <s v="Abbing, Mr. Anthony"/>
    <n v="0"/>
    <x v="22"/>
    <n v="0"/>
    <n v="0"/>
    <s v="C.A. 5547"/>
    <n v="7.55"/>
    <s v=""/>
    <s v="S"/>
    <n v="1"/>
    <n v="0"/>
    <n v="0"/>
    <x v="0"/>
    <n v="0"/>
    <n v="0"/>
    <n v="1"/>
    <n v="0"/>
    <n v="0"/>
  </r>
  <r>
    <n v="847"/>
    <n v="0"/>
    <n v="3"/>
    <s v="Sage, Mr. Douglas Bullen"/>
    <n v="0"/>
    <x v="4"/>
    <n v="8"/>
    <n v="2"/>
    <s v="CA. 2343"/>
    <n v="69.55"/>
    <s v=""/>
    <s v="S"/>
    <n v="1"/>
    <n v="0"/>
    <n v="0"/>
    <x v="0"/>
    <n v="0"/>
    <n v="0"/>
    <n v="1"/>
    <n v="0"/>
    <n v="0"/>
  </r>
  <r>
    <n v="848"/>
    <n v="0"/>
    <n v="3"/>
    <s v="Markoff, Mr. Marin"/>
    <n v="0"/>
    <x v="3"/>
    <n v="0"/>
    <n v="0"/>
    <s v="349213"/>
    <n v="7.8958000000000004"/>
    <s v=""/>
    <s v="C"/>
    <n v="0"/>
    <n v="1"/>
    <n v="0"/>
    <x v="0"/>
    <n v="0"/>
    <n v="0"/>
    <n v="1"/>
    <n v="0"/>
    <n v="0"/>
  </r>
  <r>
    <n v="849"/>
    <n v="0"/>
    <n v="2"/>
    <s v="Harper, Rev. John"/>
    <n v="0"/>
    <x v="17"/>
    <n v="0"/>
    <n v="1"/>
    <s v="248727"/>
    <n v="33"/>
    <s v=""/>
    <s v="S"/>
    <n v="1"/>
    <n v="0"/>
    <n v="0"/>
    <x v="5"/>
    <n v="0"/>
    <n v="0"/>
    <n v="0"/>
    <n v="0"/>
    <n v="1"/>
  </r>
  <r>
    <n v="850"/>
    <n v="1"/>
    <n v="1"/>
    <s v="Goldenberg, Mrs. Samuel L (Edwiga Grabowska)"/>
    <n v="1"/>
    <x v="4"/>
    <n v="1"/>
    <n v="0"/>
    <s v="17453"/>
    <n v="89.104200000000006"/>
    <s v="C92"/>
    <s v="C"/>
    <n v="0"/>
    <n v="1"/>
    <n v="0"/>
    <x v="1"/>
    <n v="0"/>
    <n v="1"/>
    <n v="0"/>
    <n v="0"/>
    <n v="0"/>
  </r>
  <r>
    <n v="851"/>
    <n v="0"/>
    <n v="3"/>
    <s v="Andersson, Master. Sigvard Harald Elias"/>
    <n v="0"/>
    <x v="9"/>
    <n v="4"/>
    <n v="2"/>
    <s v="347082"/>
    <n v="31.274999999999999"/>
    <s v=""/>
    <s v="S"/>
    <n v="1"/>
    <n v="0"/>
    <n v="0"/>
    <x v="3"/>
    <n v="0"/>
    <n v="0"/>
    <n v="0"/>
    <n v="1"/>
    <n v="0"/>
  </r>
  <r>
    <n v="852"/>
    <n v="0"/>
    <n v="3"/>
    <s v="Svensson, Mr. Johan"/>
    <n v="0"/>
    <x v="70"/>
    <n v="0"/>
    <n v="0"/>
    <s v="347060"/>
    <n v="7.7750000000000004"/>
    <s v=""/>
    <s v="S"/>
    <n v="1"/>
    <n v="0"/>
    <n v="0"/>
    <x v="0"/>
    <n v="0"/>
    <n v="0"/>
    <n v="1"/>
    <n v="0"/>
    <n v="0"/>
  </r>
  <r>
    <n v="853"/>
    <n v="0"/>
    <n v="3"/>
    <s v="Boulos, Miss. Nourelain"/>
    <n v="1"/>
    <x v="47"/>
    <n v="1"/>
    <n v="1"/>
    <s v="2678"/>
    <n v="15.245799999999999"/>
    <s v=""/>
    <s v="C"/>
    <n v="0"/>
    <n v="1"/>
    <n v="0"/>
    <x v="2"/>
    <n v="1"/>
    <n v="0"/>
    <n v="0"/>
    <n v="0"/>
    <n v="0"/>
  </r>
  <r>
    <n v="854"/>
    <n v="1"/>
    <n v="1"/>
    <s v="Lines, Miss. Mary Conover"/>
    <n v="1"/>
    <x v="35"/>
    <n v="0"/>
    <n v="1"/>
    <s v="PC 17592"/>
    <n v="39.4"/>
    <s v="D28"/>
    <s v="S"/>
    <n v="1"/>
    <n v="0"/>
    <n v="0"/>
    <x v="2"/>
    <n v="1"/>
    <n v="0"/>
    <n v="0"/>
    <n v="0"/>
    <n v="0"/>
  </r>
  <r>
    <n v="855"/>
    <n v="0"/>
    <n v="2"/>
    <s v="Carter, Mrs. Ernest Courtenay (Lilian Hughes)"/>
    <n v="1"/>
    <x v="49"/>
    <n v="1"/>
    <n v="0"/>
    <s v="244252"/>
    <n v="26"/>
    <s v=""/>
    <s v="S"/>
    <n v="1"/>
    <n v="0"/>
    <n v="0"/>
    <x v="1"/>
    <n v="0"/>
    <n v="1"/>
    <n v="0"/>
    <n v="0"/>
    <n v="0"/>
  </r>
  <r>
    <n v="856"/>
    <n v="1"/>
    <n v="3"/>
    <s v="Aks, Mrs. Sam (Leah Rosen)"/>
    <n v="1"/>
    <x v="24"/>
    <n v="0"/>
    <n v="1"/>
    <s v="392091"/>
    <n v="9.35"/>
    <s v=""/>
    <s v="S"/>
    <n v="1"/>
    <n v="0"/>
    <n v="0"/>
    <x v="1"/>
    <n v="0"/>
    <n v="1"/>
    <n v="0"/>
    <n v="0"/>
    <n v="0"/>
  </r>
  <r>
    <n v="857"/>
    <n v="1"/>
    <n v="1"/>
    <s v="Wick, Mrs. George Dennick (Mary Hitchcock)"/>
    <n v="1"/>
    <x v="32"/>
    <n v="1"/>
    <n v="1"/>
    <s v="36928"/>
    <n v="164.86670000000001"/>
    <s v=""/>
    <s v="S"/>
    <n v="1"/>
    <n v="0"/>
    <n v="0"/>
    <x v="1"/>
    <n v="0"/>
    <n v="1"/>
    <n v="0"/>
    <n v="0"/>
    <n v="0"/>
  </r>
  <r>
    <n v="858"/>
    <n v="1"/>
    <n v="1"/>
    <s v="Daly, Mr. Peter Denis "/>
    <n v="0"/>
    <x v="48"/>
    <n v="0"/>
    <n v="0"/>
    <s v="113055"/>
    <n v="26.55"/>
    <s v="E17"/>
    <s v="S"/>
    <n v="1"/>
    <n v="0"/>
    <n v="0"/>
    <x v="0"/>
    <n v="0"/>
    <n v="0"/>
    <n v="1"/>
    <n v="0"/>
    <n v="0"/>
  </r>
  <r>
    <n v="859"/>
    <n v="1"/>
    <n v="3"/>
    <s v="Baclini, Mrs. Solomon (Latifa Qurban)"/>
    <n v="1"/>
    <x v="40"/>
    <n v="0"/>
    <n v="3"/>
    <s v="2666"/>
    <n v="19.258299999999998"/>
    <s v=""/>
    <s v="C"/>
    <n v="0"/>
    <n v="1"/>
    <n v="0"/>
    <x v="1"/>
    <n v="0"/>
    <n v="1"/>
    <n v="0"/>
    <n v="0"/>
    <n v="0"/>
  </r>
  <r>
    <n v="860"/>
    <n v="0"/>
    <n v="3"/>
    <s v="Razi, Mr. Raihed"/>
    <n v="0"/>
    <x v="4"/>
    <n v="0"/>
    <n v="0"/>
    <s v="2629"/>
    <n v="7.2291999999999996"/>
    <s v=""/>
    <s v="C"/>
    <n v="0"/>
    <n v="1"/>
    <n v="0"/>
    <x v="0"/>
    <n v="0"/>
    <n v="0"/>
    <n v="1"/>
    <n v="0"/>
    <n v="0"/>
  </r>
  <r>
    <n v="861"/>
    <n v="0"/>
    <n v="3"/>
    <s v="Hansen, Mr. Claus Peter"/>
    <n v="0"/>
    <x v="56"/>
    <n v="2"/>
    <n v="0"/>
    <s v="350026"/>
    <n v="14.1083"/>
    <s v=""/>
    <s v="S"/>
    <n v="1"/>
    <n v="0"/>
    <n v="0"/>
    <x v="0"/>
    <n v="0"/>
    <n v="0"/>
    <n v="1"/>
    <n v="0"/>
    <n v="0"/>
  </r>
  <r>
    <n v="862"/>
    <n v="0"/>
    <n v="2"/>
    <s v="Giles, Mr. Frederick Edward"/>
    <n v="0"/>
    <x v="23"/>
    <n v="1"/>
    <n v="0"/>
    <s v="28134"/>
    <n v="11.5"/>
    <s v=""/>
    <s v="S"/>
    <n v="1"/>
    <n v="0"/>
    <n v="0"/>
    <x v="0"/>
    <n v="0"/>
    <n v="0"/>
    <n v="1"/>
    <n v="0"/>
    <n v="0"/>
  </r>
  <r>
    <n v="863"/>
    <n v="1"/>
    <n v="1"/>
    <s v="Swift, Mrs. Frederick Joel (Margaret Welles Barron)"/>
    <n v="1"/>
    <x v="64"/>
    <n v="0"/>
    <n v="0"/>
    <s v="17466"/>
    <n v="25.929200000000002"/>
    <s v="D17"/>
    <s v="S"/>
    <n v="1"/>
    <n v="0"/>
    <n v="0"/>
    <x v="1"/>
    <n v="0"/>
    <n v="1"/>
    <n v="0"/>
    <n v="0"/>
    <n v="0"/>
  </r>
  <r>
    <n v="864"/>
    <n v="0"/>
    <n v="3"/>
    <s v="Sage, Miss. Dorothy Edith &quot;Dolly&quot;"/>
    <n v="1"/>
    <x v="4"/>
    <n v="8"/>
    <n v="2"/>
    <s v="CA. 2343"/>
    <n v="69.55"/>
    <s v=""/>
    <s v="S"/>
    <n v="1"/>
    <n v="0"/>
    <n v="0"/>
    <x v="2"/>
    <n v="1"/>
    <n v="0"/>
    <n v="0"/>
    <n v="0"/>
    <n v="0"/>
  </r>
  <r>
    <n v="865"/>
    <n v="0"/>
    <n v="2"/>
    <s v="Gill, Mr. John William"/>
    <n v="0"/>
    <x v="40"/>
    <n v="0"/>
    <n v="0"/>
    <s v="233866"/>
    <n v="13"/>
    <s v=""/>
    <s v="S"/>
    <n v="1"/>
    <n v="0"/>
    <n v="0"/>
    <x v="0"/>
    <n v="0"/>
    <n v="0"/>
    <n v="1"/>
    <n v="0"/>
    <n v="0"/>
  </r>
  <r>
    <n v="866"/>
    <n v="1"/>
    <n v="2"/>
    <s v="Bystrom, Mrs. (Karolina)"/>
    <n v="1"/>
    <x v="22"/>
    <n v="0"/>
    <n v="0"/>
    <s v="236852"/>
    <n v="13"/>
    <s v=""/>
    <s v="S"/>
    <n v="1"/>
    <n v="0"/>
    <n v="0"/>
    <x v="1"/>
    <n v="0"/>
    <n v="1"/>
    <n v="0"/>
    <n v="0"/>
    <n v="0"/>
  </r>
  <r>
    <n v="867"/>
    <n v="1"/>
    <n v="2"/>
    <s v="Duran y More, Miss. Asuncion"/>
    <n v="1"/>
    <x v="7"/>
    <n v="1"/>
    <n v="0"/>
    <s v="SC/PARIS 2149"/>
    <n v="13.8583"/>
    <s v=""/>
    <s v="C"/>
    <n v="0"/>
    <n v="1"/>
    <n v="0"/>
    <x v="2"/>
    <n v="1"/>
    <n v="0"/>
    <n v="0"/>
    <n v="0"/>
    <n v="0"/>
  </r>
  <r>
    <n v="868"/>
    <n v="0"/>
    <n v="1"/>
    <s v="Roebling, Mr. Washington Augustus II"/>
    <n v="0"/>
    <x v="14"/>
    <n v="0"/>
    <n v="0"/>
    <s v="PC 17590"/>
    <n v="50.495800000000003"/>
    <s v="A24"/>
    <s v="S"/>
    <n v="1"/>
    <n v="0"/>
    <n v="0"/>
    <x v="0"/>
    <n v="0"/>
    <n v="0"/>
    <n v="1"/>
    <n v="0"/>
    <n v="0"/>
  </r>
  <r>
    <n v="869"/>
    <n v="0"/>
    <n v="3"/>
    <s v="van Melkebeke, Mr. Philemon"/>
    <n v="0"/>
    <x v="4"/>
    <n v="0"/>
    <n v="0"/>
    <s v="345777"/>
    <n v="9.5"/>
    <s v=""/>
    <s v="S"/>
    <n v="1"/>
    <n v="0"/>
    <n v="0"/>
    <x v="0"/>
    <n v="0"/>
    <n v="0"/>
    <n v="1"/>
    <n v="0"/>
    <n v="0"/>
  </r>
  <r>
    <n v="870"/>
    <n v="1"/>
    <n v="3"/>
    <s v="Johnson, Master. Harold Theodor"/>
    <n v="0"/>
    <x v="9"/>
    <n v="1"/>
    <n v="1"/>
    <s v="347742"/>
    <n v="11.1333"/>
    <s v=""/>
    <s v="S"/>
    <n v="1"/>
    <n v="0"/>
    <n v="0"/>
    <x v="3"/>
    <n v="0"/>
    <n v="0"/>
    <n v="0"/>
    <n v="1"/>
    <n v="0"/>
  </r>
  <r>
    <n v="871"/>
    <n v="0"/>
    <n v="3"/>
    <s v="Balkic, Mr. Cerin"/>
    <n v="0"/>
    <x v="2"/>
    <n v="0"/>
    <n v="0"/>
    <s v="349248"/>
    <n v="7.8958000000000004"/>
    <s v=""/>
    <s v="S"/>
    <n v="1"/>
    <n v="0"/>
    <n v="0"/>
    <x v="0"/>
    <n v="0"/>
    <n v="0"/>
    <n v="1"/>
    <n v="0"/>
    <n v="0"/>
  </r>
  <r>
    <n v="872"/>
    <n v="1"/>
    <n v="1"/>
    <s v="Beckwith, Mrs. Richard Leonard (Sallie Monypeny)"/>
    <n v="1"/>
    <x v="45"/>
    <n v="1"/>
    <n v="1"/>
    <s v="11751"/>
    <n v="52.554200000000002"/>
    <s v="D35"/>
    <s v="S"/>
    <n v="1"/>
    <n v="0"/>
    <n v="0"/>
    <x v="1"/>
    <n v="0"/>
    <n v="1"/>
    <n v="0"/>
    <n v="0"/>
    <n v="0"/>
  </r>
  <r>
    <n v="873"/>
    <n v="0"/>
    <n v="1"/>
    <s v="Carlsson, Mr. Frans Olof"/>
    <n v="0"/>
    <x v="38"/>
    <n v="0"/>
    <n v="0"/>
    <s v="695"/>
    <n v="5"/>
    <s v="B51 B53 B55"/>
    <s v="S"/>
    <n v="1"/>
    <n v="0"/>
    <n v="0"/>
    <x v="0"/>
    <n v="0"/>
    <n v="0"/>
    <n v="1"/>
    <n v="0"/>
    <n v="0"/>
  </r>
  <r>
    <n v="874"/>
    <n v="0"/>
    <n v="3"/>
    <s v="Vander Cruyssen, Mr. Victor"/>
    <n v="0"/>
    <x v="45"/>
    <n v="0"/>
    <n v="0"/>
    <s v="345765"/>
    <n v="9"/>
    <s v=""/>
    <s v="S"/>
    <n v="1"/>
    <n v="0"/>
    <n v="0"/>
    <x v="0"/>
    <n v="0"/>
    <n v="0"/>
    <n v="1"/>
    <n v="0"/>
    <n v="0"/>
  </r>
  <r>
    <n v="875"/>
    <n v="1"/>
    <n v="2"/>
    <s v="Abelson, Mrs. Samuel (Hannah Wizosky)"/>
    <n v="1"/>
    <x v="17"/>
    <n v="1"/>
    <n v="0"/>
    <s v="P/PP 3381"/>
    <n v="24"/>
    <s v=""/>
    <s v="C"/>
    <n v="0"/>
    <n v="1"/>
    <n v="0"/>
    <x v="1"/>
    <n v="0"/>
    <n v="1"/>
    <n v="0"/>
    <n v="0"/>
    <n v="0"/>
  </r>
  <r>
    <n v="876"/>
    <n v="1"/>
    <n v="3"/>
    <s v="Najib, Miss. Adele Kiamie &quot;Jane&quot;"/>
    <n v="1"/>
    <x v="16"/>
    <n v="0"/>
    <n v="0"/>
    <s v="2667"/>
    <n v="7.2249999999999996"/>
    <s v=""/>
    <s v="C"/>
    <n v="0"/>
    <n v="1"/>
    <n v="0"/>
    <x v="2"/>
    <n v="1"/>
    <n v="0"/>
    <n v="0"/>
    <n v="0"/>
    <n v="0"/>
  </r>
  <r>
    <n v="877"/>
    <n v="0"/>
    <n v="3"/>
    <s v="Gustafsson, Mr. Alfred Ossian"/>
    <n v="0"/>
    <x v="11"/>
    <n v="0"/>
    <n v="0"/>
    <s v="7534"/>
    <n v="9.8458000000000006"/>
    <s v=""/>
    <s v="S"/>
    <n v="1"/>
    <n v="0"/>
    <n v="0"/>
    <x v="0"/>
    <n v="0"/>
    <n v="0"/>
    <n v="1"/>
    <n v="0"/>
    <n v="0"/>
  </r>
  <r>
    <n v="878"/>
    <n v="0"/>
    <n v="3"/>
    <s v="Petroff, Mr. Nedelio"/>
    <n v="0"/>
    <x v="19"/>
    <n v="0"/>
    <n v="0"/>
    <s v="349212"/>
    <n v="7.8958000000000004"/>
    <s v=""/>
    <s v="S"/>
    <n v="1"/>
    <n v="0"/>
    <n v="0"/>
    <x v="0"/>
    <n v="0"/>
    <n v="0"/>
    <n v="1"/>
    <n v="0"/>
    <n v="0"/>
  </r>
  <r>
    <n v="879"/>
    <n v="0"/>
    <n v="3"/>
    <s v="Laleff, Mr. Kristo"/>
    <n v="0"/>
    <x v="4"/>
    <n v="0"/>
    <n v="0"/>
    <s v="349217"/>
    <n v="7.8958000000000004"/>
    <s v=""/>
    <s v="S"/>
    <n v="1"/>
    <n v="0"/>
    <n v="0"/>
    <x v="0"/>
    <n v="0"/>
    <n v="0"/>
    <n v="1"/>
    <n v="0"/>
    <n v="0"/>
  </r>
  <r>
    <n v="880"/>
    <n v="1"/>
    <n v="1"/>
    <s v="Potter, Mrs. Thomas Jr (Lily Alexenia Wilson)"/>
    <n v="1"/>
    <x v="52"/>
    <n v="0"/>
    <n v="1"/>
    <s v="11767"/>
    <n v="83.158299999999997"/>
    <s v="C50"/>
    <s v="C"/>
    <n v="0"/>
    <n v="1"/>
    <n v="0"/>
    <x v="1"/>
    <n v="0"/>
    <n v="1"/>
    <n v="0"/>
    <n v="0"/>
    <n v="0"/>
  </r>
  <r>
    <n v="881"/>
    <n v="1"/>
    <n v="2"/>
    <s v="Shelley, Mrs. William (Imanita Parrish Hall)"/>
    <n v="1"/>
    <x v="36"/>
    <n v="0"/>
    <n v="1"/>
    <s v="230433"/>
    <n v="26"/>
    <s v=""/>
    <s v="S"/>
    <n v="1"/>
    <n v="0"/>
    <n v="0"/>
    <x v="1"/>
    <n v="0"/>
    <n v="1"/>
    <n v="0"/>
    <n v="0"/>
    <n v="0"/>
  </r>
  <r>
    <n v="882"/>
    <n v="0"/>
    <n v="3"/>
    <s v="Markun, Mr. Johann"/>
    <n v="0"/>
    <x v="38"/>
    <n v="0"/>
    <n v="0"/>
    <s v="349257"/>
    <n v="7.8958000000000004"/>
    <s v=""/>
    <s v="S"/>
    <n v="1"/>
    <n v="0"/>
    <n v="0"/>
    <x v="0"/>
    <n v="0"/>
    <n v="0"/>
    <n v="1"/>
    <n v="0"/>
    <n v="0"/>
  </r>
  <r>
    <n v="883"/>
    <n v="0"/>
    <n v="3"/>
    <s v="Dahlberg, Miss. Gerda Ulrika"/>
    <n v="1"/>
    <x v="0"/>
    <n v="0"/>
    <n v="0"/>
    <s v="7552"/>
    <n v="10.5167"/>
    <s v=""/>
    <s v="S"/>
    <n v="1"/>
    <n v="0"/>
    <n v="0"/>
    <x v="2"/>
    <n v="1"/>
    <n v="0"/>
    <n v="0"/>
    <n v="0"/>
    <n v="0"/>
  </r>
  <r>
    <n v="884"/>
    <n v="0"/>
    <n v="2"/>
    <s v="Banfield, Mr. Frederick James"/>
    <n v="0"/>
    <x v="17"/>
    <n v="0"/>
    <n v="0"/>
    <s v="C.A./SOTON 34068"/>
    <n v="10.5"/>
    <s v=""/>
    <s v="S"/>
    <n v="1"/>
    <n v="0"/>
    <n v="0"/>
    <x v="0"/>
    <n v="0"/>
    <n v="0"/>
    <n v="1"/>
    <n v="0"/>
    <n v="0"/>
  </r>
  <r>
    <n v="885"/>
    <n v="0"/>
    <n v="3"/>
    <s v="Sutehall, Mr. Henry Jr"/>
    <n v="0"/>
    <x v="36"/>
    <n v="0"/>
    <n v="0"/>
    <s v="SOTON/OQ 392076"/>
    <n v="7.05"/>
    <s v=""/>
    <s v="S"/>
    <n v="1"/>
    <n v="0"/>
    <n v="0"/>
    <x v="0"/>
    <n v="0"/>
    <n v="0"/>
    <n v="1"/>
    <n v="0"/>
    <n v="0"/>
  </r>
  <r>
    <n v="886"/>
    <n v="0"/>
    <n v="3"/>
    <s v="Rice, Mrs. William (Margaret Norton)"/>
    <n v="1"/>
    <x v="12"/>
    <n v="0"/>
    <n v="5"/>
    <s v="382652"/>
    <n v="29.125"/>
    <s v=""/>
    <s v="Q"/>
    <n v="0"/>
    <n v="0"/>
    <n v="1"/>
    <x v="1"/>
    <n v="0"/>
    <n v="1"/>
    <n v="0"/>
    <n v="0"/>
    <n v="0"/>
  </r>
  <r>
    <n v="887"/>
    <n v="0"/>
    <n v="2"/>
    <s v="Montvila, Rev. Juozas"/>
    <n v="0"/>
    <x v="7"/>
    <n v="0"/>
    <n v="0"/>
    <s v="211536"/>
    <n v="13"/>
    <s v=""/>
    <s v="S"/>
    <n v="1"/>
    <n v="0"/>
    <n v="0"/>
    <x v="5"/>
    <n v="0"/>
    <n v="0"/>
    <n v="0"/>
    <n v="0"/>
    <n v="1"/>
  </r>
  <r>
    <n v="888"/>
    <n v="1"/>
    <n v="1"/>
    <s v="Graham, Miss. Margaret Edith"/>
    <n v="1"/>
    <x v="19"/>
    <n v="0"/>
    <n v="0"/>
    <s v="112053"/>
    <n v="30"/>
    <s v="B42"/>
    <s v="S"/>
    <n v="1"/>
    <n v="0"/>
    <n v="0"/>
    <x v="2"/>
    <n v="1"/>
    <n v="0"/>
    <n v="0"/>
    <n v="0"/>
    <n v="0"/>
  </r>
  <r>
    <n v="889"/>
    <n v="0"/>
    <n v="3"/>
    <s v="Johnston, Miss. Catherine Helen &quot;Carrie&quot;"/>
    <n v="1"/>
    <x v="4"/>
    <n v="1"/>
    <n v="2"/>
    <s v="W./C. 6607"/>
    <n v="23.45"/>
    <s v=""/>
    <s v="S"/>
    <n v="1"/>
    <n v="0"/>
    <n v="0"/>
    <x v="2"/>
    <n v="1"/>
    <n v="0"/>
    <n v="0"/>
    <n v="0"/>
    <n v="0"/>
  </r>
  <r>
    <n v="890"/>
    <n v="1"/>
    <n v="1"/>
    <s v="Behr, Mr. Karl Howell"/>
    <n v="0"/>
    <x v="2"/>
    <n v="0"/>
    <n v="0"/>
    <s v="111369"/>
    <n v="30"/>
    <s v="C148"/>
    <s v="C"/>
    <n v="0"/>
    <n v="1"/>
    <n v="0"/>
    <x v="0"/>
    <n v="0"/>
    <n v="0"/>
    <n v="1"/>
    <n v="0"/>
    <n v="0"/>
  </r>
  <r>
    <n v="891"/>
    <n v="0"/>
    <n v="3"/>
    <s v="Dooley, Mr. Patrick"/>
    <n v="0"/>
    <x v="34"/>
    <n v="0"/>
    <n v="0"/>
    <s v="370376"/>
    <n v="7.75"/>
    <s v=""/>
    <s v="Q"/>
    <n v="0"/>
    <n v="0"/>
    <n v="1"/>
    <x v="0"/>
    <n v="0"/>
    <n v="0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1"/>
    <x v="0"/>
    <n v="3"/>
    <s v="Braund, Mr. Owen Harris"/>
    <n v="0"/>
    <x v="0"/>
    <n v="1"/>
    <n v="0"/>
    <s v="A/5 21171"/>
    <n v="7.25"/>
    <s v=""/>
    <x v="0"/>
    <n v="1"/>
    <n v="0"/>
    <n v="0"/>
    <x v="0"/>
    <n v="0"/>
    <n v="0"/>
    <n v="1"/>
    <n v="0"/>
    <n v="0"/>
  </r>
  <r>
    <n v="2"/>
    <x v="1"/>
    <n v="1"/>
    <s v="Cumings, Mrs. John Bradley (Florence Briggs Thayer)"/>
    <n v="1"/>
    <x v="1"/>
    <n v="1"/>
    <n v="0"/>
    <s v="PC 17599"/>
    <n v="71.283299999999997"/>
    <s v="C85"/>
    <x v="1"/>
    <n v="0"/>
    <n v="1"/>
    <n v="0"/>
    <x v="1"/>
    <n v="0"/>
    <n v="1"/>
    <n v="0"/>
    <n v="0"/>
    <n v="0"/>
  </r>
  <r>
    <n v="3"/>
    <x v="1"/>
    <n v="3"/>
    <s v="Heikkinen, Miss. Laina"/>
    <n v="1"/>
    <x v="2"/>
    <n v="0"/>
    <n v="0"/>
    <s v="STON/O2. 3101282"/>
    <n v="7.9249999999999998"/>
    <s v=""/>
    <x v="0"/>
    <n v="1"/>
    <n v="0"/>
    <n v="0"/>
    <x v="2"/>
    <n v="1"/>
    <n v="0"/>
    <n v="0"/>
    <n v="0"/>
    <n v="0"/>
  </r>
  <r>
    <n v="4"/>
    <x v="1"/>
    <n v="1"/>
    <s v="Futrelle, Mrs. Jacques Heath (Lily May Peel)"/>
    <n v="1"/>
    <x v="3"/>
    <n v="1"/>
    <n v="0"/>
    <s v="113803"/>
    <n v="53.1"/>
    <s v="C123"/>
    <x v="0"/>
    <n v="1"/>
    <n v="0"/>
    <n v="0"/>
    <x v="1"/>
    <n v="0"/>
    <n v="1"/>
    <n v="0"/>
    <n v="0"/>
    <n v="0"/>
  </r>
  <r>
    <n v="5"/>
    <x v="0"/>
    <n v="3"/>
    <s v="Allen, Mr. William Henry"/>
    <n v="0"/>
    <x v="3"/>
    <n v="0"/>
    <n v="0"/>
    <s v="373450"/>
    <n v="8.0500000000000007"/>
    <s v=""/>
    <x v="0"/>
    <n v="1"/>
    <n v="0"/>
    <n v="0"/>
    <x v="0"/>
    <n v="0"/>
    <n v="0"/>
    <n v="1"/>
    <n v="0"/>
    <n v="0"/>
  </r>
  <r>
    <n v="6"/>
    <x v="0"/>
    <n v="3"/>
    <s v="Moran, Mr. James"/>
    <n v="0"/>
    <x v="4"/>
    <n v="0"/>
    <n v="0"/>
    <s v="330877"/>
    <n v="8.4582999999999995"/>
    <s v=""/>
    <x v="2"/>
    <n v="0"/>
    <n v="0"/>
    <n v="1"/>
    <x v="0"/>
    <n v="0"/>
    <n v="0"/>
    <n v="1"/>
    <n v="0"/>
    <n v="0"/>
  </r>
  <r>
    <n v="7"/>
    <x v="0"/>
    <n v="1"/>
    <s v="McCarthy, Mr. Timothy J"/>
    <n v="0"/>
    <x v="5"/>
    <n v="0"/>
    <n v="0"/>
    <s v="17463"/>
    <n v="51.862499999999997"/>
    <s v="E46"/>
    <x v="0"/>
    <n v="1"/>
    <n v="0"/>
    <n v="0"/>
    <x v="0"/>
    <n v="0"/>
    <n v="0"/>
    <n v="1"/>
    <n v="0"/>
    <n v="0"/>
  </r>
  <r>
    <n v="8"/>
    <x v="0"/>
    <n v="3"/>
    <s v="Palsson, Master. Gosta Leonard"/>
    <n v="0"/>
    <x v="6"/>
    <n v="3"/>
    <n v="1"/>
    <s v="349909"/>
    <n v="21.074999999999999"/>
    <s v=""/>
    <x v="0"/>
    <n v="1"/>
    <n v="0"/>
    <n v="0"/>
    <x v="3"/>
    <n v="0"/>
    <n v="0"/>
    <n v="0"/>
    <n v="1"/>
    <n v="0"/>
  </r>
  <r>
    <n v="9"/>
    <x v="1"/>
    <n v="3"/>
    <s v="Johnson, Mrs. Oscar W (Elisabeth Vilhelmina Berg)"/>
    <n v="1"/>
    <x v="7"/>
    <n v="0"/>
    <n v="2"/>
    <s v="347742"/>
    <n v="11.1333"/>
    <s v=""/>
    <x v="0"/>
    <n v="1"/>
    <n v="0"/>
    <n v="0"/>
    <x v="1"/>
    <n v="0"/>
    <n v="1"/>
    <n v="0"/>
    <n v="0"/>
    <n v="0"/>
  </r>
  <r>
    <n v="10"/>
    <x v="1"/>
    <n v="2"/>
    <s v="Nasser, Mrs. Nicholas (Adele Achem)"/>
    <n v="1"/>
    <x v="8"/>
    <n v="1"/>
    <n v="0"/>
    <s v="237736"/>
    <n v="30.070799999999998"/>
    <s v=""/>
    <x v="1"/>
    <n v="0"/>
    <n v="1"/>
    <n v="0"/>
    <x v="1"/>
    <n v="0"/>
    <n v="1"/>
    <n v="0"/>
    <n v="0"/>
    <n v="0"/>
  </r>
  <r>
    <n v="11"/>
    <x v="1"/>
    <n v="3"/>
    <s v="Sandstrom, Miss. Marguerite Rut"/>
    <n v="1"/>
    <x v="9"/>
    <n v="1"/>
    <n v="1"/>
    <s v="PP 9549"/>
    <n v="16.7"/>
    <s v="G6"/>
    <x v="0"/>
    <n v="1"/>
    <n v="0"/>
    <n v="0"/>
    <x v="2"/>
    <n v="1"/>
    <n v="0"/>
    <n v="0"/>
    <n v="0"/>
    <n v="0"/>
  </r>
  <r>
    <n v="12"/>
    <x v="1"/>
    <n v="1"/>
    <s v="Bonnell, Miss. Elizabeth"/>
    <n v="1"/>
    <x v="10"/>
    <n v="0"/>
    <n v="0"/>
    <s v="113783"/>
    <n v="26.55"/>
    <s v="C103"/>
    <x v="0"/>
    <n v="1"/>
    <n v="0"/>
    <n v="0"/>
    <x v="2"/>
    <n v="1"/>
    <n v="0"/>
    <n v="0"/>
    <n v="0"/>
    <n v="0"/>
  </r>
  <r>
    <n v="13"/>
    <x v="0"/>
    <n v="3"/>
    <s v="Saundercock, Mr. William Henry"/>
    <n v="0"/>
    <x v="11"/>
    <n v="0"/>
    <n v="0"/>
    <s v="A/5. 2151"/>
    <n v="8.0500000000000007"/>
    <s v=""/>
    <x v="0"/>
    <n v="1"/>
    <n v="0"/>
    <n v="0"/>
    <x v="0"/>
    <n v="0"/>
    <n v="0"/>
    <n v="1"/>
    <n v="0"/>
    <n v="0"/>
  </r>
  <r>
    <n v="14"/>
    <x v="0"/>
    <n v="3"/>
    <s v="Andersson, Mr. Anders Johan"/>
    <n v="0"/>
    <x v="12"/>
    <n v="1"/>
    <n v="5"/>
    <s v="347082"/>
    <n v="31.274999999999999"/>
    <s v=""/>
    <x v="0"/>
    <n v="1"/>
    <n v="0"/>
    <n v="0"/>
    <x v="0"/>
    <n v="0"/>
    <n v="0"/>
    <n v="1"/>
    <n v="0"/>
    <n v="0"/>
  </r>
  <r>
    <n v="15"/>
    <x v="0"/>
    <n v="3"/>
    <s v="Vestrom, Miss. Hulda Amanda Adolfina"/>
    <n v="1"/>
    <x v="8"/>
    <n v="0"/>
    <n v="0"/>
    <s v="350406"/>
    <n v="7.8541999999999996"/>
    <s v=""/>
    <x v="0"/>
    <n v="1"/>
    <n v="0"/>
    <n v="0"/>
    <x v="2"/>
    <n v="1"/>
    <n v="0"/>
    <n v="0"/>
    <n v="0"/>
    <n v="0"/>
  </r>
  <r>
    <n v="16"/>
    <x v="1"/>
    <n v="2"/>
    <s v="Hewlett, Mrs. (Mary D Kingcome) "/>
    <n v="1"/>
    <x v="13"/>
    <n v="0"/>
    <n v="0"/>
    <s v="248706"/>
    <n v="16"/>
    <s v=""/>
    <x v="0"/>
    <n v="1"/>
    <n v="0"/>
    <n v="0"/>
    <x v="1"/>
    <n v="0"/>
    <n v="1"/>
    <n v="0"/>
    <n v="0"/>
    <n v="0"/>
  </r>
  <r>
    <n v="17"/>
    <x v="0"/>
    <n v="3"/>
    <s v="Rice, Master. Eugene"/>
    <n v="0"/>
    <x v="6"/>
    <n v="4"/>
    <n v="1"/>
    <s v="382652"/>
    <n v="29.125"/>
    <s v=""/>
    <x v="2"/>
    <n v="0"/>
    <n v="0"/>
    <n v="1"/>
    <x v="3"/>
    <n v="0"/>
    <n v="0"/>
    <n v="0"/>
    <n v="1"/>
    <n v="0"/>
  </r>
  <r>
    <n v="18"/>
    <x v="1"/>
    <n v="2"/>
    <s v="Williams, Mr. Charles Eugene"/>
    <n v="0"/>
    <x v="4"/>
    <n v="0"/>
    <n v="0"/>
    <s v="244373"/>
    <n v="13"/>
    <s v=""/>
    <x v="0"/>
    <n v="1"/>
    <n v="0"/>
    <n v="0"/>
    <x v="0"/>
    <n v="0"/>
    <n v="0"/>
    <n v="1"/>
    <n v="0"/>
    <n v="0"/>
  </r>
  <r>
    <n v="19"/>
    <x v="0"/>
    <n v="3"/>
    <s v="Vander Planke, Mrs. Julius (Emelia Maria Vandemoortele)"/>
    <n v="1"/>
    <x v="14"/>
    <n v="1"/>
    <n v="0"/>
    <s v="345763"/>
    <n v="18"/>
    <s v=""/>
    <x v="0"/>
    <n v="1"/>
    <n v="0"/>
    <n v="0"/>
    <x v="1"/>
    <n v="0"/>
    <n v="1"/>
    <n v="0"/>
    <n v="0"/>
    <n v="0"/>
  </r>
  <r>
    <n v="20"/>
    <x v="1"/>
    <n v="3"/>
    <s v="Masselmani, Mrs. Fatima"/>
    <n v="1"/>
    <x v="4"/>
    <n v="0"/>
    <n v="0"/>
    <s v="2649"/>
    <n v="7.2249999999999996"/>
    <s v=""/>
    <x v="1"/>
    <n v="0"/>
    <n v="1"/>
    <n v="0"/>
    <x v="1"/>
    <n v="0"/>
    <n v="1"/>
    <n v="0"/>
    <n v="0"/>
    <n v="0"/>
  </r>
  <r>
    <n v="21"/>
    <x v="0"/>
    <n v="2"/>
    <s v="Fynney, Mr. Joseph J"/>
    <n v="0"/>
    <x v="3"/>
    <n v="0"/>
    <n v="0"/>
    <s v="239865"/>
    <n v="26"/>
    <s v=""/>
    <x v="0"/>
    <n v="1"/>
    <n v="0"/>
    <n v="0"/>
    <x v="0"/>
    <n v="0"/>
    <n v="0"/>
    <n v="1"/>
    <n v="0"/>
    <n v="0"/>
  </r>
  <r>
    <n v="22"/>
    <x v="1"/>
    <n v="2"/>
    <s v="Beesley, Mr. Lawrence"/>
    <n v="0"/>
    <x v="15"/>
    <n v="0"/>
    <n v="0"/>
    <s v="248698"/>
    <n v="13"/>
    <s v="D56"/>
    <x v="0"/>
    <n v="1"/>
    <n v="0"/>
    <n v="0"/>
    <x v="0"/>
    <n v="0"/>
    <n v="0"/>
    <n v="1"/>
    <n v="0"/>
    <n v="0"/>
  </r>
  <r>
    <n v="23"/>
    <x v="1"/>
    <n v="3"/>
    <s v="McGowan, Miss. Anna &quot;Annie&quot;"/>
    <n v="1"/>
    <x v="16"/>
    <n v="0"/>
    <n v="0"/>
    <s v="330923"/>
    <n v="8.0291999999999994"/>
    <s v=""/>
    <x v="2"/>
    <n v="0"/>
    <n v="0"/>
    <n v="1"/>
    <x v="2"/>
    <n v="1"/>
    <n v="0"/>
    <n v="0"/>
    <n v="0"/>
    <n v="0"/>
  </r>
  <r>
    <n v="24"/>
    <x v="1"/>
    <n v="1"/>
    <s v="Sloper, Mr. William Thompson"/>
    <n v="0"/>
    <x v="17"/>
    <n v="0"/>
    <n v="0"/>
    <s v="113788"/>
    <n v="35.5"/>
    <s v="A6"/>
    <x v="0"/>
    <n v="1"/>
    <n v="0"/>
    <n v="0"/>
    <x v="0"/>
    <n v="0"/>
    <n v="0"/>
    <n v="1"/>
    <n v="0"/>
    <n v="0"/>
  </r>
  <r>
    <n v="25"/>
    <x v="0"/>
    <n v="3"/>
    <s v="Palsson, Miss. Torborg Danira"/>
    <n v="1"/>
    <x v="18"/>
    <n v="3"/>
    <n v="1"/>
    <s v="349909"/>
    <n v="21.074999999999999"/>
    <s v=""/>
    <x v="0"/>
    <n v="1"/>
    <n v="0"/>
    <n v="0"/>
    <x v="2"/>
    <n v="1"/>
    <n v="0"/>
    <n v="0"/>
    <n v="0"/>
    <n v="0"/>
  </r>
  <r>
    <n v="26"/>
    <x v="1"/>
    <n v="3"/>
    <s v="Asplund, Mrs. Carl Oscar (Selma Augusta Emilia Johansson)"/>
    <n v="1"/>
    <x v="1"/>
    <n v="1"/>
    <n v="5"/>
    <s v="347077"/>
    <n v="31.387499999999999"/>
    <s v=""/>
    <x v="0"/>
    <n v="1"/>
    <n v="0"/>
    <n v="0"/>
    <x v="1"/>
    <n v="0"/>
    <n v="1"/>
    <n v="0"/>
    <n v="0"/>
    <n v="0"/>
  </r>
  <r>
    <n v="27"/>
    <x v="0"/>
    <n v="3"/>
    <s v="Emir, Mr. Farred Chehab"/>
    <n v="0"/>
    <x v="4"/>
    <n v="0"/>
    <n v="0"/>
    <s v="2631"/>
    <n v="7.2249999999999996"/>
    <s v=""/>
    <x v="1"/>
    <n v="0"/>
    <n v="1"/>
    <n v="0"/>
    <x v="0"/>
    <n v="0"/>
    <n v="0"/>
    <n v="1"/>
    <n v="0"/>
    <n v="0"/>
  </r>
  <r>
    <n v="28"/>
    <x v="0"/>
    <n v="1"/>
    <s v="Fortune, Mr. Charles Alexander"/>
    <n v="0"/>
    <x v="19"/>
    <n v="3"/>
    <n v="2"/>
    <s v="19950"/>
    <n v="263"/>
    <s v="C23 C25 C27"/>
    <x v="0"/>
    <n v="1"/>
    <n v="0"/>
    <n v="0"/>
    <x v="0"/>
    <n v="0"/>
    <n v="0"/>
    <n v="1"/>
    <n v="0"/>
    <n v="0"/>
  </r>
  <r>
    <n v="29"/>
    <x v="1"/>
    <n v="3"/>
    <s v="O'Dwyer, Miss. Ellen &quot;Nellie&quot;"/>
    <n v="1"/>
    <x v="4"/>
    <n v="0"/>
    <n v="0"/>
    <s v="330959"/>
    <n v="7.8792"/>
    <s v=""/>
    <x v="2"/>
    <n v="0"/>
    <n v="0"/>
    <n v="1"/>
    <x v="2"/>
    <n v="1"/>
    <n v="0"/>
    <n v="0"/>
    <n v="0"/>
    <n v="0"/>
  </r>
  <r>
    <n v="30"/>
    <x v="0"/>
    <n v="3"/>
    <s v="Todoroff, Mr. Lalio"/>
    <n v="0"/>
    <x v="4"/>
    <n v="0"/>
    <n v="0"/>
    <s v="349216"/>
    <n v="7.8958000000000004"/>
    <s v=""/>
    <x v="0"/>
    <n v="1"/>
    <n v="0"/>
    <n v="0"/>
    <x v="0"/>
    <n v="0"/>
    <n v="0"/>
    <n v="1"/>
    <n v="0"/>
    <n v="0"/>
  </r>
  <r>
    <n v="31"/>
    <x v="0"/>
    <n v="1"/>
    <s v="Uruchurtu, Don. Manuel E"/>
    <n v="0"/>
    <x v="20"/>
    <n v="0"/>
    <n v="0"/>
    <s v="PC 17601"/>
    <n v="27.720800000000001"/>
    <s v=""/>
    <x v="1"/>
    <n v="0"/>
    <n v="1"/>
    <n v="0"/>
    <x v="4"/>
    <n v="0"/>
    <n v="0"/>
    <n v="0"/>
    <n v="0"/>
    <n v="1"/>
  </r>
  <r>
    <n v="32"/>
    <x v="1"/>
    <n v="1"/>
    <s v="Spencer, Mrs. William Augustus (Marie Eugenie)"/>
    <n v="1"/>
    <x v="4"/>
    <n v="1"/>
    <n v="0"/>
    <s v="PC 17569"/>
    <n v="146.52080000000001"/>
    <s v="B78"/>
    <x v="1"/>
    <n v="0"/>
    <n v="1"/>
    <n v="0"/>
    <x v="1"/>
    <n v="0"/>
    <n v="1"/>
    <n v="0"/>
    <n v="0"/>
    <n v="0"/>
  </r>
  <r>
    <n v="33"/>
    <x v="1"/>
    <n v="3"/>
    <s v="Glynn, Miss. Mary Agatha"/>
    <n v="1"/>
    <x v="4"/>
    <n v="0"/>
    <n v="0"/>
    <s v="335677"/>
    <n v="7.75"/>
    <s v=""/>
    <x v="2"/>
    <n v="0"/>
    <n v="0"/>
    <n v="1"/>
    <x v="2"/>
    <n v="1"/>
    <n v="0"/>
    <n v="0"/>
    <n v="0"/>
    <n v="0"/>
  </r>
  <r>
    <n v="34"/>
    <x v="0"/>
    <n v="2"/>
    <s v="Wheadon, Mr. Edward H"/>
    <n v="0"/>
    <x v="21"/>
    <n v="0"/>
    <n v="0"/>
    <s v="C.A. 24579"/>
    <n v="10.5"/>
    <s v=""/>
    <x v="0"/>
    <n v="1"/>
    <n v="0"/>
    <n v="0"/>
    <x v="0"/>
    <n v="0"/>
    <n v="0"/>
    <n v="1"/>
    <n v="0"/>
    <n v="0"/>
  </r>
  <r>
    <n v="35"/>
    <x v="0"/>
    <n v="1"/>
    <s v="Meyer, Mr. Edgar Joseph"/>
    <n v="0"/>
    <x v="17"/>
    <n v="1"/>
    <n v="0"/>
    <s v="PC 17604"/>
    <n v="82.1708"/>
    <s v=""/>
    <x v="1"/>
    <n v="0"/>
    <n v="1"/>
    <n v="0"/>
    <x v="0"/>
    <n v="0"/>
    <n v="0"/>
    <n v="1"/>
    <n v="0"/>
    <n v="0"/>
  </r>
  <r>
    <n v="36"/>
    <x v="0"/>
    <n v="1"/>
    <s v="Holverson, Mr. Alexander Oskar"/>
    <n v="0"/>
    <x v="22"/>
    <n v="1"/>
    <n v="0"/>
    <s v="113789"/>
    <n v="52"/>
    <s v=""/>
    <x v="0"/>
    <n v="1"/>
    <n v="0"/>
    <n v="0"/>
    <x v="0"/>
    <n v="0"/>
    <n v="0"/>
    <n v="1"/>
    <n v="0"/>
    <n v="0"/>
  </r>
  <r>
    <n v="37"/>
    <x v="1"/>
    <n v="3"/>
    <s v="Mamee, Mr. Hanna"/>
    <n v="0"/>
    <x v="4"/>
    <n v="0"/>
    <n v="0"/>
    <s v="2677"/>
    <n v="7.2291999999999996"/>
    <s v=""/>
    <x v="1"/>
    <n v="0"/>
    <n v="1"/>
    <n v="0"/>
    <x v="0"/>
    <n v="0"/>
    <n v="0"/>
    <n v="1"/>
    <n v="0"/>
    <n v="0"/>
  </r>
  <r>
    <n v="38"/>
    <x v="0"/>
    <n v="3"/>
    <s v="Cann, Mr. Ernest Charles"/>
    <n v="0"/>
    <x v="23"/>
    <n v="0"/>
    <n v="0"/>
    <s v="A./5. 2152"/>
    <n v="8.0500000000000007"/>
    <s v=""/>
    <x v="0"/>
    <n v="1"/>
    <n v="0"/>
    <n v="0"/>
    <x v="0"/>
    <n v="0"/>
    <n v="0"/>
    <n v="1"/>
    <n v="0"/>
    <n v="0"/>
  </r>
  <r>
    <n v="39"/>
    <x v="0"/>
    <n v="3"/>
    <s v="Vander Planke, Miss. Augusta Maria"/>
    <n v="1"/>
    <x v="24"/>
    <n v="2"/>
    <n v="0"/>
    <s v="345764"/>
    <n v="18"/>
    <s v=""/>
    <x v="0"/>
    <n v="1"/>
    <n v="0"/>
    <n v="0"/>
    <x v="2"/>
    <n v="1"/>
    <n v="0"/>
    <n v="0"/>
    <n v="0"/>
    <n v="0"/>
  </r>
  <r>
    <n v="40"/>
    <x v="1"/>
    <n v="3"/>
    <s v="Nicola-Yarred, Miss. Jamila"/>
    <n v="1"/>
    <x v="8"/>
    <n v="1"/>
    <n v="0"/>
    <s v="2651"/>
    <n v="11.2417"/>
    <s v=""/>
    <x v="1"/>
    <n v="0"/>
    <n v="1"/>
    <n v="0"/>
    <x v="2"/>
    <n v="1"/>
    <n v="0"/>
    <n v="0"/>
    <n v="0"/>
    <n v="0"/>
  </r>
  <r>
    <n v="41"/>
    <x v="0"/>
    <n v="3"/>
    <s v="Ahlin, Mrs. Johan (Johanna Persdotter Larsson)"/>
    <n v="1"/>
    <x v="20"/>
    <n v="1"/>
    <n v="0"/>
    <s v="7546"/>
    <n v="9.4749999999999996"/>
    <s v=""/>
    <x v="0"/>
    <n v="1"/>
    <n v="0"/>
    <n v="0"/>
    <x v="1"/>
    <n v="0"/>
    <n v="1"/>
    <n v="0"/>
    <n v="0"/>
    <n v="0"/>
  </r>
  <r>
    <n v="42"/>
    <x v="0"/>
    <n v="2"/>
    <s v="Turpin, Mrs. William John Robert (Dorothy Ann Wonnacott)"/>
    <n v="1"/>
    <x v="7"/>
    <n v="1"/>
    <n v="0"/>
    <s v="11668"/>
    <n v="21"/>
    <s v=""/>
    <x v="0"/>
    <n v="1"/>
    <n v="0"/>
    <n v="0"/>
    <x v="1"/>
    <n v="0"/>
    <n v="1"/>
    <n v="0"/>
    <n v="0"/>
    <n v="0"/>
  </r>
  <r>
    <n v="43"/>
    <x v="0"/>
    <n v="3"/>
    <s v="Kraeff, Mr. Theodor"/>
    <n v="0"/>
    <x v="4"/>
    <n v="0"/>
    <n v="0"/>
    <s v="349253"/>
    <n v="7.8958000000000004"/>
    <s v=""/>
    <x v="1"/>
    <n v="0"/>
    <n v="1"/>
    <n v="0"/>
    <x v="0"/>
    <n v="0"/>
    <n v="0"/>
    <n v="1"/>
    <n v="0"/>
    <n v="0"/>
  </r>
  <r>
    <n v="44"/>
    <x v="1"/>
    <n v="2"/>
    <s v="Laroche, Miss. Simonne Marie Anne Andree"/>
    <n v="1"/>
    <x v="25"/>
    <n v="1"/>
    <n v="2"/>
    <s v="SC/Paris 2123"/>
    <n v="41.5792"/>
    <s v=""/>
    <x v="1"/>
    <n v="0"/>
    <n v="1"/>
    <n v="0"/>
    <x v="2"/>
    <n v="1"/>
    <n v="0"/>
    <n v="0"/>
    <n v="0"/>
    <n v="0"/>
  </r>
  <r>
    <n v="45"/>
    <x v="1"/>
    <n v="3"/>
    <s v="Devaney, Miss. Margaret Delia"/>
    <n v="1"/>
    <x v="19"/>
    <n v="0"/>
    <n v="0"/>
    <s v="330958"/>
    <n v="7.8792"/>
    <s v=""/>
    <x v="2"/>
    <n v="0"/>
    <n v="0"/>
    <n v="1"/>
    <x v="2"/>
    <n v="1"/>
    <n v="0"/>
    <n v="0"/>
    <n v="0"/>
    <n v="0"/>
  </r>
  <r>
    <n v="46"/>
    <x v="0"/>
    <n v="3"/>
    <s v="Rogers, Mr. William John"/>
    <n v="0"/>
    <x v="4"/>
    <n v="0"/>
    <n v="0"/>
    <s v="S.C./A.4. 23567"/>
    <n v="8.0500000000000007"/>
    <s v=""/>
    <x v="0"/>
    <n v="1"/>
    <n v="0"/>
    <n v="0"/>
    <x v="0"/>
    <n v="0"/>
    <n v="0"/>
    <n v="1"/>
    <n v="0"/>
    <n v="0"/>
  </r>
  <r>
    <n v="47"/>
    <x v="0"/>
    <n v="3"/>
    <s v="Lennon, Mr. Denis"/>
    <n v="0"/>
    <x v="4"/>
    <n v="1"/>
    <n v="0"/>
    <s v="370371"/>
    <n v="15.5"/>
    <s v=""/>
    <x v="2"/>
    <n v="0"/>
    <n v="0"/>
    <n v="1"/>
    <x v="0"/>
    <n v="0"/>
    <n v="0"/>
    <n v="1"/>
    <n v="0"/>
    <n v="0"/>
  </r>
  <r>
    <n v="48"/>
    <x v="1"/>
    <n v="3"/>
    <s v="O'Driscoll, Miss. Bridget"/>
    <n v="1"/>
    <x v="4"/>
    <n v="0"/>
    <n v="0"/>
    <s v="14311"/>
    <n v="7.75"/>
    <s v=""/>
    <x v="2"/>
    <n v="0"/>
    <n v="0"/>
    <n v="1"/>
    <x v="2"/>
    <n v="1"/>
    <n v="0"/>
    <n v="0"/>
    <n v="0"/>
    <n v="0"/>
  </r>
  <r>
    <n v="49"/>
    <x v="0"/>
    <n v="3"/>
    <s v="Samaan, Mr. Youssef"/>
    <n v="0"/>
    <x v="4"/>
    <n v="2"/>
    <n v="0"/>
    <s v="2662"/>
    <n v="21.679200000000002"/>
    <s v=""/>
    <x v="1"/>
    <n v="0"/>
    <n v="1"/>
    <n v="0"/>
    <x v="0"/>
    <n v="0"/>
    <n v="0"/>
    <n v="1"/>
    <n v="0"/>
    <n v="0"/>
  </r>
  <r>
    <n v="50"/>
    <x v="0"/>
    <n v="3"/>
    <s v="Arnold-Franchi, Mrs. Josef (Josefine Franchi)"/>
    <n v="1"/>
    <x v="24"/>
    <n v="1"/>
    <n v="0"/>
    <s v="349237"/>
    <n v="17.8"/>
    <s v=""/>
    <x v="0"/>
    <n v="1"/>
    <n v="0"/>
    <n v="0"/>
    <x v="1"/>
    <n v="0"/>
    <n v="1"/>
    <n v="0"/>
    <n v="0"/>
    <n v="0"/>
  </r>
  <r>
    <n v="51"/>
    <x v="0"/>
    <n v="3"/>
    <s v="Panula, Master. Juha Niilo"/>
    <n v="0"/>
    <x v="26"/>
    <n v="4"/>
    <n v="1"/>
    <s v="3101295"/>
    <n v="39.6875"/>
    <s v=""/>
    <x v="0"/>
    <n v="1"/>
    <n v="0"/>
    <n v="0"/>
    <x v="3"/>
    <n v="0"/>
    <n v="0"/>
    <n v="0"/>
    <n v="1"/>
    <n v="0"/>
  </r>
  <r>
    <n v="52"/>
    <x v="0"/>
    <n v="3"/>
    <s v="Nosworthy, Mr. Richard Cater"/>
    <n v="0"/>
    <x v="23"/>
    <n v="0"/>
    <n v="0"/>
    <s v="A/4. 39886"/>
    <n v="7.8"/>
    <s v=""/>
    <x v="0"/>
    <n v="1"/>
    <n v="0"/>
    <n v="0"/>
    <x v="0"/>
    <n v="0"/>
    <n v="0"/>
    <n v="1"/>
    <n v="0"/>
    <n v="0"/>
  </r>
  <r>
    <n v="53"/>
    <x v="1"/>
    <n v="1"/>
    <s v="Harper, Mrs. Henry Sleeper (Myna Haxtun)"/>
    <n v="1"/>
    <x v="27"/>
    <n v="1"/>
    <n v="0"/>
    <s v="PC 17572"/>
    <n v="76.729200000000006"/>
    <s v="D33"/>
    <x v="1"/>
    <n v="0"/>
    <n v="1"/>
    <n v="0"/>
    <x v="1"/>
    <n v="0"/>
    <n v="1"/>
    <n v="0"/>
    <n v="0"/>
    <n v="0"/>
  </r>
  <r>
    <n v="54"/>
    <x v="1"/>
    <n v="2"/>
    <s v="Faunthorpe, Mrs. Lizzie (Elizabeth Anne Wilkinson)"/>
    <n v="1"/>
    <x v="28"/>
    <n v="1"/>
    <n v="0"/>
    <s v="2926"/>
    <n v="26"/>
    <s v=""/>
    <x v="0"/>
    <n v="1"/>
    <n v="0"/>
    <n v="0"/>
    <x v="1"/>
    <n v="0"/>
    <n v="1"/>
    <n v="0"/>
    <n v="0"/>
    <n v="0"/>
  </r>
  <r>
    <n v="55"/>
    <x v="0"/>
    <n v="1"/>
    <s v="Ostby, Mr. Engelhart Cornelius"/>
    <n v="0"/>
    <x v="29"/>
    <n v="0"/>
    <n v="1"/>
    <s v="113509"/>
    <n v="61.979199999999999"/>
    <s v="B30"/>
    <x v="1"/>
    <n v="0"/>
    <n v="1"/>
    <n v="0"/>
    <x v="0"/>
    <n v="0"/>
    <n v="0"/>
    <n v="1"/>
    <n v="0"/>
    <n v="0"/>
  </r>
  <r>
    <n v="56"/>
    <x v="1"/>
    <n v="1"/>
    <s v="Woolner, Mr. Hugh"/>
    <n v="0"/>
    <x v="4"/>
    <n v="0"/>
    <n v="0"/>
    <s v="19947"/>
    <n v="35.5"/>
    <s v="C52"/>
    <x v="0"/>
    <n v="1"/>
    <n v="0"/>
    <n v="0"/>
    <x v="0"/>
    <n v="0"/>
    <n v="0"/>
    <n v="1"/>
    <n v="0"/>
    <n v="0"/>
  </r>
  <r>
    <n v="57"/>
    <x v="1"/>
    <n v="2"/>
    <s v="Rugg, Miss. Emily"/>
    <n v="1"/>
    <x v="23"/>
    <n v="0"/>
    <n v="0"/>
    <s v="C.A. 31026"/>
    <n v="10.5"/>
    <s v=""/>
    <x v="0"/>
    <n v="1"/>
    <n v="0"/>
    <n v="0"/>
    <x v="2"/>
    <n v="1"/>
    <n v="0"/>
    <n v="0"/>
    <n v="0"/>
    <n v="0"/>
  </r>
  <r>
    <n v="58"/>
    <x v="0"/>
    <n v="3"/>
    <s v="Novel, Mr. Mansouer"/>
    <n v="0"/>
    <x v="4"/>
    <n v="0"/>
    <n v="0"/>
    <s v="2697"/>
    <n v="7.2291999999999996"/>
    <s v=""/>
    <x v="1"/>
    <n v="0"/>
    <n v="1"/>
    <n v="0"/>
    <x v="0"/>
    <n v="0"/>
    <n v="0"/>
    <n v="1"/>
    <n v="0"/>
    <n v="0"/>
  </r>
  <r>
    <n v="59"/>
    <x v="1"/>
    <n v="2"/>
    <s v="West, Miss. Constance Mirium"/>
    <n v="1"/>
    <x v="30"/>
    <n v="1"/>
    <n v="2"/>
    <s v="C.A. 34651"/>
    <n v="27.75"/>
    <s v=""/>
    <x v="0"/>
    <n v="1"/>
    <n v="0"/>
    <n v="0"/>
    <x v="2"/>
    <n v="1"/>
    <n v="0"/>
    <n v="0"/>
    <n v="0"/>
    <n v="0"/>
  </r>
  <r>
    <n v="60"/>
    <x v="0"/>
    <n v="3"/>
    <s v="Goodwin, Master. William Frederick"/>
    <n v="0"/>
    <x v="31"/>
    <n v="5"/>
    <n v="2"/>
    <s v="CA 2144"/>
    <n v="46.9"/>
    <s v=""/>
    <x v="0"/>
    <n v="1"/>
    <n v="0"/>
    <n v="0"/>
    <x v="3"/>
    <n v="0"/>
    <n v="0"/>
    <n v="0"/>
    <n v="1"/>
    <n v="0"/>
  </r>
  <r>
    <n v="61"/>
    <x v="0"/>
    <n v="3"/>
    <s v="Sirayanian, Mr. Orsen"/>
    <n v="0"/>
    <x v="0"/>
    <n v="0"/>
    <n v="0"/>
    <s v="2669"/>
    <n v="7.2291999999999996"/>
    <s v=""/>
    <x v="1"/>
    <n v="0"/>
    <n v="1"/>
    <n v="0"/>
    <x v="0"/>
    <n v="0"/>
    <n v="0"/>
    <n v="1"/>
    <n v="0"/>
    <n v="0"/>
  </r>
  <r>
    <n v="62"/>
    <x v="1"/>
    <n v="1"/>
    <s v="Icard, Miss. Amelie"/>
    <n v="1"/>
    <x v="1"/>
    <n v="0"/>
    <n v="0"/>
    <s v="113572"/>
    <n v="80"/>
    <s v="B28"/>
    <x v="3"/>
    <n v="0"/>
    <n v="0"/>
    <n v="0"/>
    <x v="2"/>
    <n v="1"/>
    <n v="0"/>
    <n v="0"/>
    <n v="0"/>
    <n v="0"/>
  </r>
  <r>
    <n v="63"/>
    <x v="0"/>
    <n v="1"/>
    <s v="Harris, Mr. Henry Birkhardt"/>
    <n v="0"/>
    <x v="32"/>
    <n v="1"/>
    <n v="0"/>
    <s v="36973"/>
    <n v="83.474999999999994"/>
    <s v="C83"/>
    <x v="0"/>
    <n v="1"/>
    <n v="0"/>
    <n v="0"/>
    <x v="0"/>
    <n v="0"/>
    <n v="0"/>
    <n v="1"/>
    <n v="0"/>
    <n v="0"/>
  </r>
  <r>
    <n v="64"/>
    <x v="0"/>
    <n v="3"/>
    <s v="Skoog, Master. Harald"/>
    <n v="0"/>
    <x v="9"/>
    <n v="3"/>
    <n v="2"/>
    <s v="347088"/>
    <n v="27.9"/>
    <s v=""/>
    <x v="0"/>
    <n v="1"/>
    <n v="0"/>
    <n v="0"/>
    <x v="3"/>
    <n v="0"/>
    <n v="0"/>
    <n v="0"/>
    <n v="1"/>
    <n v="0"/>
  </r>
  <r>
    <n v="65"/>
    <x v="0"/>
    <n v="1"/>
    <s v="Stewart, Mr. Albert A"/>
    <n v="0"/>
    <x v="4"/>
    <n v="0"/>
    <n v="0"/>
    <s v="PC 17605"/>
    <n v="27.720800000000001"/>
    <s v=""/>
    <x v="1"/>
    <n v="0"/>
    <n v="1"/>
    <n v="0"/>
    <x v="0"/>
    <n v="0"/>
    <n v="0"/>
    <n v="1"/>
    <n v="0"/>
    <n v="0"/>
  </r>
  <r>
    <n v="66"/>
    <x v="1"/>
    <n v="3"/>
    <s v="Moubarek, Master. Gerios"/>
    <n v="0"/>
    <x v="4"/>
    <n v="1"/>
    <n v="1"/>
    <s v="2661"/>
    <n v="15.245799999999999"/>
    <s v=""/>
    <x v="1"/>
    <n v="0"/>
    <n v="1"/>
    <n v="0"/>
    <x v="3"/>
    <n v="0"/>
    <n v="0"/>
    <n v="0"/>
    <n v="1"/>
    <n v="0"/>
  </r>
  <r>
    <n v="67"/>
    <x v="1"/>
    <n v="2"/>
    <s v="Nye, Mrs. (Elizabeth Ramell)"/>
    <n v="1"/>
    <x v="28"/>
    <n v="0"/>
    <n v="0"/>
    <s v="C.A. 29395"/>
    <n v="10.5"/>
    <s v="F33"/>
    <x v="0"/>
    <n v="1"/>
    <n v="0"/>
    <n v="0"/>
    <x v="1"/>
    <n v="0"/>
    <n v="1"/>
    <n v="0"/>
    <n v="0"/>
    <n v="0"/>
  </r>
  <r>
    <n v="68"/>
    <x v="0"/>
    <n v="3"/>
    <s v="Crease, Mr. Ernest James"/>
    <n v="0"/>
    <x v="19"/>
    <n v="0"/>
    <n v="0"/>
    <s v="S.P. 3464"/>
    <n v="8.1583000000000006"/>
    <s v=""/>
    <x v="0"/>
    <n v="1"/>
    <n v="0"/>
    <n v="0"/>
    <x v="0"/>
    <n v="0"/>
    <n v="0"/>
    <n v="1"/>
    <n v="0"/>
    <n v="0"/>
  </r>
  <r>
    <n v="69"/>
    <x v="1"/>
    <n v="3"/>
    <s v="Andersson, Miss. Erna Alexandra"/>
    <n v="1"/>
    <x v="33"/>
    <n v="4"/>
    <n v="2"/>
    <s v="3101281"/>
    <n v="7.9249999999999998"/>
    <s v=""/>
    <x v="0"/>
    <n v="1"/>
    <n v="0"/>
    <n v="0"/>
    <x v="2"/>
    <n v="1"/>
    <n v="0"/>
    <n v="0"/>
    <n v="0"/>
    <n v="0"/>
  </r>
  <r>
    <n v="70"/>
    <x v="0"/>
    <n v="3"/>
    <s v="Kink, Mr. Vincenz"/>
    <n v="0"/>
    <x v="2"/>
    <n v="2"/>
    <n v="0"/>
    <s v="315151"/>
    <n v="8.6624999999999996"/>
    <s v=""/>
    <x v="0"/>
    <n v="1"/>
    <n v="0"/>
    <n v="0"/>
    <x v="0"/>
    <n v="0"/>
    <n v="0"/>
    <n v="1"/>
    <n v="0"/>
    <n v="0"/>
  </r>
  <r>
    <n v="71"/>
    <x v="0"/>
    <n v="2"/>
    <s v="Jenkin, Mr. Stephen Curnow"/>
    <n v="0"/>
    <x v="34"/>
    <n v="0"/>
    <n v="0"/>
    <s v="C.A. 33111"/>
    <n v="10.5"/>
    <s v=""/>
    <x v="0"/>
    <n v="1"/>
    <n v="0"/>
    <n v="0"/>
    <x v="0"/>
    <n v="0"/>
    <n v="0"/>
    <n v="1"/>
    <n v="0"/>
    <n v="0"/>
  </r>
  <r>
    <n v="72"/>
    <x v="0"/>
    <n v="3"/>
    <s v="Goodwin, Miss. Lillian Amy"/>
    <n v="1"/>
    <x v="35"/>
    <n v="5"/>
    <n v="2"/>
    <s v="CA 2144"/>
    <n v="46.9"/>
    <s v=""/>
    <x v="0"/>
    <n v="1"/>
    <n v="0"/>
    <n v="0"/>
    <x v="2"/>
    <n v="1"/>
    <n v="0"/>
    <n v="0"/>
    <n v="0"/>
    <n v="0"/>
  </r>
  <r>
    <n v="73"/>
    <x v="0"/>
    <n v="2"/>
    <s v="Hood, Mr. Ambrose Jr"/>
    <n v="0"/>
    <x v="23"/>
    <n v="0"/>
    <n v="0"/>
    <s v="S.O.C. 14879"/>
    <n v="73.5"/>
    <s v=""/>
    <x v="0"/>
    <n v="1"/>
    <n v="0"/>
    <n v="0"/>
    <x v="0"/>
    <n v="0"/>
    <n v="0"/>
    <n v="1"/>
    <n v="0"/>
    <n v="0"/>
  </r>
  <r>
    <n v="74"/>
    <x v="0"/>
    <n v="3"/>
    <s v="Chronopoulos, Mr. Apostolos"/>
    <n v="0"/>
    <x v="2"/>
    <n v="1"/>
    <n v="0"/>
    <s v="2680"/>
    <n v="14.4542"/>
    <s v=""/>
    <x v="1"/>
    <n v="0"/>
    <n v="1"/>
    <n v="0"/>
    <x v="0"/>
    <n v="0"/>
    <n v="0"/>
    <n v="1"/>
    <n v="0"/>
    <n v="0"/>
  </r>
  <r>
    <n v="75"/>
    <x v="1"/>
    <n v="3"/>
    <s v="Bing, Mr. Lee"/>
    <n v="0"/>
    <x v="34"/>
    <n v="0"/>
    <n v="0"/>
    <s v="1601"/>
    <n v="56.495800000000003"/>
    <s v=""/>
    <x v="0"/>
    <n v="1"/>
    <n v="0"/>
    <n v="0"/>
    <x v="0"/>
    <n v="0"/>
    <n v="0"/>
    <n v="1"/>
    <n v="0"/>
    <n v="0"/>
  </r>
  <r>
    <n v="76"/>
    <x v="0"/>
    <n v="3"/>
    <s v="Moen, Mr. Sigurd Hansen"/>
    <n v="0"/>
    <x v="36"/>
    <n v="0"/>
    <n v="0"/>
    <s v="348123"/>
    <n v="7.65"/>
    <s v="F G73"/>
    <x v="0"/>
    <n v="1"/>
    <n v="0"/>
    <n v="0"/>
    <x v="0"/>
    <n v="0"/>
    <n v="0"/>
    <n v="1"/>
    <n v="0"/>
    <n v="0"/>
  </r>
  <r>
    <n v="77"/>
    <x v="0"/>
    <n v="3"/>
    <s v="Staneff, Mr. Ivan"/>
    <n v="0"/>
    <x v="4"/>
    <n v="0"/>
    <n v="0"/>
    <s v="349208"/>
    <n v="7.8958000000000004"/>
    <s v=""/>
    <x v="0"/>
    <n v="1"/>
    <n v="0"/>
    <n v="0"/>
    <x v="0"/>
    <n v="0"/>
    <n v="0"/>
    <n v="1"/>
    <n v="0"/>
    <n v="0"/>
  </r>
  <r>
    <n v="78"/>
    <x v="0"/>
    <n v="3"/>
    <s v="Moutal, Mr. Rahamin Haim"/>
    <n v="0"/>
    <x v="4"/>
    <n v="0"/>
    <n v="0"/>
    <s v="374746"/>
    <n v="8.0500000000000007"/>
    <s v=""/>
    <x v="0"/>
    <n v="1"/>
    <n v="0"/>
    <n v="0"/>
    <x v="0"/>
    <n v="0"/>
    <n v="0"/>
    <n v="1"/>
    <n v="0"/>
    <n v="0"/>
  </r>
  <r>
    <n v="79"/>
    <x v="1"/>
    <n v="2"/>
    <s v="Caldwell, Master. Alden Gates"/>
    <n v="0"/>
    <x v="4"/>
    <n v="0"/>
    <n v="2"/>
    <s v="248738"/>
    <n v="29"/>
    <s v=""/>
    <x v="0"/>
    <n v="1"/>
    <n v="0"/>
    <n v="0"/>
    <x v="3"/>
    <n v="0"/>
    <n v="0"/>
    <n v="0"/>
    <n v="1"/>
    <n v="0"/>
  </r>
  <r>
    <n v="80"/>
    <x v="1"/>
    <n v="3"/>
    <s v="Dowdell, Miss. Elizabeth"/>
    <n v="1"/>
    <x v="37"/>
    <n v="0"/>
    <n v="0"/>
    <s v="364516"/>
    <n v="12.475"/>
    <s v=""/>
    <x v="0"/>
    <n v="1"/>
    <n v="0"/>
    <n v="0"/>
    <x v="2"/>
    <n v="1"/>
    <n v="0"/>
    <n v="0"/>
    <n v="0"/>
    <n v="0"/>
  </r>
  <r>
    <n v="81"/>
    <x v="0"/>
    <n v="3"/>
    <s v="Waelens, Mr. Achille"/>
    <n v="0"/>
    <x v="0"/>
    <n v="0"/>
    <n v="0"/>
    <s v="345767"/>
    <n v="9"/>
    <s v=""/>
    <x v="0"/>
    <n v="1"/>
    <n v="0"/>
    <n v="0"/>
    <x v="0"/>
    <n v="0"/>
    <n v="0"/>
    <n v="1"/>
    <n v="0"/>
    <n v="0"/>
  </r>
  <r>
    <n v="82"/>
    <x v="1"/>
    <n v="3"/>
    <s v="Sheerlinck, Mr. Jan Baptist"/>
    <n v="0"/>
    <x v="28"/>
    <n v="0"/>
    <n v="0"/>
    <s v="345779"/>
    <n v="9.5"/>
    <s v=""/>
    <x v="0"/>
    <n v="1"/>
    <n v="0"/>
    <n v="0"/>
    <x v="0"/>
    <n v="0"/>
    <n v="0"/>
    <n v="1"/>
    <n v="0"/>
    <n v="0"/>
  </r>
  <r>
    <n v="83"/>
    <x v="1"/>
    <n v="3"/>
    <s v="McDermott, Miss. Brigdet Delia"/>
    <n v="1"/>
    <x v="4"/>
    <n v="0"/>
    <n v="0"/>
    <s v="330932"/>
    <n v="7.7874999999999996"/>
    <s v=""/>
    <x v="2"/>
    <n v="0"/>
    <n v="0"/>
    <n v="1"/>
    <x v="2"/>
    <n v="1"/>
    <n v="0"/>
    <n v="0"/>
    <n v="0"/>
    <n v="0"/>
  </r>
  <r>
    <n v="84"/>
    <x v="0"/>
    <n v="1"/>
    <s v="Carrau, Mr. Francisco M"/>
    <n v="0"/>
    <x v="17"/>
    <n v="0"/>
    <n v="0"/>
    <s v="113059"/>
    <n v="47.1"/>
    <s v=""/>
    <x v="0"/>
    <n v="1"/>
    <n v="0"/>
    <n v="0"/>
    <x v="0"/>
    <n v="0"/>
    <n v="0"/>
    <n v="1"/>
    <n v="0"/>
    <n v="0"/>
  </r>
  <r>
    <n v="85"/>
    <x v="1"/>
    <n v="2"/>
    <s v="Ilett, Miss. Bertha"/>
    <n v="1"/>
    <x v="33"/>
    <n v="0"/>
    <n v="0"/>
    <s v="SO/C 14885"/>
    <n v="10.5"/>
    <s v=""/>
    <x v="0"/>
    <n v="1"/>
    <n v="0"/>
    <n v="0"/>
    <x v="2"/>
    <n v="1"/>
    <n v="0"/>
    <n v="0"/>
    <n v="0"/>
    <n v="0"/>
  </r>
  <r>
    <n v="86"/>
    <x v="1"/>
    <n v="3"/>
    <s v="Backstrom, Mrs. Karl Alfred (Maria Mathilda Gustafsson)"/>
    <n v="1"/>
    <x v="38"/>
    <n v="3"/>
    <n v="0"/>
    <s v="3101278"/>
    <n v="15.85"/>
    <s v=""/>
    <x v="0"/>
    <n v="1"/>
    <n v="0"/>
    <n v="0"/>
    <x v="1"/>
    <n v="0"/>
    <n v="1"/>
    <n v="0"/>
    <n v="0"/>
    <n v="0"/>
  </r>
  <r>
    <n v="87"/>
    <x v="0"/>
    <n v="3"/>
    <s v="Ford, Mr. William Neal"/>
    <n v="0"/>
    <x v="35"/>
    <n v="1"/>
    <n v="3"/>
    <s v="W./C. 6608"/>
    <n v="34.375"/>
    <s v=""/>
    <x v="0"/>
    <n v="1"/>
    <n v="0"/>
    <n v="0"/>
    <x v="0"/>
    <n v="0"/>
    <n v="0"/>
    <n v="1"/>
    <n v="0"/>
    <n v="0"/>
  </r>
  <r>
    <n v="88"/>
    <x v="0"/>
    <n v="3"/>
    <s v="Slocovski, Mr. Selman Francis"/>
    <n v="0"/>
    <x v="4"/>
    <n v="0"/>
    <n v="0"/>
    <s v="SOTON/OQ 392086"/>
    <n v="8.0500000000000007"/>
    <s v=""/>
    <x v="0"/>
    <n v="1"/>
    <n v="0"/>
    <n v="0"/>
    <x v="0"/>
    <n v="0"/>
    <n v="0"/>
    <n v="1"/>
    <n v="0"/>
    <n v="0"/>
  </r>
  <r>
    <n v="89"/>
    <x v="1"/>
    <n v="1"/>
    <s v="Fortune, Miss. Mabel Helen"/>
    <n v="1"/>
    <x v="39"/>
    <n v="3"/>
    <n v="2"/>
    <s v="19950"/>
    <n v="263"/>
    <s v="C23 C25 C27"/>
    <x v="0"/>
    <n v="1"/>
    <n v="0"/>
    <n v="0"/>
    <x v="2"/>
    <n v="1"/>
    <n v="0"/>
    <n v="0"/>
    <n v="0"/>
    <n v="0"/>
  </r>
  <r>
    <n v="90"/>
    <x v="0"/>
    <n v="3"/>
    <s v="Celotti, Mr. Francesco"/>
    <n v="0"/>
    <x v="40"/>
    <n v="0"/>
    <n v="0"/>
    <s v="343275"/>
    <n v="8.0500000000000007"/>
    <s v=""/>
    <x v="0"/>
    <n v="1"/>
    <n v="0"/>
    <n v="0"/>
    <x v="0"/>
    <n v="0"/>
    <n v="0"/>
    <n v="1"/>
    <n v="0"/>
    <n v="0"/>
  </r>
  <r>
    <n v="91"/>
    <x v="0"/>
    <n v="3"/>
    <s v="Christmann, Mr. Emil"/>
    <n v="0"/>
    <x v="28"/>
    <n v="0"/>
    <n v="0"/>
    <s v="343276"/>
    <n v="8.0500000000000007"/>
    <s v=""/>
    <x v="0"/>
    <n v="1"/>
    <n v="0"/>
    <n v="0"/>
    <x v="0"/>
    <n v="0"/>
    <n v="0"/>
    <n v="1"/>
    <n v="0"/>
    <n v="0"/>
  </r>
  <r>
    <n v="92"/>
    <x v="0"/>
    <n v="3"/>
    <s v="Andreasson, Mr. Paul Edvin"/>
    <n v="0"/>
    <x v="11"/>
    <n v="0"/>
    <n v="0"/>
    <s v="347466"/>
    <n v="7.8541999999999996"/>
    <s v=""/>
    <x v="0"/>
    <n v="1"/>
    <n v="0"/>
    <n v="0"/>
    <x v="0"/>
    <n v="0"/>
    <n v="0"/>
    <n v="1"/>
    <n v="0"/>
    <n v="0"/>
  </r>
  <r>
    <n v="93"/>
    <x v="0"/>
    <n v="1"/>
    <s v="Chaffee, Mr. Herbert Fuller"/>
    <n v="0"/>
    <x v="41"/>
    <n v="1"/>
    <n v="0"/>
    <s v="W.E.P. 5734"/>
    <n v="61.174999999999997"/>
    <s v="E31"/>
    <x v="0"/>
    <n v="1"/>
    <n v="0"/>
    <n v="0"/>
    <x v="0"/>
    <n v="0"/>
    <n v="0"/>
    <n v="1"/>
    <n v="0"/>
    <n v="0"/>
  </r>
  <r>
    <n v="94"/>
    <x v="0"/>
    <n v="3"/>
    <s v="Dean, Mr. Bertram Frank"/>
    <n v="0"/>
    <x v="2"/>
    <n v="1"/>
    <n v="2"/>
    <s v="C.A. 2315"/>
    <n v="20.574999999999999"/>
    <s v=""/>
    <x v="0"/>
    <n v="1"/>
    <n v="0"/>
    <n v="0"/>
    <x v="0"/>
    <n v="0"/>
    <n v="0"/>
    <n v="1"/>
    <n v="0"/>
    <n v="0"/>
  </r>
  <r>
    <n v="95"/>
    <x v="0"/>
    <n v="3"/>
    <s v="Coxon, Mr. Daniel"/>
    <n v="0"/>
    <x v="42"/>
    <n v="0"/>
    <n v="0"/>
    <s v="364500"/>
    <n v="7.25"/>
    <s v=""/>
    <x v="0"/>
    <n v="1"/>
    <n v="0"/>
    <n v="0"/>
    <x v="0"/>
    <n v="0"/>
    <n v="0"/>
    <n v="1"/>
    <n v="0"/>
    <n v="0"/>
  </r>
  <r>
    <n v="96"/>
    <x v="0"/>
    <n v="3"/>
    <s v="Shorney, Mr. Charles Joseph"/>
    <n v="0"/>
    <x v="4"/>
    <n v="0"/>
    <n v="0"/>
    <s v="374910"/>
    <n v="8.0500000000000007"/>
    <s v=""/>
    <x v="0"/>
    <n v="1"/>
    <n v="0"/>
    <n v="0"/>
    <x v="0"/>
    <n v="0"/>
    <n v="0"/>
    <n v="1"/>
    <n v="0"/>
    <n v="0"/>
  </r>
  <r>
    <n v="97"/>
    <x v="0"/>
    <n v="1"/>
    <s v="Goldschmidt, Mr. George B"/>
    <n v="0"/>
    <x v="43"/>
    <n v="0"/>
    <n v="0"/>
    <s v="PC 17754"/>
    <n v="34.654200000000003"/>
    <s v="A5"/>
    <x v="1"/>
    <n v="0"/>
    <n v="1"/>
    <n v="0"/>
    <x v="0"/>
    <n v="0"/>
    <n v="0"/>
    <n v="1"/>
    <n v="0"/>
    <n v="0"/>
  </r>
  <r>
    <n v="98"/>
    <x v="1"/>
    <n v="1"/>
    <s v="Greenfield, Mr. William Bertram"/>
    <n v="0"/>
    <x v="39"/>
    <n v="0"/>
    <n v="1"/>
    <s v="PC 17759"/>
    <n v="63.3583"/>
    <s v="D10 D12"/>
    <x v="1"/>
    <n v="0"/>
    <n v="1"/>
    <n v="0"/>
    <x v="0"/>
    <n v="0"/>
    <n v="0"/>
    <n v="1"/>
    <n v="0"/>
    <n v="0"/>
  </r>
  <r>
    <n v="99"/>
    <x v="1"/>
    <n v="2"/>
    <s v="Doling, Mrs. John T (Ada Julia Bone)"/>
    <n v="1"/>
    <x v="15"/>
    <n v="0"/>
    <n v="1"/>
    <s v="231919"/>
    <n v="23"/>
    <s v=""/>
    <x v="0"/>
    <n v="1"/>
    <n v="0"/>
    <n v="0"/>
    <x v="1"/>
    <n v="0"/>
    <n v="1"/>
    <n v="0"/>
    <n v="0"/>
    <n v="0"/>
  </r>
  <r>
    <n v="100"/>
    <x v="0"/>
    <n v="2"/>
    <s v="Kantor, Mr. Sinai"/>
    <n v="0"/>
    <x v="15"/>
    <n v="1"/>
    <n v="0"/>
    <s v="244367"/>
    <n v="26"/>
    <s v=""/>
    <x v="0"/>
    <n v="1"/>
    <n v="0"/>
    <n v="0"/>
    <x v="0"/>
    <n v="0"/>
    <n v="0"/>
    <n v="1"/>
    <n v="0"/>
    <n v="0"/>
  </r>
  <r>
    <n v="101"/>
    <x v="0"/>
    <n v="3"/>
    <s v="Petranec, Miss. Matilda"/>
    <n v="1"/>
    <x v="17"/>
    <n v="0"/>
    <n v="0"/>
    <s v="349245"/>
    <n v="7.8958000000000004"/>
    <s v=""/>
    <x v="0"/>
    <n v="1"/>
    <n v="0"/>
    <n v="0"/>
    <x v="2"/>
    <n v="1"/>
    <n v="0"/>
    <n v="0"/>
    <n v="0"/>
    <n v="0"/>
  </r>
  <r>
    <n v="102"/>
    <x v="0"/>
    <n v="3"/>
    <s v="Petroff, Mr. Pastcho (&quot;Pentcho&quot;)"/>
    <n v="0"/>
    <x v="4"/>
    <n v="0"/>
    <n v="0"/>
    <s v="349215"/>
    <n v="7.8958000000000004"/>
    <s v=""/>
    <x v="0"/>
    <n v="1"/>
    <n v="0"/>
    <n v="0"/>
    <x v="0"/>
    <n v="0"/>
    <n v="0"/>
    <n v="1"/>
    <n v="0"/>
    <n v="0"/>
  </r>
  <r>
    <n v="103"/>
    <x v="0"/>
    <n v="1"/>
    <s v="White, Mr. Richard Frasar"/>
    <n v="0"/>
    <x v="23"/>
    <n v="0"/>
    <n v="1"/>
    <s v="35281"/>
    <n v="77.287499999999994"/>
    <s v="D26"/>
    <x v="0"/>
    <n v="1"/>
    <n v="0"/>
    <n v="0"/>
    <x v="0"/>
    <n v="0"/>
    <n v="0"/>
    <n v="1"/>
    <n v="0"/>
    <n v="0"/>
  </r>
  <r>
    <n v="104"/>
    <x v="0"/>
    <n v="3"/>
    <s v="Johansson, Mr. Gustaf Joel"/>
    <n v="0"/>
    <x v="38"/>
    <n v="0"/>
    <n v="0"/>
    <s v="7540"/>
    <n v="8.6541999999999994"/>
    <s v=""/>
    <x v="0"/>
    <n v="1"/>
    <n v="0"/>
    <n v="0"/>
    <x v="0"/>
    <n v="0"/>
    <n v="0"/>
    <n v="1"/>
    <n v="0"/>
    <n v="0"/>
  </r>
  <r>
    <n v="105"/>
    <x v="0"/>
    <n v="3"/>
    <s v="Gustafsson, Mr. Anders Vilhelm"/>
    <n v="0"/>
    <x v="44"/>
    <n v="2"/>
    <n v="0"/>
    <s v="3101276"/>
    <n v="7.9249999999999998"/>
    <s v=""/>
    <x v="0"/>
    <n v="1"/>
    <n v="0"/>
    <n v="0"/>
    <x v="0"/>
    <n v="0"/>
    <n v="0"/>
    <n v="1"/>
    <n v="0"/>
    <n v="0"/>
  </r>
  <r>
    <n v="106"/>
    <x v="0"/>
    <n v="3"/>
    <s v="Mionoff, Mr. Stoytcho"/>
    <n v="0"/>
    <x v="17"/>
    <n v="0"/>
    <n v="0"/>
    <s v="349207"/>
    <n v="7.8958000000000004"/>
    <s v=""/>
    <x v="0"/>
    <n v="1"/>
    <n v="0"/>
    <n v="0"/>
    <x v="0"/>
    <n v="0"/>
    <n v="0"/>
    <n v="1"/>
    <n v="0"/>
    <n v="0"/>
  </r>
  <r>
    <n v="107"/>
    <x v="1"/>
    <n v="3"/>
    <s v="Salkjelsvik, Miss. Anna Kristine"/>
    <n v="1"/>
    <x v="23"/>
    <n v="0"/>
    <n v="0"/>
    <s v="343120"/>
    <n v="7.65"/>
    <s v=""/>
    <x v="0"/>
    <n v="1"/>
    <n v="0"/>
    <n v="0"/>
    <x v="2"/>
    <n v="1"/>
    <n v="0"/>
    <n v="0"/>
    <n v="0"/>
    <n v="0"/>
  </r>
  <r>
    <n v="108"/>
    <x v="1"/>
    <n v="3"/>
    <s v="Moss, Mr. Albert Johan"/>
    <n v="0"/>
    <x v="4"/>
    <n v="0"/>
    <n v="0"/>
    <s v="312991"/>
    <n v="7.7750000000000004"/>
    <s v=""/>
    <x v="0"/>
    <n v="1"/>
    <n v="0"/>
    <n v="0"/>
    <x v="0"/>
    <n v="0"/>
    <n v="0"/>
    <n v="1"/>
    <n v="0"/>
    <n v="0"/>
  </r>
  <r>
    <n v="109"/>
    <x v="0"/>
    <n v="3"/>
    <s v="Rekic, Mr. Tido"/>
    <n v="0"/>
    <x v="1"/>
    <n v="0"/>
    <n v="0"/>
    <s v="349249"/>
    <n v="7.8958000000000004"/>
    <s v=""/>
    <x v="0"/>
    <n v="1"/>
    <n v="0"/>
    <n v="0"/>
    <x v="0"/>
    <n v="0"/>
    <n v="0"/>
    <n v="1"/>
    <n v="0"/>
    <n v="0"/>
  </r>
  <r>
    <n v="110"/>
    <x v="1"/>
    <n v="3"/>
    <s v="Moran, Miss. Bertha"/>
    <n v="1"/>
    <x v="4"/>
    <n v="1"/>
    <n v="0"/>
    <s v="371110"/>
    <n v="24.15"/>
    <s v=""/>
    <x v="2"/>
    <n v="0"/>
    <n v="0"/>
    <n v="1"/>
    <x v="2"/>
    <n v="1"/>
    <n v="0"/>
    <n v="0"/>
    <n v="0"/>
    <n v="0"/>
  </r>
  <r>
    <n v="111"/>
    <x v="0"/>
    <n v="1"/>
    <s v="Porter, Mr. Walter Chamberlain"/>
    <n v="0"/>
    <x v="45"/>
    <n v="0"/>
    <n v="0"/>
    <s v="110465"/>
    <n v="52"/>
    <s v="C110"/>
    <x v="0"/>
    <n v="1"/>
    <n v="0"/>
    <n v="0"/>
    <x v="0"/>
    <n v="0"/>
    <n v="0"/>
    <n v="1"/>
    <n v="0"/>
    <n v="0"/>
  </r>
  <r>
    <n v="112"/>
    <x v="0"/>
    <n v="3"/>
    <s v="Zabour, Miss. Hileni"/>
    <n v="1"/>
    <x v="4"/>
    <n v="1"/>
    <n v="0"/>
    <s v="2665"/>
    <n v="14.4542"/>
    <s v=""/>
    <x v="1"/>
    <n v="0"/>
    <n v="1"/>
    <n v="0"/>
    <x v="2"/>
    <n v="1"/>
    <n v="0"/>
    <n v="0"/>
    <n v="0"/>
    <n v="0"/>
  </r>
  <r>
    <n v="113"/>
    <x v="0"/>
    <n v="3"/>
    <s v="Barton, Mr. David John"/>
    <n v="0"/>
    <x v="0"/>
    <n v="0"/>
    <n v="0"/>
    <s v="324669"/>
    <n v="8.0500000000000007"/>
    <s v=""/>
    <x v="0"/>
    <n v="1"/>
    <n v="0"/>
    <n v="0"/>
    <x v="0"/>
    <n v="0"/>
    <n v="0"/>
    <n v="1"/>
    <n v="0"/>
    <n v="0"/>
  </r>
  <r>
    <n v="114"/>
    <x v="0"/>
    <n v="3"/>
    <s v="Jussila, Miss. Katriina"/>
    <n v="1"/>
    <x v="11"/>
    <n v="1"/>
    <n v="0"/>
    <s v="4136"/>
    <n v="9.8249999999999993"/>
    <s v=""/>
    <x v="0"/>
    <n v="1"/>
    <n v="0"/>
    <n v="0"/>
    <x v="2"/>
    <n v="1"/>
    <n v="0"/>
    <n v="0"/>
    <n v="0"/>
    <n v="0"/>
  </r>
  <r>
    <n v="115"/>
    <x v="0"/>
    <n v="3"/>
    <s v="Attalah, Miss. Malake"/>
    <n v="1"/>
    <x v="33"/>
    <n v="0"/>
    <n v="0"/>
    <s v="2627"/>
    <n v="14.458299999999999"/>
    <s v=""/>
    <x v="1"/>
    <n v="0"/>
    <n v="1"/>
    <n v="0"/>
    <x v="2"/>
    <n v="1"/>
    <n v="0"/>
    <n v="0"/>
    <n v="0"/>
    <n v="0"/>
  </r>
  <r>
    <n v="116"/>
    <x v="0"/>
    <n v="3"/>
    <s v="Pekoniemi, Mr. Edvard"/>
    <n v="0"/>
    <x v="23"/>
    <n v="0"/>
    <n v="0"/>
    <s v="STON/O 2. 3101294"/>
    <n v="7.9249999999999998"/>
    <s v=""/>
    <x v="0"/>
    <n v="1"/>
    <n v="0"/>
    <n v="0"/>
    <x v="0"/>
    <n v="0"/>
    <n v="0"/>
    <n v="1"/>
    <n v="0"/>
    <n v="0"/>
  </r>
  <r>
    <n v="117"/>
    <x v="0"/>
    <n v="3"/>
    <s v="Connors, Mr. Patrick"/>
    <n v="0"/>
    <x v="4"/>
    <n v="0"/>
    <n v="0"/>
    <s v="370369"/>
    <n v="7.75"/>
    <s v=""/>
    <x v="2"/>
    <n v="0"/>
    <n v="0"/>
    <n v="1"/>
    <x v="0"/>
    <n v="0"/>
    <n v="0"/>
    <n v="1"/>
    <n v="0"/>
    <n v="0"/>
  </r>
  <r>
    <n v="118"/>
    <x v="0"/>
    <n v="2"/>
    <s v="Turpin, Mr. William John Robert"/>
    <n v="0"/>
    <x v="28"/>
    <n v="1"/>
    <n v="0"/>
    <s v="11668"/>
    <n v="21"/>
    <s v=""/>
    <x v="0"/>
    <n v="1"/>
    <n v="0"/>
    <n v="0"/>
    <x v="0"/>
    <n v="0"/>
    <n v="0"/>
    <n v="1"/>
    <n v="0"/>
    <n v="0"/>
  </r>
  <r>
    <n v="119"/>
    <x v="0"/>
    <n v="1"/>
    <s v="Baxter, Mr. Quigg Edmond"/>
    <n v="0"/>
    <x v="40"/>
    <n v="0"/>
    <n v="1"/>
    <s v="PC 17558"/>
    <n v="247.52080000000001"/>
    <s v="B58 B60"/>
    <x v="1"/>
    <n v="0"/>
    <n v="1"/>
    <n v="0"/>
    <x v="0"/>
    <n v="0"/>
    <n v="0"/>
    <n v="1"/>
    <n v="0"/>
    <n v="0"/>
  </r>
  <r>
    <n v="120"/>
    <x v="0"/>
    <n v="3"/>
    <s v="Andersson, Miss. Ellis Anna Maria"/>
    <n v="1"/>
    <x v="6"/>
    <n v="4"/>
    <n v="2"/>
    <s v="347082"/>
    <n v="31.274999999999999"/>
    <s v=""/>
    <x v="0"/>
    <n v="1"/>
    <n v="0"/>
    <n v="0"/>
    <x v="2"/>
    <n v="1"/>
    <n v="0"/>
    <n v="0"/>
    <n v="0"/>
    <n v="0"/>
  </r>
  <r>
    <n v="121"/>
    <x v="0"/>
    <n v="2"/>
    <s v="Hickman, Mr. Stanley George"/>
    <n v="0"/>
    <x v="23"/>
    <n v="2"/>
    <n v="0"/>
    <s v="S.O.C. 14879"/>
    <n v="73.5"/>
    <s v=""/>
    <x v="0"/>
    <n v="1"/>
    <n v="0"/>
    <n v="0"/>
    <x v="0"/>
    <n v="0"/>
    <n v="0"/>
    <n v="1"/>
    <n v="0"/>
    <n v="0"/>
  </r>
  <r>
    <n v="122"/>
    <x v="0"/>
    <n v="3"/>
    <s v="Moore, Mr. Leonard Charles"/>
    <n v="0"/>
    <x v="4"/>
    <n v="0"/>
    <n v="0"/>
    <s v="A4. 54510"/>
    <n v="8.0500000000000007"/>
    <s v=""/>
    <x v="0"/>
    <n v="1"/>
    <n v="0"/>
    <n v="0"/>
    <x v="0"/>
    <n v="0"/>
    <n v="0"/>
    <n v="1"/>
    <n v="0"/>
    <n v="0"/>
  </r>
  <r>
    <n v="123"/>
    <x v="0"/>
    <n v="2"/>
    <s v="Nasser, Mr. Nicholas"/>
    <n v="0"/>
    <x v="4"/>
    <n v="1"/>
    <n v="0"/>
    <s v="237736"/>
    <n v="30.070799999999998"/>
    <s v=""/>
    <x v="1"/>
    <n v="0"/>
    <n v="1"/>
    <n v="0"/>
    <x v="0"/>
    <n v="0"/>
    <n v="0"/>
    <n v="1"/>
    <n v="0"/>
    <n v="0"/>
  </r>
  <r>
    <n v="124"/>
    <x v="1"/>
    <n v="2"/>
    <s v="Webber, Miss. Susan"/>
    <n v="1"/>
    <x v="4"/>
    <n v="0"/>
    <n v="0"/>
    <s v="27267"/>
    <n v="13"/>
    <s v="E101"/>
    <x v="0"/>
    <n v="1"/>
    <n v="0"/>
    <n v="0"/>
    <x v="2"/>
    <n v="1"/>
    <n v="0"/>
    <n v="0"/>
    <n v="0"/>
    <n v="0"/>
  </r>
  <r>
    <n v="125"/>
    <x v="0"/>
    <n v="1"/>
    <s v="White, Mr. Percival Wayland"/>
    <n v="0"/>
    <x v="5"/>
    <n v="0"/>
    <n v="1"/>
    <s v="35281"/>
    <n v="77.287499999999994"/>
    <s v="D26"/>
    <x v="0"/>
    <n v="1"/>
    <n v="0"/>
    <n v="0"/>
    <x v="0"/>
    <n v="0"/>
    <n v="0"/>
    <n v="1"/>
    <n v="0"/>
    <n v="0"/>
  </r>
  <r>
    <n v="126"/>
    <x v="1"/>
    <n v="3"/>
    <s v="Nicola-Yarred, Master. Elias"/>
    <n v="0"/>
    <x v="46"/>
    <n v="1"/>
    <n v="0"/>
    <s v="2651"/>
    <n v="11.2417"/>
    <s v=""/>
    <x v="1"/>
    <n v="0"/>
    <n v="1"/>
    <n v="0"/>
    <x v="3"/>
    <n v="0"/>
    <n v="0"/>
    <n v="0"/>
    <n v="1"/>
    <n v="0"/>
  </r>
  <r>
    <n v="127"/>
    <x v="0"/>
    <n v="3"/>
    <s v="McMahon, Mr. Martin"/>
    <n v="0"/>
    <x v="4"/>
    <n v="0"/>
    <n v="0"/>
    <s v="370372"/>
    <n v="7.75"/>
    <s v=""/>
    <x v="2"/>
    <n v="0"/>
    <n v="0"/>
    <n v="1"/>
    <x v="0"/>
    <n v="0"/>
    <n v="0"/>
    <n v="1"/>
    <n v="0"/>
    <n v="0"/>
  </r>
  <r>
    <n v="128"/>
    <x v="1"/>
    <n v="3"/>
    <s v="Madsen, Mr. Fridtjof Arne"/>
    <n v="0"/>
    <x v="40"/>
    <n v="0"/>
    <n v="0"/>
    <s v="C 17369"/>
    <n v="7.1417000000000002"/>
    <s v=""/>
    <x v="0"/>
    <n v="1"/>
    <n v="0"/>
    <n v="0"/>
    <x v="0"/>
    <n v="0"/>
    <n v="0"/>
    <n v="1"/>
    <n v="0"/>
    <n v="0"/>
  </r>
  <r>
    <n v="129"/>
    <x v="1"/>
    <n v="3"/>
    <s v="Peter, Miss. Anna"/>
    <n v="1"/>
    <x v="4"/>
    <n v="1"/>
    <n v="1"/>
    <s v="2668"/>
    <n v="22.3583"/>
    <s v="F E69"/>
    <x v="1"/>
    <n v="0"/>
    <n v="1"/>
    <n v="0"/>
    <x v="2"/>
    <n v="1"/>
    <n v="0"/>
    <n v="0"/>
    <n v="0"/>
    <n v="0"/>
  </r>
  <r>
    <n v="130"/>
    <x v="0"/>
    <n v="3"/>
    <s v="Ekstrom, Mr. Johan"/>
    <n v="0"/>
    <x v="32"/>
    <n v="0"/>
    <n v="0"/>
    <s v="347061"/>
    <n v="6.9749999999999996"/>
    <s v=""/>
    <x v="0"/>
    <n v="1"/>
    <n v="0"/>
    <n v="0"/>
    <x v="0"/>
    <n v="0"/>
    <n v="0"/>
    <n v="1"/>
    <n v="0"/>
    <n v="0"/>
  </r>
  <r>
    <n v="131"/>
    <x v="0"/>
    <n v="3"/>
    <s v="Drazenoic, Mr. Jozef"/>
    <n v="0"/>
    <x v="38"/>
    <n v="0"/>
    <n v="0"/>
    <s v="349241"/>
    <n v="7.8958000000000004"/>
    <s v=""/>
    <x v="1"/>
    <n v="0"/>
    <n v="1"/>
    <n v="0"/>
    <x v="0"/>
    <n v="0"/>
    <n v="0"/>
    <n v="1"/>
    <n v="0"/>
    <n v="0"/>
  </r>
  <r>
    <n v="132"/>
    <x v="0"/>
    <n v="3"/>
    <s v="Coelho, Mr. Domingos Fernandeo"/>
    <n v="0"/>
    <x v="11"/>
    <n v="0"/>
    <n v="0"/>
    <s v="SOTON/O.Q. 3101307"/>
    <n v="7.05"/>
    <s v=""/>
    <x v="0"/>
    <n v="1"/>
    <n v="0"/>
    <n v="0"/>
    <x v="0"/>
    <n v="0"/>
    <n v="0"/>
    <n v="1"/>
    <n v="0"/>
    <n v="0"/>
  </r>
  <r>
    <n v="133"/>
    <x v="0"/>
    <n v="3"/>
    <s v="Robins, Mrs. Alexander A (Grace Charity Laury)"/>
    <n v="1"/>
    <x v="45"/>
    <n v="1"/>
    <n v="0"/>
    <s v="A/5. 3337"/>
    <n v="14.5"/>
    <s v=""/>
    <x v="0"/>
    <n v="1"/>
    <n v="0"/>
    <n v="0"/>
    <x v="1"/>
    <n v="0"/>
    <n v="1"/>
    <n v="0"/>
    <n v="0"/>
    <n v="0"/>
  </r>
  <r>
    <n v="134"/>
    <x v="1"/>
    <n v="2"/>
    <s v="Weisz, Mrs. Leopold (Mathilde Francoise Pede)"/>
    <n v="1"/>
    <x v="28"/>
    <n v="1"/>
    <n v="0"/>
    <s v="228414"/>
    <n v="26"/>
    <s v=""/>
    <x v="0"/>
    <n v="1"/>
    <n v="0"/>
    <n v="0"/>
    <x v="1"/>
    <n v="0"/>
    <n v="1"/>
    <n v="0"/>
    <n v="0"/>
    <n v="0"/>
  </r>
  <r>
    <n v="135"/>
    <x v="0"/>
    <n v="2"/>
    <s v="Sobey, Mr. Samuel James Hayden"/>
    <n v="0"/>
    <x v="36"/>
    <n v="0"/>
    <n v="0"/>
    <s v="C.A. 29178"/>
    <n v="13"/>
    <s v=""/>
    <x v="0"/>
    <n v="1"/>
    <n v="0"/>
    <n v="0"/>
    <x v="0"/>
    <n v="0"/>
    <n v="0"/>
    <n v="1"/>
    <n v="0"/>
    <n v="0"/>
  </r>
  <r>
    <n v="136"/>
    <x v="0"/>
    <n v="2"/>
    <s v="Richard, Mr. Emile"/>
    <n v="0"/>
    <x v="39"/>
    <n v="0"/>
    <n v="0"/>
    <s v="SC/PARIS 2133"/>
    <n v="15.0458"/>
    <s v=""/>
    <x v="1"/>
    <n v="0"/>
    <n v="1"/>
    <n v="0"/>
    <x v="0"/>
    <n v="0"/>
    <n v="0"/>
    <n v="1"/>
    <n v="0"/>
    <n v="0"/>
  </r>
  <r>
    <n v="137"/>
    <x v="1"/>
    <n v="1"/>
    <s v="Newsom, Miss. Helen Monypeny"/>
    <n v="1"/>
    <x v="19"/>
    <n v="0"/>
    <n v="2"/>
    <s v="11752"/>
    <n v="26.283300000000001"/>
    <s v="D47"/>
    <x v="0"/>
    <n v="1"/>
    <n v="0"/>
    <n v="0"/>
    <x v="2"/>
    <n v="1"/>
    <n v="0"/>
    <n v="0"/>
    <n v="0"/>
    <n v="0"/>
  </r>
  <r>
    <n v="138"/>
    <x v="0"/>
    <n v="1"/>
    <s v="Futrelle, Mr. Jacques Heath"/>
    <n v="0"/>
    <x v="44"/>
    <n v="1"/>
    <n v="0"/>
    <s v="113803"/>
    <n v="53.1"/>
    <s v="C123"/>
    <x v="0"/>
    <n v="1"/>
    <n v="0"/>
    <n v="0"/>
    <x v="0"/>
    <n v="0"/>
    <n v="0"/>
    <n v="1"/>
    <n v="0"/>
    <n v="0"/>
  </r>
  <r>
    <n v="139"/>
    <x v="0"/>
    <n v="3"/>
    <s v="Osen, Mr. Olaf Elon"/>
    <n v="0"/>
    <x v="35"/>
    <n v="0"/>
    <n v="0"/>
    <s v="7534"/>
    <n v="9.2166999999999994"/>
    <s v=""/>
    <x v="0"/>
    <n v="1"/>
    <n v="0"/>
    <n v="0"/>
    <x v="0"/>
    <n v="0"/>
    <n v="0"/>
    <n v="1"/>
    <n v="0"/>
    <n v="0"/>
  </r>
  <r>
    <n v="140"/>
    <x v="0"/>
    <n v="1"/>
    <s v="Giglio, Mr. Victor"/>
    <n v="0"/>
    <x v="40"/>
    <n v="0"/>
    <n v="0"/>
    <s v="PC 17593"/>
    <n v="79.2"/>
    <s v="B86"/>
    <x v="1"/>
    <n v="0"/>
    <n v="1"/>
    <n v="0"/>
    <x v="0"/>
    <n v="0"/>
    <n v="0"/>
    <n v="1"/>
    <n v="0"/>
    <n v="0"/>
  </r>
  <r>
    <n v="141"/>
    <x v="0"/>
    <n v="3"/>
    <s v="Boulos, Mrs. Joseph (Sultana)"/>
    <n v="1"/>
    <x v="4"/>
    <n v="0"/>
    <n v="2"/>
    <s v="2678"/>
    <n v="15.245799999999999"/>
    <s v=""/>
    <x v="1"/>
    <n v="0"/>
    <n v="1"/>
    <n v="0"/>
    <x v="1"/>
    <n v="0"/>
    <n v="1"/>
    <n v="0"/>
    <n v="0"/>
    <n v="0"/>
  </r>
  <r>
    <n v="142"/>
    <x v="1"/>
    <n v="3"/>
    <s v="Nysten, Miss. Anna Sofia"/>
    <n v="1"/>
    <x v="0"/>
    <n v="0"/>
    <n v="0"/>
    <s v="347081"/>
    <n v="7.75"/>
    <s v=""/>
    <x v="0"/>
    <n v="1"/>
    <n v="0"/>
    <n v="0"/>
    <x v="2"/>
    <n v="1"/>
    <n v="0"/>
    <n v="0"/>
    <n v="0"/>
    <n v="0"/>
  </r>
  <r>
    <n v="143"/>
    <x v="1"/>
    <n v="3"/>
    <s v="Hakkarainen, Mrs. Pekka Pietari (Elin Matilda Dolck)"/>
    <n v="1"/>
    <x v="40"/>
    <n v="1"/>
    <n v="0"/>
    <s v="STON/O2. 3101279"/>
    <n v="15.85"/>
    <s v=""/>
    <x v="0"/>
    <n v="1"/>
    <n v="0"/>
    <n v="0"/>
    <x v="1"/>
    <n v="0"/>
    <n v="1"/>
    <n v="0"/>
    <n v="0"/>
    <n v="0"/>
  </r>
  <r>
    <n v="144"/>
    <x v="0"/>
    <n v="3"/>
    <s v="Burke, Mr. Jeremiah"/>
    <n v="0"/>
    <x v="19"/>
    <n v="0"/>
    <n v="0"/>
    <s v="365222"/>
    <n v="6.75"/>
    <s v=""/>
    <x v="2"/>
    <n v="0"/>
    <n v="0"/>
    <n v="1"/>
    <x v="0"/>
    <n v="0"/>
    <n v="0"/>
    <n v="1"/>
    <n v="0"/>
    <n v="0"/>
  </r>
  <r>
    <n v="145"/>
    <x v="0"/>
    <n v="2"/>
    <s v="Andrew, Mr. Edgardo Samuel"/>
    <n v="0"/>
    <x v="24"/>
    <n v="0"/>
    <n v="0"/>
    <s v="231945"/>
    <n v="11.5"/>
    <s v=""/>
    <x v="0"/>
    <n v="1"/>
    <n v="0"/>
    <n v="0"/>
    <x v="0"/>
    <n v="0"/>
    <n v="0"/>
    <n v="1"/>
    <n v="0"/>
    <n v="0"/>
  </r>
  <r>
    <n v="146"/>
    <x v="0"/>
    <n v="2"/>
    <s v="Nicholls, Mr. Joseph Charles"/>
    <n v="0"/>
    <x v="19"/>
    <n v="1"/>
    <n v="1"/>
    <s v="C.A. 33112"/>
    <n v="36.75"/>
    <s v=""/>
    <x v="0"/>
    <n v="1"/>
    <n v="0"/>
    <n v="0"/>
    <x v="0"/>
    <n v="0"/>
    <n v="0"/>
    <n v="1"/>
    <n v="0"/>
    <n v="0"/>
  </r>
  <r>
    <n v="147"/>
    <x v="1"/>
    <n v="3"/>
    <s v="Andersson, Mr. August Edvard (&quot;Wennerstrom&quot;)"/>
    <n v="0"/>
    <x v="7"/>
    <n v="0"/>
    <n v="0"/>
    <s v="350043"/>
    <n v="7.7957999999999998"/>
    <s v=""/>
    <x v="0"/>
    <n v="1"/>
    <n v="0"/>
    <n v="0"/>
    <x v="0"/>
    <n v="0"/>
    <n v="0"/>
    <n v="1"/>
    <n v="0"/>
    <n v="0"/>
  </r>
  <r>
    <n v="148"/>
    <x v="0"/>
    <n v="3"/>
    <s v="Ford, Miss. Robina Maggie &quot;Ruby&quot;"/>
    <n v="1"/>
    <x v="47"/>
    <n v="2"/>
    <n v="2"/>
    <s v="W./C. 6608"/>
    <n v="34.375"/>
    <s v=""/>
    <x v="0"/>
    <n v="1"/>
    <n v="0"/>
    <n v="0"/>
    <x v="2"/>
    <n v="1"/>
    <n v="0"/>
    <n v="0"/>
    <n v="0"/>
    <n v="0"/>
  </r>
  <r>
    <n v="149"/>
    <x v="0"/>
    <n v="2"/>
    <s v="Navratil, Mr. Michel (&quot;Louis M Hoffman&quot;)"/>
    <n v="0"/>
    <x v="4"/>
    <n v="0"/>
    <n v="2"/>
    <s v="230080"/>
    <n v="26"/>
    <s v="F2"/>
    <x v="0"/>
    <n v="1"/>
    <n v="0"/>
    <n v="0"/>
    <x v="0"/>
    <n v="0"/>
    <n v="0"/>
    <n v="1"/>
    <n v="0"/>
    <n v="0"/>
  </r>
  <r>
    <n v="150"/>
    <x v="0"/>
    <n v="2"/>
    <s v="Byles, Rev. Thomas Roussel Davids"/>
    <n v="0"/>
    <x v="22"/>
    <n v="0"/>
    <n v="0"/>
    <s v="244310"/>
    <n v="13"/>
    <s v=""/>
    <x v="0"/>
    <n v="1"/>
    <n v="0"/>
    <n v="0"/>
    <x v="5"/>
    <n v="0"/>
    <n v="0"/>
    <n v="0"/>
    <n v="0"/>
    <n v="1"/>
  </r>
  <r>
    <n v="151"/>
    <x v="0"/>
    <n v="2"/>
    <s v="Bateman, Rev. Robert James"/>
    <n v="0"/>
    <x v="48"/>
    <n v="0"/>
    <n v="0"/>
    <s v="S.O.P. 1166"/>
    <n v="12.525"/>
    <s v=""/>
    <x v="0"/>
    <n v="1"/>
    <n v="0"/>
    <n v="0"/>
    <x v="5"/>
    <n v="0"/>
    <n v="0"/>
    <n v="0"/>
    <n v="0"/>
    <n v="1"/>
  </r>
  <r>
    <n v="152"/>
    <x v="1"/>
    <n v="1"/>
    <s v="Pears, Mrs. Thomas (Edith Wearne)"/>
    <n v="1"/>
    <x v="0"/>
    <n v="1"/>
    <n v="0"/>
    <s v="113776"/>
    <n v="66.599999999999994"/>
    <s v="C2"/>
    <x v="0"/>
    <n v="1"/>
    <n v="0"/>
    <n v="0"/>
    <x v="1"/>
    <n v="0"/>
    <n v="1"/>
    <n v="0"/>
    <n v="0"/>
    <n v="0"/>
  </r>
  <r>
    <n v="153"/>
    <x v="0"/>
    <n v="3"/>
    <s v="Meo, Mr. Alfonzo"/>
    <n v="0"/>
    <x v="4"/>
    <n v="0"/>
    <n v="0"/>
    <s v="A.5. 11206"/>
    <n v="8.0500000000000007"/>
    <s v=""/>
    <x v="0"/>
    <n v="1"/>
    <n v="0"/>
    <n v="0"/>
    <x v="0"/>
    <n v="0"/>
    <n v="0"/>
    <n v="1"/>
    <n v="0"/>
    <n v="0"/>
  </r>
  <r>
    <n v="154"/>
    <x v="0"/>
    <n v="3"/>
    <s v="van Billiard, Mr. Austin Blyler"/>
    <n v="0"/>
    <x v="4"/>
    <n v="0"/>
    <n v="2"/>
    <s v="A/5. 851"/>
    <n v="14.5"/>
    <s v=""/>
    <x v="0"/>
    <n v="1"/>
    <n v="0"/>
    <n v="0"/>
    <x v="0"/>
    <n v="0"/>
    <n v="0"/>
    <n v="1"/>
    <n v="0"/>
    <n v="0"/>
  </r>
  <r>
    <n v="155"/>
    <x v="0"/>
    <n v="3"/>
    <s v="Olsen, Mr. Ole Martin"/>
    <n v="0"/>
    <x v="4"/>
    <n v="0"/>
    <n v="0"/>
    <s v="Fa 265302"/>
    <n v="7.3125"/>
    <s v=""/>
    <x v="0"/>
    <n v="1"/>
    <n v="0"/>
    <n v="0"/>
    <x v="0"/>
    <n v="0"/>
    <n v="0"/>
    <n v="1"/>
    <n v="0"/>
    <n v="0"/>
  </r>
  <r>
    <n v="156"/>
    <x v="0"/>
    <n v="1"/>
    <s v="Williams, Mr. Charles Duane"/>
    <n v="0"/>
    <x v="48"/>
    <n v="0"/>
    <n v="1"/>
    <s v="PC 17597"/>
    <n v="61.379199999999997"/>
    <s v=""/>
    <x v="1"/>
    <n v="0"/>
    <n v="1"/>
    <n v="0"/>
    <x v="0"/>
    <n v="0"/>
    <n v="0"/>
    <n v="1"/>
    <n v="0"/>
    <n v="0"/>
  </r>
  <r>
    <n v="157"/>
    <x v="1"/>
    <n v="3"/>
    <s v="Gilnagh, Miss. Katherine &quot;Katie&quot;"/>
    <n v="1"/>
    <x v="35"/>
    <n v="0"/>
    <n v="0"/>
    <s v="35851"/>
    <n v="7.7332999999999998"/>
    <s v=""/>
    <x v="2"/>
    <n v="0"/>
    <n v="0"/>
    <n v="1"/>
    <x v="2"/>
    <n v="1"/>
    <n v="0"/>
    <n v="0"/>
    <n v="0"/>
    <n v="0"/>
  </r>
  <r>
    <n v="158"/>
    <x v="0"/>
    <n v="3"/>
    <s v="Corn, Mr. Harry"/>
    <n v="0"/>
    <x v="37"/>
    <n v="0"/>
    <n v="0"/>
    <s v="SOTON/OQ 392090"/>
    <n v="8.0500000000000007"/>
    <s v=""/>
    <x v="0"/>
    <n v="1"/>
    <n v="0"/>
    <n v="0"/>
    <x v="0"/>
    <n v="0"/>
    <n v="0"/>
    <n v="1"/>
    <n v="0"/>
    <n v="0"/>
  </r>
  <r>
    <n v="159"/>
    <x v="0"/>
    <n v="3"/>
    <s v="Smiljanic, Mr. Mile"/>
    <n v="0"/>
    <x v="4"/>
    <n v="0"/>
    <n v="0"/>
    <s v="315037"/>
    <n v="8.6624999999999996"/>
    <s v=""/>
    <x v="0"/>
    <n v="1"/>
    <n v="0"/>
    <n v="0"/>
    <x v="0"/>
    <n v="0"/>
    <n v="0"/>
    <n v="1"/>
    <n v="0"/>
    <n v="0"/>
  </r>
  <r>
    <n v="160"/>
    <x v="0"/>
    <n v="3"/>
    <s v="Sage, Master. Thomas Henry"/>
    <n v="0"/>
    <x v="4"/>
    <n v="8"/>
    <n v="2"/>
    <s v="CA. 2343"/>
    <n v="69.55"/>
    <s v=""/>
    <x v="0"/>
    <n v="1"/>
    <n v="0"/>
    <n v="0"/>
    <x v="3"/>
    <n v="0"/>
    <n v="0"/>
    <n v="0"/>
    <n v="1"/>
    <n v="0"/>
  </r>
  <r>
    <n v="161"/>
    <x v="0"/>
    <n v="3"/>
    <s v="Cribb, Mr. John Hatfield"/>
    <n v="0"/>
    <x v="49"/>
    <n v="0"/>
    <n v="1"/>
    <s v="371362"/>
    <n v="16.100000000000001"/>
    <s v=""/>
    <x v="0"/>
    <n v="1"/>
    <n v="0"/>
    <n v="0"/>
    <x v="0"/>
    <n v="0"/>
    <n v="0"/>
    <n v="1"/>
    <n v="0"/>
    <n v="0"/>
  </r>
  <r>
    <n v="162"/>
    <x v="1"/>
    <n v="2"/>
    <s v="Watt, Mrs. James (Elizabeth &quot;Bessie&quot; Inglis Milne)"/>
    <n v="1"/>
    <x v="20"/>
    <n v="0"/>
    <n v="0"/>
    <s v="C.A. 33595"/>
    <n v="15.75"/>
    <s v=""/>
    <x v="0"/>
    <n v="1"/>
    <n v="0"/>
    <n v="0"/>
    <x v="1"/>
    <n v="0"/>
    <n v="1"/>
    <n v="0"/>
    <n v="0"/>
    <n v="0"/>
  </r>
  <r>
    <n v="163"/>
    <x v="0"/>
    <n v="3"/>
    <s v="Bengtsson, Mr. John Viktor"/>
    <n v="0"/>
    <x v="2"/>
    <n v="0"/>
    <n v="0"/>
    <s v="347068"/>
    <n v="7.7750000000000004"/>
    <s v=""/>
    <x v="0"/>
    <n v="1"/>
    <n v="0"/>
    <n v="0"/>
    <x v="0"/>
    <n v="0"/>
    <n v="0"/>
    <n v="1"/>
    <n v="0"/>
    <n v="0"/>
  </r>
  <r>
    <n v="164"/>
    <x v="0"/>
    <n v="3"/>
    <s v="Calic, Mr. Jovo"/>
    <n v="0"/>
    <x v="33"/>
    <n v="0"/>
    <n v="0"/>
    <s v="315093"/>
    <n v="8.6624999999999996"/>
    <s v=""/>
    <x v="0"/>
    <n v="1"/>
    <n v="0"/>
    <n v="0"/>
    <x v="0"/>
    <n v="0"/>
    <n v="0"/>
    <n v="1"/>
    <n v="0"/>
    <n v="0"/>
  </r>
  <r>
    <n v="165"/>
    <x v="0"/>
    <n v="3"/>
    <s v="Panula, Master. Eino Viljami"/>
    <n v="0"/>
    <x v="50"/>
    <n v="4"/>
    <n v="1"/>
    <s v="3101295"/>
    <n v="39.6875"/>
    <s v=""/>
    <x v="0"/>
    <n v="1"/>
    <n v="0"/>
    <n v="0"/>
    <x v="3"/>
    <n v="0"/>
    <n v="0"/>
    <n v="0"/>
    <n v="1"/>
    <n v="0"/>
  </r>
  <r>
    <n v="166"/>
    <x v="1"/>
    <n v="3"/>
    <s v="Goldsmith, Master. Frank John William &quot;Frankie&quot;"/>
    <n v="0"/>
    <x v="47"/>
    <n v="0"/>
    <n v="2"/>
    <s v="363291"/>
    <n v="20.524999999999999"/>
    <s v=""/>
    <x v="0"/>
    <n v="1"/>
    <n v="0"/>
    <n v="0"/>
    <x v="3"/>
    <n v="0"/>
    <n v="0"/>
    <n v="0"/>
    <n v="1"/>
    <n v="0"/>
  </r>
  <r>
    <n v="167"/>
    <x v="1"/>
    <n v="1"/>
    <s v="Chibnall, Mrs. (Edith Martha Bowerman)"/>
    <n v="1"/>
    <x v="4"/>
    <n v="0"/>
    <n v="1"/>
    <s v="113505"/>
    <n v="55"/>
    <s v="E33"/>
    <x v="0"/>
    <n v="1"/>
    <n v="0"/>
    <n v="0"/>
    <x v="1"/>
    <n v="0"/>
    <n v="1"/>
    <n v="0"/>
    <n v="0"/>
    <n v="0"/>
  </r>
  <r>
    <n v="168"/>
    <x v="0"/>
    <n v="3"/>
    <s v="Skoog, Mrs. William (Anna Bernhardina Karlsson)"/>
    <n v="1"/>
    <x v="32"/>
    <n v="1"/>
    <n v="4"/>
    <s v="347088"/>
    <n v="27.9"/>
    <s v=""/>
    <x v="0"/>
    <n v="1"/>
    <n v="0"/>
    <n v="0"/>
    <x v="1"/>
    <n v="0"/>
    <n v="1"/>
    <n v="0"/>
    <n v="0"/>
    <n v="0"/>
  </r>
  <r>
    <n v="169"/>
    <x v="0"/>
    <n v="1"/>
    <s v="Baumann, Mr. John D"/>
    <n v="0"/>
    <x v="4"/>
    <n v="0"/>
    <n v="0"/>
    <s v="PC 17318"/>
    <n v="25.925000000000001"/>
    <s v=""/>
    <x v="0"/>
    <n v="1"/>
    <n v="0"/>
    <n v="0"/>
    <x v="0"/>
    <n v="0"/>
    <n v="0"/>
    <n v="1"/>
    <n v="0"/>
    <n v="0"/>
  </r>
  <r>
    <n v="170"/>
    <x v="0"/>
    <n v="3"/>
    <s v="Ling, Mr. Lee"/>
    <n v="0"/>
    <x v="17"/>
    <n v="0"/>
    <n v="0"/>
    <s v="1601"/>
    <n v="56.495800000000003"/>
    <s v=""/>
    <x v="0"/>
    <n v="1"/>
    <n v="0"/>
    <n v="0"/>
    <x v="0"/>
    <n v="0"/>
    <n v="0"/>
    <n v="1"/>
    <n v="0"/>
    <n v="0"/>
  </r>
  <r>
    <n v="171"/>
    <x v="0"/>
    <n v="1"/>
    <s v="Van der hoef, Mr. Wyckoff"/>
    <n v="0"/>
    <x v="51"/>
    <n v="0"/>
    <n v="0"/>
    <s v="111240"/>
    <n v="33.5"/>
    <s v="B19"/>
    <x v="0"/>
    <n v="1"/>
    <n v="0"/>
    <n v="0"/>
    <x v="0"/>
    <n v="0"/>
    <n v="0"/>
    <n v="1"/>
    <n v="0"/>
    <n v="0"/>
  </r>
  <r>
    <n v="172"/>
    <x v="0"/>
    <n v="3"/>
    <s v="Rice, Master. Arthur"/>
    <n v="0"/>
    <x v="9"/>
    <n v="4"/>
    <n v="1"/>
    <s v="382652"/>
    <n v="29.125"/>
    <s v=""/>
    <x v="2"/>
    <n v="0"/>
    <n v="0"/>
    <n v="1"/>
    <x v="3"/>
    <n v="0"/>
    <n v="0"/>
    <n v="0"/>
    <n v="1"/>
    <n v="0"/>
  </r>
  <r>
    <n v="173"/>
    <x v="1"/>
    <n v="3"/>
    <s v="Johnson, Miss. Eleanor Ileen"/>
    <n v="1"/>
    <x v="50"/>
    <n v="1"/>
    <n v="1"/>
    <s v="347742"/>
    <n v="11.1333"/>
    <s v=""/>
    <x v="0"/>
    <n v="1"/>
    <n v="0"/>
    <n v="0"/>
    <x v="2"/>
    <n v="1"/>
    <n v="0"/>
    <n v="0"/>
    <n v="0"/>
    <n v="0"/>
  </r>
  <r>
    <n v="174"/>
    <x v="0"/>
    <n v="3"/>
    <s v="Sivola, Mr. Antti Wilhelm"/>
    <n v="0"/>
    <x v="23"/>
    <n v="0"/>
    <n v="0"/>
    <s v="STON/O 2. 3101280"/>
    <n v="7.9249999999999998"/>
    <s v=""/>
    <x v="0"/>
    <n v="1"/>
    <n v="0"/>
    <n v="0"/>
    <x v="0"/>
    <n v="0"/>
    <n v="0"/>
    <n v="1"/>
    <n v="0"/>
    <n v="0"/>
  </r>
  <r>
    <n v="175"/>
    <x v="0"/>
    <n v="1"/>
    <s v="Smith, Mr. James Clinch"/>
    <n v="0"/>
    <x v="52"/>
    <n v="0"/>
    <n v="0"/>
    <s v="17764"/>
    <n v="30.695799999999998"/>
    <s v="A7"/>
    <x v="1"/>
    <n v="0"/>
    <n v="1"/>
    <n v="0"/>
    <x v="0"/>
    <n v="0"/>
    <n v="0"/>
    <n v="1"/>
    <n v="0"/>
    <n v="0"/>
  </r>
  <r>
    <n v="176"/>
    <x v="0"/>
    <n v="3"/>
    <s v="Klasen, Mr. Klas Albin"/>
    <n v="0"/>
    <x v="24"/>
    <n v="1"/>
    <n v="1"/>
    <s v="350404"/>
    <n v="7.8541999999999996"/>
    <s v=""/>
    <x v="0"/>
    <n v="1"/>
    <n v="0"/>
    <n v="0"/>
    <x v="0"/>
    <n v="0"/>
    <n v="0"/>
    <n v="1"/>
    <n v="0"/>
    <n v="0"/>
  </r>
  <r>
    <n v="177"/>
    <x v="0"/>
    <n v="3"/>
    <s v="Lefebre, Master. Henry Forbes"/>
    <n v="0"/>
    <x v="4"/>
    <n v="3"/>
    <n v="1"/>
    <s v="4133"/>
    <n v="25.466699999999999"/>
    <s v=""/>
    <x v="0"/>
    <n v="1"/>
    <n v="0"/>
    <n v="0"/>
    <x v="3"/>
    <n v="0"/>
    <n v="0"/>
    <n v="0"/>
    <n v="1"/>
    <n v="0"/>
  </r>
  <r>
    <n v="178"/>
    <x v="0"/>
    <n v="1"/>
    <s v="Isham, Miss. Ann Elizabeth"/>
    <n v="1"/>
    <x v="53"/>
    <n v="0"/>
    <n v="0"/>
    <s v="PC 17595"/>
    <n v="28.712499999999999"/>
    <s v="C49"/>
    <x v="1"/>
    <n v="0"/>
    <n v="1"/>
    <n v="0"/>
    <x v="2"/>
    <n v="1"/>
    <n v="0"/>
    <n v="0"/>
    <n v="0"/>
    <n v="0"/>
  </r>
  <r>
    <n v="179"/>
    <x v="0"/>
    <n v="2"/>
    <s v="Hale, Mr. Reginald"/>
    <n v="0"/>
    <x v="37"/>
    <n v="0"/>
    <n v="0"/>
    <s v="250653"/>
    <n v="13"/>
    <s v=""/>
    <x v="0"/>
    <n v="1"/>
    <n v="0"/>
    <n v="0"/>
    <x v="0"/>
    <n v="0"/>
    <n v="0"/>
    <n v="1"/>
    <n v="0"/>
    <n v="0"/>
  </r>
  <r>
    <n v="180"/>
    <x v="0"/>
    <n v="3"/>
    <s v="Leonard, Mr. Lionel"/>
    <n v="0"/>
    <x v="54"/>
    <n v="0"/>
    <n v="0"/>
    <s v="LINE"/>
    <n v="0"/>
    <s v=""/>
    <x v="0"/>
    <n v="1"/>
    <n v="0"/>
    <n v="0"/>
    <x v="0"/>
    <n v="0"/>
    <n v="0"/>
    <n v="1"/>
    <n v="0"/>
    <n v="0"/>
  </r>
  <r>
    <n v="181"/>
    <x v="0"/>
    <n v="3"/>
    <s v="Sage, Miss. Constance Gladys"/>
    <n v="1"/>
    <x v="4"/>
    <n v="8"/>
    <n v="2"/>
    <s v="CA. 2343"/>
    <n v="69.55"/>
    <s v=""/>
    <x v="0"/>
    <n v="1"/>
    <n v="0"/>
    <n v="0"/>
    <x v="2"/>
    <n v="1"/>
    <n v="0"/>
    <n v="0"/>
    <n v="0"/>
    <n v="0"/>
  </r>
  <r>
    <n v="182"/>
    <x v="0"/>
    <n v="2"/>
    <s v="Pernot, Mr. Rene"/>
    <n v="0"/>
    <x v="4"/>
    <n v="0"/>
    <n v="0"/>
    <s v="SC/PARIS 2131"/>
    <n v="15.05"/>
    <s v=""/>
    <x v="1"/>
    <n v="0"/>
    <n v="1"/>
    <n v="0"/>
    <x v="0"/>
    <n v="0"/>
    <n v="0"/>
    <n v="1"/>
    <n v="0"/>
    <n v="0"/>
  </r>
  <r>
    <n v="183"/>
    <x v="0"/>
    <n v="3"/>
    <s v="Asplund, Master. Clarence Gustaf Hugo"/>
    <n v="0"/>
    <x v="47"/>
    <n v="4"/>
    <n v="2"/>
    <s v="347077"/>
    <n v="31.387499999999999"/>
    <s v=""/>
    <x v="0"/>
    <n v="1"/>
    <n v="0"/>
    <n v="0"/>
    <x v="3"/>
    <n v="0"/>
    <n v="0"/>
    <n v="0"/>
    <n v="1"/>
    <n v="0"/>
  </r>
  <r>
    <n v="184"/>
    <x v="1"/>
    <n v="2"/>
    <s v="Becker, Master. Richard F"/>
    <n v="0"/>
    <x v="50"/>
    <n v="2"/>
    <n v="1"/>
    <s v="230136"/>
    <n v="39"/>
    <s v="F4"/>
    <x v="0"/>
    <n v="1"/>
    <n v="0"/>
    <n v="0"/>
    <x v="3"/>
    <n v="0"/>
    <n v="0"/>
    <n v="0"/>
    <n v="1"/>
    <n v="0"/>
  </r>
  <r>
    <n v="185"/>
    <x v="1"/>
    <n v="3"/>
    <s v="Kink-Heilmann, Miss. Luise Gretchen"/>
    <n v="1"/>
    <x v="9"/>
    <n v="0"/>
    <n v="2"/>
    <s v="315153"/>
    <n v="22.024999999999999"/>
    <s v=""/>
    <x v="0"/>
    <n v="1"/>
    <n v="0"/>
    <n v="0"/>
    <x v="2"/>
    <n v="1"/>
    <n v="0"/>
    <n v="0"/>
    <n v="0"/>
    <n v="0"/>
  </r>
  <r>
    <n v="186"/>
    <x v="0"/>
    <n v="1"/>
    <s v="Rood, Mr. Hugh Roscoe"/>
    <n v="0"/>
    <x v="4"/>
    <n v="0"/>
    <n v="0"/>
    <s v="113767"/>
    <n v="50"/>
    <s v="A32"/>
    <x v="0"/>
    <n v="1"/>
    <n v="0"/>
    <n v="0"/>
    <x v="0"/>
    <n v="0"/>
    <n v="0"/>
    <n v="1"/>
    <n v="0"/>
    <n v="0"/>
  </r>
  <r>
    <n v="187"/>
    <x v="1"/>
    <n v="3"/>
    <s v="O'Brien, Mrs. Thomas (Johanna &quot;Hannah&quot; Godfrey)"/>
    <n v="1"/>
    <x v="4"/>
    <n v="1"/>
    <n v="0"/>
    <s v="370365"/>
    <n v="15.5"/>
    <s v=""/>
    <x v="2"/>
    <n v="0"/>
    <n v="0"/>
    <n v="1"/>
    <x v="1"/>
    <n v="0"/>
    <n v="1"/>
    <n v="0"/>
    <n v="0"/>
    <n v="0"/>
  </r>
  <r>
    <n v="188"/>
    <x v="1"/>
    <n v="1"/>
    <s v="Romaine, Mr. Charles Hallace (&quot;Mr C Rolmane&quot;)"/>
    <n v="0"/>
    <x v="32"/>
    <n v="0"/>
    <n v="0"/>
    <s v="111428"/>
    <n v="26.55"/>
    <s v=""/>
    <x v="0"/>
    <n v="1"/>
    <n v="0"/>
    <n v="0"/>
    <x v="0"/>
    <n v="0"/>
    <n v="0"/>
    <n v="1"/>
    <n v="0"/>
    <n v="0"/>
  </r>
  <r>
    <n v="189"/>
    <x v="0"/>
    <n v="3"/>
    <s v="Bourke, Mr. John"/>
    <n v="0"/>
    <x v="20"/>
    <n v="1"/>
    <n v="1"/>
    <s v="364849"/>
    <n v="15.5"/>
    <s v=""/>
    <x v="2"/>
    <n v="0"/>
    <n v="0"/>
    <n v="1"/>
    <x v="0"/>
    <n v="0"/>
    <n v="0"/>
    <n v="1"/>
    <n v="0"/>
    <n v="0"/>
  </r>
  <r>
    <n v="190"/>
    <x v="0"/>
    <n v="3"/>
    <s v="Turcin, Mr. Stjepan"/>
    <n v="0"/>
    <x v="54"/>
    <n v="0"/>
    <n v="0"/>
    <s v="349247"/>
    <n v="7.8958000000000004"/>
    <s v=""/>
    <x v="0"/>
    <n v="1"/>
    <n v="0"/>
    <n v="0"/>
    <x v="0"/>
    <n v="0"/>
    <n v="0"/>
    <n v="1"/>
    <n v="0"/>
    <n v="0"/>
  </r>
  <r>
    <n v="191"/>
    <x v="1"/>
    <n v="2"/>
    <s v="Pinsky, Mrs. (Rosa)"/>
    <n v="1"/>
    <x v="34"/>
    <n v="0"/>
    <n v="0"/>
    <s v="234604"/>
    <n v="13"/>
    <s v=""/>
    <x v="0"/>
    <n v="1"/>
    <n v="0"/>
    <n v="0"/>
    <x v="1"/>
    <n v="0"/>
    <n v="1"/>
    <n v="0"/>
    <n v="0"/>
    <n v="0"/>
  </r>
  <r>
    <n v="192"/>
    <x v="0"/>
    <n v="2"/>
    <s v="Carbines, Mr. William"/>
    <n v="0"/>
    <x v="19"/>
    <n v="0"/>
    <n v="0"/>
    <s v="28424"/>
    <n v="13"/>
    <s v=""/>
    <x v="0"/>
    <n v="1"/>
    <n v="0"/>
    <n v="0"/>
    <x v="0"/>
    <n v="0"/>
    <n v="0"/>
    <n v="1"/>
    <n v="0"/>
    <n v="0"/>
  </r>
  <r>
    <n v="193"/>
    <x v="1"/>
    <n v="3"/>
    <s v="Andersen-Jensen, Miss. Carla Christine Nielsine"/>
    <n v="1"/>
    <x v="19"/>
    <n v="1"/>
    <n v="0"/>
    <s v="350046"/>
    <n v="7.8541999999999996"/>
    <s v=""/>
    <x v="0"/>
    <n v="1"/>
    <n v="0"/>
    <n v="0"/>
    <x v="2"/>
    <n v="1"/>
    <n v="0"/>
    <n v="0"/>
    <n v="0"/>
    <n v="0"/>
  </r>
  <r>
    <n v="194"/>
    <x v="1"/>
    <n v="2"/>
    <s v="Navratil, Master. Michel M"/>
    <n v="0"/>
    <x v="25"/>
    <n v="1"/>
    <n v="1"/>
    <s v="230080"/>
    <n v="26"/>
    <s v="F2"/>
    <x v="0"/>
    <n v="1"/>
    <n v="0"/>
    <n v="0"/>
    <x v="3"/>
    <n v="0"/>
    <n v="0"/>
    <n v="0"/>
    <n v="1"/>
    <n v="0"/>
  </r>
  <r>
    <n v="195"/>
    <x v="1"/>
    <n v="1"/>
    <s v="Brown, Mrs. James Joseph (Margaret Tobin)"/>
    <n v="1"/>
    <x v="49"/>
    <n v="0"/>
    <n v="0"/>
    <s v="PC 17610"/>
    <n v="27.720800000000001"/>
    <s v="B4"/>
    <x v="1"/>
    <n v="0"/>
    <n v="1"/>
    <n v="0"/>
    <x v="1"/>
    <n v="0"/>
    <n v="1"/>
    <n v="0"/>
    <n v="0"/>
    <n v="0"/>
  </r>
  <r>
    <n v="196"/>
    <x v="1"/>
    <n v="1"/>
    <s v="Lurette, Miss. Elise"/>
    <n v="1"/>
    <x v="10"/>
    <n v="0"/>
    <n v="0"/>
    <s v="PC 17569"/>
    <n v="146.52080000000001"/>
    <s v="B80"/>
    <x v="1"/>
    <n v="0"/>
    <n v="1"/>
    <n v="0"/>
    <x v="2"/>
    <n v="1"/>
    <n v="0"/>
    <n v="0"/>
    <n v="0"/>
    <n v="0"/>
  </r>
  <r>
    <n v="197"/>
    <x v="0"/>
    <n v="3"/>
    <s v="Mernagh, Mr. Robert"/>
    <n v="0"/>
    <x v="4"/>
    <n v="0"/>
    <n v="0"/>
    <s v="368703"/>
    <n v="7.75"/>
    <s v=""/>
    <x v="2"/>
    <n v="0"/>
    <n v="0"/>
    <n v="1"/>
    <x v="0"/>
    <n v="0"/>
    <n v="0"/>
    <n v="1"/>
    <n v="0"/>
    <n v="0"/>
  </r>
  <r>
    <n v="198"/>
    <x v="0"/>
    <n v="3"/>
    <s v="Olsen, Mr. Karl Siegwart Andreas"/>
    <n v="0"/>
    <x v="22"/>
    <n v="0"/>
    <n v="1"/>
    <s v="4579"/>
    <n v="8.4041999999999994"/>
    <s v=""/>
    <x v="0"/>
    <n v="1"/>
    <n v="0"/>
    <n v="0"/>
    <x v="0"/>
    <n v="0"/>
    <n v="0"/>
    <n v="1"/>
    <n v="0"/>
    <n v="0"/>
  </r>
  <r>
    <n v="199"/>
    <x v="1"/>
    <n v="3"/>
    <s v="Madigan, Miss. Margaret &quot;Maggie&quot;"/>
    <n v="1"/>
    <x v="4"/>
    <n v="0"/>
    <n v="0"/>
    <s v="370370"/>
    <n v="7.75"/>
    <s v=""/>
    <x v="2"/>
    <n v="0"/>
    <n v="0"/>
    <n v="1"/>
    <x v="2"/>
    <n v="1"/>
    <n v="0"/>
    <n v="0"/>
    <n v="0"/>
    <n v="0"/>
  </r>
  <r>
    <n v="200"/>
    <x v="0"/>
    <n v="2"/>
    <s v="Yrois, Miss. Henriette (&quot;Mrs Harbeck&quot;)"/>
    <n v="1"/>
    <x v="40"/>
    <n v="0"/>
    <n v="0"/>
    <s v="248747"/>
    <n v="13"/>
    <s v=""/>
    <x v="0"/>
    <n v="1"/>
    <n v="0"/>
    <n v="0"/>
    <x v="2"/>
    <n v="1"/>
    <n v="0"/>
    <n v="0"/>
    <n v="0"/>
    <n v="0"/>
  </r>
  <r>
    <n v="201"/>
    <x v="0"/>
    <n v="3"/>
    <s v="Vande Walle, Mr. Nestor Cyriel"/>
    <n v="0"/>
    <x v="17"/>
    <n v="0"/>
    <n v="0"/>
    <s v="345770"/>
    <n v="9.5"/>
    <s v=""/>
    <x v="0"/>
    <n v="1"/>
    <n v="0"/>
    <n v="0"/>
    <x v="0"/>
    <n v="0"/>
    <n v="0"/>
    <n v="1"/>
    <n v="0"/>
    <n v="0"/>
  </r>
  <r>
    <n v="202"/>
    <x v="0"/>
    <n v="3"/>
    <s v="Sage, Mr. Frederick"/>
    <n v="0"/>
    <x v="4"/>
    <n v="8"/>
    <n v="2"/>
    <s v="CA. 2343"/>
    <n v="69.55"/>
    <s v=""/>
    <x v="0"/>
    <n v="1"/>
    <n v="0"/>
    <n v="0"/>
    <x v="0"/>
    <n v="0"/>
    <n v="0"/>
    <n v="1"/>
    <n v="0"/>
    <n v="0"/>
  </r>
  <r>
    <n v="203"/>
    <x v="0"/>
    <n v="3"/>
    <s v="Johanson, Mr. Jakob Alfred"/>
    <n v="0"/>
    <x v="15"/>
    <n v="0"/>
    <n v="0"/>
    <s v="3101264"/>
    <n v="6.4958"/>
    <s v=""/>
    <x v="0"/>
    <n v="1"/>
    <n v="0"/>
    <n v="0"/>
    <x v="0"/>
    <n v="0"/>
    <n v="0"/>
    <n v="1"/>
    <n v="0"/>
    <n v="0"/>
  </r>
  <r>
    <n v="204"/>
    <x v="0"/>
    <n v="3"/>
    <s v="Youseff, Mr. Gerious"/>
    <n v="0"/>
    <x v="4"/>
    <n v="0"/>
    <n v="0"/>
    <s v="2628"/>
    <n v="7.2249999999999996"/>
    <s v=""/>
    <x v="1"/>
    <n v="0"/>
    <n v="1"/>
    <n v="0"/>
    <x v="0"/>
    <n v="0"/>
    <n v="0"/>
    <n v="1"/>
    <n v="0"/>
    <n v="0"/>
  </r>
  <r>
    <n v="205"/>
    <x v="1"/>
    <n v="3"/>
    <s v="Cohen, Mr. Gurshon &quot;Gus&quot;"/>
    <n v="0"/>
    <x v="24"/>
    <n v="0"/>
    <n v="0"/>
    <s v="A/5 3540"/>
    <n v="8.0500000000000007"/>
    <s v=""/>
    <x v="0"/>
    <n v="1"/>
    <n v="0"/>
    <n v="0"/>
    <x v="0"/>
    <n v="0"/>
    <n v="0"/>
    <n v="1"/>
    <n v="0"/>
    <n v="0"/>
  </r>
  <r>
    <n v="206"/>
    <x v="0"/>
    <n v="3"/>
    <s v="Strom, Miss. Telma Matilda"/>
    <n v="1"/>
    <x v="6"/>
    <n v="0"/>
    <n v="1"/>
    <s v="347054"/>
    <n v="10.4625"/>
    <s v="G6"/>
    <x v="0"/>
    <n v="1"/>
    <n v="0"/>
    <n v="0"/>
    <x v="2"/>
    <n v="1"/>
    <n v="0"/>
    <n v="0"/>
    <n v="0"/>
    <n v="0"/>
  </r>
  <r>
    <n v="207"/>
    <x v="0"/>
    <n v="3"/>
    <s v="Backstrom, Mr. Karl Alfred"/>
    <n v="0"/>
    <x v="34"/>
    <n v="1"/>
    <n v="0"/>
    <s v="3101278"/>
    <n v="15.85"/>
    <s v=""/>
    <x v="0"/>
    <n v="1"/>
    <n v="0"/>
    <n v="0"/>
    <x v="0"/>
    <n v="0"/>
    <n v="0"/>
    <n v="1"/>
    <n v="0"/>
    <n v="0"/>
  </r>
  <r>
    <n v="208"/>
    <x v="1"/>
    <n v="3"/>
    <s v="Albimona, Mr. Nassef Cassem"/>
    <n v="0"/>
    <x v="2"/>
    <n v="0"/>
    <n v="0"/>
    <s v="2699"/>
    <n v="18.787500000000001"/>
    <s v=""/>
    <x v="1"/>
    <n v="0"/>
    <n v="1"/>
    <n v="0"/>
    <x v="0"/>
    <n v="0"/>
    <n v="0"/>
    <n v="1"/>
    <n v="0"/>
    <n v="0"/>
  </r>
  <r>
    <n v="209"/>
    <x v="1"/>
    <n v="3"/>
    <s v="Carr, Miss. Helen &quot;Ellen&quot;"/>
    <n v="1"/>
    <x v="35"/>
    <n v="0"/>
    <n v="0"/>
    <s v="367231"/>
    <n v="7.75"/>
    <s v=""/>
    <x v="2"/>
    <n v="0"/>
    <n v="0"/>
    <n v="1"/>
    <x v="2"/>
    <n v="1"/>
    <n v="0"/>
    <n v="0"/>
    <n v="0"/>
    <n v="0"/>
  </r>
  <r>
    <n v="210"/>
    <x v="1"/>
    <n v="1"/>
    <s v="Blank, Mr. Henry"/>
    <n v="0"/>
    <x v="20"/>
    <n v="0"/>
    <n v="0"/>
    <s v="112277"/>
    <n v="31"/>
    <s v="A31"/>
    <x v="1"/>
    <n v="0"/>
    <n v="1"/>
    <n v="0"/>
    <x v="0"/>
    <n v="0"/>
    <n v="0"/>
    <n v="1"/>
    <n v="0"/>
    <n v="0"/>
  </r>
  <r>
    <n v="211"/>
    <x v="0"/>
    <n v="3"/>
    <s v="Ali, Mr. Ahmed"/>
    <n v="0"/>
    <x v="40"/>
    <n v="0"/>
    <n v="0"/>
    <s v="SOTON/O.Q. 3101311"/>
    <n v="7.05"/>
    <s v=""/>
    <x v="0"/>
    <n v="1"/>
    <n v="0"/>
    <n v="0"/>
    <x v="0"/>
    <n v="0"/>
    <n v="0"/>
    <n v="1"/>
    <n v="0"/>
    <n v="0"/>
  </r>
  <r>
    <n v="212"/>
    <x v="1"/>
    <n v="2"/>
    <s v="Cameron, Miss. Clear Annie"/>
    <n v="1"/>
    <x v="3"/>
    <n v="0"/>
    <n v="0"/>
    <s v="F.C.C. 13528"/>
    <n v="21"/>
    <s v=""/>
    <x v="0"/>
    <n v="1"/>
    <n v="0"/>
    <n v="0"/>
    <x v="2"/>
    <n v="1"/>
    <n v="0"/>
    <n v="0"/>
    <n v="0"/>
    <n v="0"/>
  </r>
  <r>
    <n v="213"/>
    <x v="0"/>
    <n v="3"/>
    <s v="Perkin, Mr. John Henry"/>
    <n v="0"/>
    <x v="0"/>
    <n v="0"/>
    <n v="0"/>
    <s v="A/5 21174"/>
    <n v="7.25"/>
    <s v=""/>
    <x v="0"/>
    <n v="1"/>
    <n v="0"/>
    <n v="0"/>
    <x v="0"/>
    <n v="0"/>
    <n v="0"/>
    <n v="1"/>
    <n v="0"/>
    <n v="0"/>
  </r>
  <r>
    <n v="214"/>
    <x v="0"/>
    <n v="2"/>
    <s v="Givard, Mr. Hans Kristensen"/>
    <n v="0"/>
    <x v="37"/>
    <n v="0"/>
    <n v="0"/>
    <s v="250646"/>
    <n v="13"/>
    <s v=""/>
    <x v="0"/>
    <n v="1"/>
    <n v="0"/>
    <n v="0"/>
    <x v="0"/>
    <n v="0"/>
    <n v="0"/>
    <n v="1"/>
    <n v="0"/>
    <n v="0"/>
  </r>
  <r>
    <n v="215"/>
    <x v="0"/>
    <n v="3"/>
    <s v="Kiernan, Mr. Philip"/>
    <n v="0"/>
    <x v="4"/>
    <n v="1"/>
    <n v="0"/>
    <s v="367229"/>
    <n v="7.75"/>
    <s v=""/>
    <x v="2"/>
    <n v="0"/>
    <n v="0"/>
    <n v="1"/>
    <x v="0"/>
    <n v="0"/>
    <n v="0"/>
    <n v="1"/>
    <n v="0"/>
    <n v="0"/>
  </r>
  <r>
    <n v="216"/>
    <x v="1"/>
    <n v="1"/>
    <s v="Newell, Miss. Madeleine"/>
    <n v="1"/>
    <x v="14"/>
    <n v="1"/>
    <n v="0"/>
    <s v="35273"/>
    <n v="113.27500000000001"/>
    <s v="D36"/>
    <x v="1"/>
    <n v="0"/>
    <n v="1"/>
    <n v="0"/>
    <x v="2"/>
    <n v="1"/>
    <n v="0"/>
    <n v="0"/>
    <n v="0"/>
    <n v="0"/>
  </r>
  <r>
    <n v="217"/>
    <x v="1"/>
    <n v="3"/>
    <s v="Honkanen, Miss. Eliina"/>
    <n v="1"/>
    <x v="7"/>
    <n v="0"/>
    <n v="0"/>
    <s v="STON/O2. 3101283"/>
    <n v="7.9249999999999998"/>
    <s v=""/>
    <x v="0"/>
    <n v="1"/>
    <n v="0"/>
    <n v="0"/>
    <x v="2"/>
    <n v="1"/>
    <n v="0"/>
    <n v="0"/>
    <n v="0"/>
    <n v="0"/>
  </r>
  <r>
    <n v="218"/>
    <x v="0"/>
    <n v="2"/>
    <s v="Jacobsohn, Mr. Sidney Samuel"/>
    <n v="0"/>
    <x v="22"/>
    <n v="1"/>
    <n v="0"/>
    <s v="243847"/>
    <n v="27"/>
    <s v=""/>
    <x v="0"/>
    <n v="1"/>
    <n v="0"/>
    <n v="0"/>
    <x v="0"/>
    <n v="0"/>
    <n v="0"/>
    <n v="1"/>
    <n v="0"/>
    <n v="0"/>
  </r>
  <r>
    <n v="219"/>
    <x v="1"/>
    <n v="1"/>
    <s v="Bazzani, Miss. Albina"/>
    <n v="1"/>
    <x v="34"/>
    <n v="0"/>
    <n v="0"/>
    <s v="11813"/>
    <n v="76.291700000000006"/>
    <s v="D15"/>
    <x v="1"/>
    <n v="0"/>
    <n v="1"/>
    <n v="0"/>
    <x v="2"/>
    <n v="1"/>
    <n v="0"/>
    <n v="0"/>
    <n v="0"/>
    <n v="0"/>
  </r>
  <r>
    <n v="220"/>
    <x v="0"/>
    <n v="2"/>
    <s v="Harris, Mr. Walter"/>
    <n v="0"/>
    <x v="37"/>
    <n v="0"/>
    <n v="0"/>
    <s v="W/C 14208"/>
    <n v="10.5"/>
    <s v=""/>
    <x v="0"/>
    <n v="1"/>
    <n v="0"/>
    <n v="0"/>
    <x v="0"/>
    <n v="0"/>
    <n v="0"/>
    <n v="1"/>
    <n v="0"/>
    <n v="0"/>
  </r>
  <r>
    <n v="221"/>
    <x v="1"/>
    <n v="3"/>
    <s v="Sunderland, Mr. Victor Francis"/>
    <n v="0"/>
    <x v="35"/>
    <n v="0"/>
    <n v="0"/>
    <s v="SOTON/OQ 392089"/>
    <n v="8.0500000000000007"/>
    <s v=""/>
    <x v="0"/>
    <n v="1"/>
    <n v="0"/>
    <n v="0"/>
    <x v="0"/>
    <n v="0"/>
    <n v="0"/>
    <n v="1"/>
    <n v="0"/>
    <n v="0"/>
  </r>
  <r>
    <n v="222"/>
    <x v="0"/>
    <n v="2"/>
    <s v="Bracken, Mr. James H"/>
    <n v="0"/>
    <x v="7"/>
    <n v="0"/>
    <n v="0"/>
    <s v="220367"/>
    <n v="13"/>
    <s v=""/>
    <x v="0"/>
    <n v="1"/>
    <n v="0"/>
    <n v="0"/>
    <x v="0"/>
    <n v="0"/>
    <n v="0"/>
    <n v="1"/>
    <n v="0"/>
    <n v="0"/>
  </r>
  <r>
    <n v="223"/>
    <x v="0"/>
    <n v="3"/>
    <s v="Green, Mr. George Henry"/>
    <n v="0"/>
    <x v="48"/>
    <n v="0"/>
    <n v="0"/>
    <s v="21440"/>
    <n v="8.0500000000000007"/>
    <s v=""/>
    <x v="0"/>
    <n v="1"/>
    <n v="0"/>
    <n v="0"/>
    <x v="0"/>
    <n v="0"/>
    <n v="0"/>
    <n v="1"/>
    <n v="0"/>
    <n v="0"/>
  </r>
  <r>
    <n v="224"/>
    <x v="0"/>
    <n v="3"/>
    <s v="Nenkoff, Mr. Christo"/>
    <n v="0"/>
    <x v="4"/>
    <n v="0"/>
    <n v="0"/>
    <s v="349234"/>
    <n v="7.8958000000000004"/>
    <s v=""/>
    <x v="0"/>
    <n v="1"/>
    <n v="0"/>
    <n v="0"/>
    <x v="0"/>
    <n v="0"/>
    <n v="0"/>
    <n v="1"/>
    <n v="0"/>
    <n v="0"/>
  </r>
  <r>
    <n v="225"/>
    <x v="1"/>
    <n v="1"/>
    <s v="Hoyt, Mr. Frederick Maxfield"/>
    <n v="0"/>
    <x v="1"/>
    <n v="1"/>
    <n v="0"/>
    <s v="19943"/>
    <n v="90"/>
    <s v="C93"/>
    <x v="0"/>
    <n v="1"/>
    <n v="0"/>
    <n v="0"/>
    <x v="0"/>
    <n v="0"/>
    <n v="0"/>
    <n v="1"/>
    <n v="0"/>
    <n v="0"/>
  </r>
  <r>
    <n v="226"/>
    <x v="0"/>
    <n v="3"/>
    <s v="Berglund, Mr. Karl Ivar Sven"/>
    <n v="0"/>
    <x v="0"/>
    <n v="0"/>
    <n v="0"/>
    <s v="PP 4348"/>
    <n v="9.35"/>
    <s v=""/>
    <x v="0"/>
    <n v="1"/>
    <n v="0"/>
    <n v="0"/>
    <x v="0"/>
    <n v="0"/>
    <n v="0"/>
    <n v="1"/>
    <n v="0"/>
    <n v="0"/>
  </r>
  <r>
    <n v="227"/>
    <x v="1"/>
    <n v="2"/>
    <s v="Mellors, Mr. William John"/>
    <n v="0"/>
    <x v="19"/>
    <n v="0"/>
    <n v="0"/>
    <s v="SW/PP 751"/>
    <n v="10.5"/>
    <s v=""/>
    <x v="0"/>
    <n v="1"/>
    <n v="0"/>
    <n v="0"/>
    <x v="0"/>
    <n v="0"/>
    <n v="0"/>
    <n v="1"/>
    <n v="0"/>
    <n v="0"/>
  </r>
  <r>
    <n v="228"/>
    <x v="0"/>
    <n v="3"/>
    <s v="Lovell, Mr. John Hall (&quot;Henry&quot;)"/>
    <n v="0"/>
    <x v="4"/>
    <n v="0"/>
    <n v="0"/>
    <s v="A/5 21173"/>
    <n v="7.25"/>
    <s v=""/>
    <x v="0"/>
    <n v="1"/>
    <n v="0"/>
    <n v="0"/>
    <x v="0"/>
    <n v="0"/>
    <n v="0"/>
    <n v="1"/>
    <n v="0"/>
    <n v="0"/>
  </r>
  <r>
    <n v="229"/>
    <x v="0"/>
    <n v="2"/>
    <s v="Fahlstrom, Mr. Arne Jonas"/>
    <n v="0"/>
    <x v="24"/>
    <n v="0"/>
    <n v="0"/>
    <s v="236171"/>
    <n v="13"/>
    <s v=""/>
    <x v="0"/>
    <n v="1"/>
    <n v="0"/>
    <n v="0"/>
    <x v="0"/>
    <n v="0"/>
    <n v="0"/>
    <n v="1"/>
    <n v="0"/>
    <n v="0"/>
  </r>
  <r>
    <n v="230"/>
    <x v="0"/>
    <n v="3"/>
    <s v="Lefebre, Miss. Mathilde"/>
    <n v="1"/>
    <x v="4"/>
    <n v="3"/>
    <n v="1"/>
    <s v="4133"/>
    <n v="25.466699999999999"/>
    <s v=""/>
    <x v="0"/>
    <n v="1"/>
    <n v="0"/>
    <n v="0"/>
    <x v="2"/>
    <n v="1"/>
    <n v="0"/>
    <n v="0"/>
    <n v="0"/>
    <n v="0"/>
  </r>
  <r>
    <n v="231"/>
    <x v="1"/>
    <n v="1"/>
    <s v="Harris, Mrs. Henry Birkhardt (Irene Wallach)"/>
    <n v="1"/>
    <x v="3"/>
    <n v="1"/>
    <n v="0"/>
    <s v="36973"/>
    <n v="83.474999999999994"/>
    <s v="C83"/>
    <x v="0"/>
    <n v="1"/>
    <n v="0"/>
    <n v="0"/>
    <x v="1"/>
    <n v="0"/>
    <n v="1"/>
    <n v="0"/>
    <n v="0"/>
    <n v="0"/>
  </r>
  <r>
    <n v="232"/>
    <x v="0"/>
    <n v="3"/>
    <s v="Larsson, Mr. Bengt Edvin"/>
    <n v="0"/>
    <x v="28"/>
    <n v="0"/>
    <n v="0"/>
    <s v="347067"/>
    <n v="7.7750000000000004"/>
    <s v=""/>
    <x v="0"/>
    <n v="1"/>
    <n v="0"/>
    <n v="0"/>
    <x v="0"/>
    <n v="0"/>
    <n v="0"/>
    <n v="1"/>
    <n v="0"/>
    <n v="0"/>
  </r>
  <r>
    <n v="233"/>
    <x v="0"/>
    <n v="2"/>
    <s v="Sjostedt, Mr. Ernst Adolf"/>
    <n v="0"/>
    <x v="42"/>
    <n v="0"/>
    <n v="0"/>
    <s v="237442"/>
    <n v="13.5"/>
    <s v=""/>
    <x v="0"/>
    <n v="1"/>
    <n v="0"/>
    <n v="0"/>
    <x v="0"/>
    <n v="0"/>
    <n v="0"/>
    <n v="1"/>
    <n v="0"/>
    <n v="0"/>
  </r>
  <r>
    <n v="234"/>
    <x v="1"/>
    <n v="3"/>
    <s v="Asplund, Miss. Lillian Gertrud"/>
    <n v="1"/>
    <x v="30"/>
    <n v="4"/>
    <n v="2"/>
    <s v="347077"/>
    <n v="31.387499999999999"/>
    <s v=""/>
    <x v="0"/>
    <n v="1"/>
    <n v="0"/>
    <n v="0"/>
    <x v="2"/>
    <n v="1"/>
    <n v="0"/>
    <n v="0"/>
    <n v="0"/>
    <n v="0"/>
  </r>
  <r>
    <n v="235"/>
    <x v="0"/>
    <n v="2"/>
    <s v="Leyson, Mr. Robert William Norman"/>
    <n v="0"/>
    <x v="40"/>
    <n v="0"/>
    <n v="0"/>
    <s v="C.A. 29566"/>
    <n v="10.5"/>
    <s v=""/>
    <x v="0"/>
    <n v="1"/>
    <n v="0"/>
    <n v="0"/>
    <x v="0"/>
    <n v="0"/>
    <n v="0"/>
    <n v="1"/>
    <n v="0"/>
    <n v="0"/>
  </r>
  <r>
    <n v="236"/>
    <x v="0"/>
    <n v="3"/>
    <s v="Harknett, Miss. Alice Phoebe"/>
    <n v="1"/>
    <x v="4"/>
    <n v="0"/>
    <n v="0"/>
    <s v="W./C. 6609"/>
    <n v="7.55"/>
    <s v=""/>
    <x v="0"/>
    <n v="1"/>
    <n v="0"/>
    <n v="0"/>
    <x v="2"/>
    <n v="1"/>
    <n v="0"/>
    <n v="0"/>
    <n v="0"/>
    <n v="0"/>
  </r>
  <r>
    <n v="237"/>
    <x v="0"/>
    <n v="2"/>
    <s v="Hold, Mr. Stephen"/>
    <n v="0"/>
    <x v="49"/>
    <n v="1"/>
    <n v="0"/>
    <s v="26707"/>
    <n v="26"/>
    <s v=""/>
    <x v="0"/>
    <n v="1"/>
    <n v="0"/>
    <n v="0"/>
    <x v="0"/>
    <n v="0"/>
    <n v="0"/>
    <n v="1"/>
    <n v="0"/>
    <n v="0"/>
  </r>
  <r>
    <n v="238"/>
    <x v="1"/>
    <n v="2"/>
    <s v="Collyer, Miss. Marjorie &quot;Lottie&quot;"/>
    <n v="1"/>
    <x v="18"/>
    <n v="0"/>
    <n v="2"/>
    <s v="C.A. 31921"/>
    <n v="26.25"/>
    <s v=""/>
    <x v="0"/>
    <n v="1"/>
    <n v="0"/>
    <n v="0"/>
    <x v="2"/>
    <n v="1"/>
    <n v="0"/>
    <n v="0"/>
    <n v="0"/>
    <n v="0"/>
  </r>
  <r>
    <n v="239"/>
    <x v="0"/>
    <n v="2"/>
    <s v="Pengelly, Mr. Frederick William"/>
    <n v="0"/>
    <x v="19"/>
    <n v="0"/>
    <n v="0"/>
    <s v="28665"/>
    <n v="10.5"/>
    <s v=""/>
    <x v="0"/>
    <n v="1"/>
    <n v="0"/>
    <n v="0"/>
    <x v="0"/>
    <n v="0"/>
    <n v="0"/>
    <n v="1"/>
    <n v="0"/>
    <n v="0"/>
  </r>
  <r>
    <n v="240"/>
    <x v="0"/>
    <n v="2"/>
    <s v="Hunt, Mr. George Henry"/>
    <n v="0"/>
    <x v="38"/>
    <n v="0"/>
    <n v="0"/>
    <s v="SCO/W 1585"/>
    <n v="12.275"/>
    <s v=""/>
    <x v="0"/>
    <n v="1"/>
    <n v="0"/>
    <n v="0"/>
    <x v="0"/>
    <n v="0"/>
    <n v="0"/>
    <n v="1"/>
    <n v="0"/>
    <n v="0"/>
  </r>
  <r>
    <n v="241"/>
    <x v="0"/>
    <n v="3"/>
    <s v="Zabour, Miss. Thamine"/>
    <n v="1"/>
    <x v="4"/>
    <n v="1"/>
    <n v="0"/>
    <s v="2665"/>
    <n v="14.4542"/>
    <s v=""/>
    <x v="1"/>
    <n v="0"/>
    <n v="1"/>
    <n v="0"/>
    <x v="2"/>
    <n v="1"/>
    <n v="0"/>
    <n v="0"/>
    <n v="0"/>
    <n v="0"/>
  </r>
  <r>
    <n v="242"/>
    <x v="1"/>
    <n v="3"/>
    <s v="Murphy, Miss. Katherine &quot;Kate&quot;"/>
    <n v="1"/>
    <x v="4"/>
    <n v="1"/>
    <n v="0"/>
    <s v="367230"/>
    <n v="15.5"/>
    <s v=""/>
    <x v="2"/>
    <n v="0"/>
    <n v="0"/>
    <n v="1"/>
    <x v="2"/>
    <n v="1"/>
    <n v="0"/>
    <n v="0"/>
    <n v="0"/>
    <n v="0"/>
  </r>
  <r>
    <n v="243"/>
    <x v="0"/>
    <n v="2"/>
    <s v="Coleridge, Mr. Reginald Charles"/>
    <n v="0"/>
    <x v="28"/>
    <n v="0"/>
    <n v="0"/>
    <s v="W./C. 14263"/>
    <n v="10.5"/>
    <s v=""/>
    <x v="0"/>
    <n v="1"/>
    <n v="0"/>
    <n v="0"/>
    <x v="0"/>
    <n v="0"/>
    <n v="0"/>
    <n v="1"/>
    <n v="0"/>
    <n v="0"/>
  </r>
  <r>
    <n v="244"/>
    <x v="0"/>
    <n v="3"/>
    <s v="Maenpaa, Mr. Matti Alexanteri"/>
    <n v="0"/>
    <x v="0"/>
    <n v="0"/>
    <n v="0"/>
    <s v="STON/O 2. 3101275"/>
    <n v="7.125"/>
    <s v=""/>
    <x v="0"/>
    <n v="1"/>
    <n v="0"/>
    <n v="0"/>
    <x v="0"/>
    <n v="0"/>
    <n v="0"/>
    <n v="1"/>
    <n v="0"/>
    <n v="0"/>
  </r>
  <r>
    <n v="245"/>
    <x v="0"/>
    <n v="3"/>
    <s v="Attalah, Mr. Sleiman"/>
    <n v="0"/>
    <x v="37"/>
    <n v="0"/>
    <n v="0"/>
    <s v="2694"/>
    <n v="7.2249999999999996"/>
    <s v=""/>
    <x v="1"/>
    <n v="0"/>
    <n v="1"/>
    <n v="0"/>
    <x v="0"/>
    <n v="0"/>
    <n v="0"/>
    <n v="1"/>
    <n v="0"/>
    <n v="0"/>
  </r>
  <r>
    <n v="246"/>
    <x v="0"/>
    <n v="1"/>
    <s v="Minahan, Dr. William Edward"/>
    <n v="0"/>
    <x v="49"/>
    <n v="2"/>
    <n v="0"/>
    <s v="19928"/>
    <n v="90"/>
    <s v="C78"/>
    <x v="2"/>
    <n v="0"/>
    <n v="0"/>
    <n v="1"/>
    <x v="6"/>
    <n v="0"/>
    <n v="0"/>
    <n v="0"/>
    <n v="0"/>
    <n v="1"/>
  </r>
  <r>
    <n v="247"/>
    <x v="0"/>
    <n v="3"/>
    <s v="Lindahl, Miss. Agda Thorilda Viktoria"/>
    <n v="1"/>
    <x v="36"/>
    <n v="0"/>
    <n v="0"/>
    <s v="347071"/>
    <n v="7.7750000000000004"/>
    <s v=""/>
    <x v="0"/>
    <n v="1"/>
    <n v="0"/>
    <n v="0"/>
    <x v="2"/>
    <n v="1"/>
    <n v="0"/>
    <n v="0"/>
    <n v="0"/>
    <n v="0"/>
  </r>
  <r>
    <n v="248"/>
    <x v="1"/>
    <n v="2"/>
    <s v="Hamalainen, Mrs. William (Anna)"/>
    <n v="1"/>
    <x v="40"/>
    <n v="0"/>
    <n v="2"/>
    <s v="250649"/>
    <n v="14.5"/>
    <s v=""/>
    <x v="0"/>
    <n v="1"/>
    <n v="0"/>
    <n v="0"/>
    <x v="1"/>
    <n v="0"/>
    <n v="1"/>
    <n v="0"/>
    <n v="0"/>
    <n v="0"/>
  </r>
  <r>
    <n v="249"/>
    <x v="1"/>
    <n v="1"/>
    <s v="Beckwith, Mr. Richard Leonard"/>
    <n v="0"/>
    <x v="44"/>
    <n v="1"/>
    <n v="1"/>
    <s v="11751"/>
    <n v="52.554200000000002"/>
    <s v="D35"/>
    <x v="0"/>
    <n v="1"/>
    <n v="0"/>
    <n v="0"/>
    <x v="0"/>
    <n v="0"/>
    <n v="0"/>
    <n v="1"/>
    <n v="0"/>
    <n v="0"/>
  </r>
  <r>
    <n v="250"/>
    <x v="0"/>
    <n v="2"/>
    <s v="Carter, Rev. Ernest Courtenay"/>
    <n v="0"/>
    <x v="5"/>
    <n v="1"/>
    <n v="0"/>
    <s v="244252"/>
    <n v="26"/>
    <s v=""/>
    <x v="0"/>
    <n v="1"/>
    <n v="0"/>
    <n v="0"/>
    <x v="5"/>
    <n v="0"/>
    <n v="0"/>
    <n v="0"/>
    <n v="0"/>
    <n v="1"/>
  </r>
  <r>
    <n v="251"/>
    <x v="0"/>
    <n v="3"/>
    <s v="Reed, Mr. James George"/>
    <n v="0"/>
    <x v="4"/>
    <n v="0"/>
    <n v="0"/>
    <s v="362316"/>
    <n v="7.25"/>
    <s v=""/>
    <x v="0"/>
    <n v="1"/>
    <n v="0"/>
    <n v="0"/>
    <x v="0"/>
    <n v="0"/>
    <n v="0"/>
    <n v="1"/>
    <n v="0"/>
    <n v="0"/>
  </r>
  <r>
    <n v="252"/>
    <x v="0"/>
    <n v="3"/>
    <s v="Strom, Mrs. Wilhelm (Elna Matilda Persson)"/>
    <n v="1"/>
    <x v="28"/>
    <n v="1"/>
    <n v="1"/>
    <s v="347054"/>
    <n v="10.4625"/>
    <s v="G6"/>
    <x v="0"/>
    <n v="1"/>
    <n v="0"/>
    <n v="0"/>
    <x v="1"/>
    <n v="0"/>
    <n v="1"/>
    <n v="0"/>
    <n v="0"/>
    <n v="0"/>
  </r>
  <r>
    <n v="253"/>
    <x v="0"/>
    <n v="1"/>
    <s v="Stead, Mr. William Thomas"/>
    <n v="0"/>
    <x v="55"/>
    <n v="0"/>
    <n v="0"/>
    <s v="113514"/>
    <n v="26.55"/>
    <s v="C87"/>
    <x v="0"/>
    <n v="1"/>
    <n v="0"/>
    <n v="0"/>
    <x v="0"/>
    <n v="0"/>
    <n v="0"/>
    <n v="1"/>
    <n v="0"/>
    <n v="0"/>
  </r>
  <r>
    <n v="254"/>
    <x v="0"/>
    <n v="3"/>
    <s v="Lobb, Mr. William Arthur"/>
    <n v="0"/>
    <x v="37"/>
    <n v="1"/>
    <n v="0"/>
    <s v="A/5. 3336"/>
    <n v="16.100000000000001"/>
    <s v=""/>
    <x v="0"/>
    <n v="1"/>
    <n v="0"/>
    <n v="0"/>
    <x v="0"/>
    <n v="0"/>
    <n v="0"/>
    <n v="1"/>
    <n v="0"/>
    <n v="0"/>
  </r>
  <r>
    <n v="255"/>
    <x v="0"/>
    <n v="3"/>
    <s v="Rosblom, Mrs. Viktor (Helena Wilhelmina)"/>
    <n v="1"/>
    <x v="56"/>
    <n v="0"/>
    <n v="2"/>
    <s v="370129"/>
    <n v="20.212499999999999"/>
    <s v=""/>
    <x v="0"/>
    <n v="1"/>
    <n v="0"/>
    <n v="0"/>
    <x v="1"/>
    <n v="0"/>
    <n v="1"/>
    <n v="0"/>
    <n v="0"/>
    <n v="0"/>
  </r>
  <r>
    <n v="256"/>
    <x v="1"/>
    <n v="3"/>
    <s v="Touma, Mrs. Darwis (Hanne Youssef Razi)"/>
    <n v="1"/>
    <x v="28"/>
    <n v="0"/>
    <n v="2"/>
    <s v="2650"/>
    <n v="15.245799999999999"/>
    <s v=""/>
    <x v="1"/>
    <n v="0"/>
    <n v="1"/>
    <n v="0"/>
    <x v="1"/>
    <n v="0"/>
    <n v="1"/>
    <n v="0"/>
    <n v="0"/>
    <n v="0"/>
  </r>
  <r>
    <n v="257"/>
    <x v="1"/>
    <n v="1"/>
    <s v="Thorne, Mrs. Gertrude Maybelle"/>
    <n v="1"/>
    <x v="4"/>
    <n v="0"/>
    <n v="0"/>
    <s v="PC 17585"/>
    <n v="79.2"/>
    <s v=""/>
    <x v="1"/>
    <n v="0"/>
    <n v="1"/>
    <n v="0"/>
    <x v="1"/>
    <n v="0"/>
    <n v="1"/>
    <n v="0"/>
    <n v="0"/>
    <n v="0"/>
  </r>
  <r>
    <n v="258"/>
    <x v="1"/>
    <n v="1"/>
    <s v="Cherry, Miss. Gladys"/>
    <n v="1"/>
    <x v="37"/>
    <n v="0"/>
    <n v="0"/>
    <s v="110152"/>
    <n v="86.5"/>
    <s v="B77"/>
    <x v="0"/>
    <n v="1"/>
    <n v="0"/>
    <n v="0"/>
    <x v="2"/>
    <n v="1"/>
    <n v="0"/>
    <n v="0"/>
    <n v="0"/>
    <n v="0"/>
  </r>
  <r>
    <n v="259"/>
    <x v="1"/>
    <n v="1"/>
    <s v="Ward, Miss. Anna"/>
    <n v="1"/>
    <x v="3"/>
    <n v="0"/>
    <n v="0"/>
    <s v="PC 17755"/>
    <n v="512.32920000000001"/>
    <s v=""/>
    <x v="1"/>
    <n v="0"/>
    <n v="1"/>
    <n v="0"/>
    <x v="2"/>
    <n v="1"/>
    <n v="0"/>
    <n v="0"/>
    <n v="0"/>
    <n v="0"/>
  </r>
  <r>
    <n v="260"/>
    <x v="1"/>
    <n v="2"/>
    <s v="Parrish, Mrs. (Lutie Davis)"/>
    <n v="1"/>
    <x v="53"/>
    <n v="0"/>
    <n v="1"/>
    <s v="230433"/>
    <n v="26"/>
    <s v=""/>
    <x v="0"/>
    <n v="1"/>
    <n v="0"/>
    <n v="0"/>
    <x v="1"/>
    <n v="0"/>
    <n v="1"/>
    <n v="0"/>
    <n v="0"/>
    <n v="0"/>
  </r>
  <r>
    <n v="261"/>
    <x v="0"/>
    <n v="3"/>
    <s v="Smith, Mr. Thomas"/>
    <n v="0"/>
    <x v="4"/>
    <n v="0"/>
    <n v="0"/>
    <s v="384461"/>
    <n v="7.75"/>
    <s v=""/>
    <x v="2"/>
    <n v="0"/>
    <n v="0"/>
    <n v="1"/>
    <x v="0"/>
    <n v="0"/>
    <n v="0"/>
    <n v="1"/>
    <n v="0"/>
    <n v="0"/>
  </r>
  <r>
    <n v="262"/>
    <x v="1"/>
    <n v="3"/>
    <s v="Asplund, Master. Edvin Rojj Felix"/>
    <n v="0"/>
    <x v="25"/>
    <n v="4"/>
    <n v="2"/>
    <s v="347077"/>
    <n v="31.387499999999999"/>
    <s v=""/>
    <x v="0"/>
    <n v="1"/>
    <n v="0"/>
    <n v="0"/>
    <x v="3"/>
    <n v="0"/>
    <n v="0"/>
    <n v="0"/>
    <n v="1"/>
    <n v="0"/>
  </r>
  <r>
    <n v="263"/>
    <x v="0"/>
    <n v="1"/>
    <s v="Taussig, Mr. Emil"/>
    <n v="0"/>
    <x v="57"/>
    <n v="1"/>
    <n v="1"/>
    <s v="110413"/>
    <n v="79.650000000000006"/>
    <s v="E67"/>
    <x v="0"/>
    <n v="1"/>
    <n v="0"/>
    <n v="0"/>
    <x v="0"/>
    <n v="0"/>
    <n v="0"/>
    <n v="1"/>
    <n v="0"/>
    <n v="0"/>
  </r>
  <r>
    <n v="264"/>
    <x v="0"/>
    <n v="1"/>
    <s v="Harrison, Mr. William"/>
    <n v="0"/>
    <x v="20"/>
    <n v="0"/>
    <n v="0"/>
    <s v="112059"/>
    <n v="0"/>
    <s v="B94"/>
    <x v="0"/>
    <n v="1"/>
    <n v="0"/>
    <n v="0"/>
    <x v="0"/>
    <n v="0"/>
    <n v="0"/>
    <n v="1"/>
    <n v="0"/>
    <n v="0"/>
  </r>
  <r>
    <n v="265"/>
    <x v="0"/>
    <n v="3"/>
    <s v="Henry, Miss. Delia"/>
    <n v="1"/>
    <x v="4"/>
    <n v="0"/>
    <n v="0"/>
    <s v="382649"/>
    <n v="7.75"/>
    <s v=""/>
    <x v="2"/>
    <n v="0"/>
    <n v="0"/>
    <n v="1"/>
    <x v="2"/>
    <n v="1"/>
    <n v="0"/>
    <n v="0"/>
    <n v="0"/>
    <n v="0"/>
  </r>
  <r>
    <n v="266"/>
    <x v="0"/>
    <n v="2"/>
    <s v="Reeves, Mr. David"/>
    <n v="0"/>
    <x v="54"/>
    <n v="0"/>
    <n v="0"/>
    <s v="C.A. 17248"/>
    <n v="10.5"/>
    <s v=""/>
    <x v="0"/>
    <n v="1"/>
    <n v="0"/>
    <n v="0"/>
    <x v="0"/>
    <n v="0"/>
    <n v="0"/>
    <n v="1"/>
    <n v="0"/>
    <n v="0"/>
  </r>
  <r>
    <n v="267"/>
    <x v="0"/>
    <n v="3"/>
    <s v="Panula, Mr. Ernesti Arvid"/>
    <n v="0"/>
    <x v="35"/>
    <n v="4"/>
    <n v="1"/>
    <s v="3101295"/>
    <n v="39.6875"/>
    <s v=""/>
    <x v="0"/>
    <n v="1"/>
    <n v="0"/>
    <n v="0"/>
    <x v="0"/>
    <n v="0"/>
    <n v="0"/>
    <n v="1"/>
    <n v="0"/>
    <n v="0"/>
  </r>
  <r>
    <n v="268"/>
    <x v="1"/>
    <n v="3"/>
    <s v="Persson, Mr. Ernst Ulrik"/>
    <n v="0"/>
    <x v="36"/>
    <n v="1"/>
    <n v="0"/>
    <s v="347083"/>
    <n v="7.7750000000000004"/>
    <s v=""/>
    <x v="0"/>
    <n v="1"/>
    <n v="0"/>
    <n v="0"/>
    <x v="0"/>
    <n v="0"/>
    <n v="0"/>
    <n v="1"/>
    <n v="0"/>
    <n v="0"/>
  </r>
  <r>
    <n v="269"/>
    <x v="1"/>
    <n v="1"/>
    <s v="Graham, Mrs. William Thompson (Edith Junkins)"/>
    <n v="1"/>
    <x v="10"/>
    <n v="0"/>
    <n v="1"/>
    <s v="PC 17582"/>
    <n v="153.46250000000001"/>
    <s v="C125"/>
    <x v="0"/>
    <n v="1"/>
    <n v="0"/>
    <n v="0"/>
    <x v="1"/>
    <n v="0"/>
    <n v="1"/>
    <n v="0"/>
    <n v="0"/>
    <n v="0"/>
  </r>
  <r>
    <n v="270"/>
    <x v="1"/>
    <n v="1"/>
    <s v="Bissette, Miss. Amelia"/>
    <n v="1"/>
    <x v="3"/>
    <n v="0"/>
    <n v="0"/>
    <s v="PC 17760"/>
    <n v="135.63329999999999"/>
    <s v="C99"/>
    <x v="0"/>
    <n v="1"/>
    <n v="0"/>
    <n v="0"/>
    <x v="2"/>
    <n v="1"/>
    <n v="0"/>
    <n v="0"/>
    <n v="0"/>
    <n v="0"/>
  </r>
  <r>
    <n v="271"/>
    <x v="0"/>
    <n v="1"/>
    <s v="Cairns, Mr. Alexander"/>
    <n v="0"/>
    <x v="4"/>
    <n v="0"/>
    <n v="0"/>
    <s v="113798"/>
    <n v="31"/>
    <s v=""/>
    <x v="0"/>
    <n v="1"/>
    <n v="0"/>
    <n v="0"/>
    <x v="0"/>
    <n v="0"/>
    <n v="0"/>
    <n v="1"/>
    <n v="0"/>
    <n v="0"/>
  </r>
  <r>
    <n v="272"/>
    <x v="1"/>
    <n v="3"/>
    <s v="Tornquist, Mr. William Henry"/>
    <n v="0"/>
    <x v="36"/>
    <n v="0"/>
    <n v="0"/>
    <s v="LINE"/>
    <n v="0"/>
    <s v=""/>
    <x v="0"/>
    <n v="1"/>
    <n v="0"/>
    <n v="0"/>
    <x v="0"/>
    <n v="0"/>
    <n v="0"/>
    <n v="1"/>
    <n v="0"/>
    <n v="0"/>
  </r>
  <r>
    <n v="273"/>
    <x v="1"/>
    <n v="2"/>
    <s v="Mellinger, Mrs. (Elizabeth Anne Maidment)"/>
    <n v="1"/>
    <x v="56"/>
    <n v="0"/>
    <n v="1"/>
    <s v="250644"/>
    <n v="19.5"/>
    <s v=""/>
    <x v="0"/>
    <n v="1"/>
    <n v="0"/>
    <n v="0"/>
    <x v="1"/>
    <n v="0"/>
    <n v="1"/>
    <n v="0"/>
    <n v="0"/>
    <n v="0"/>
  </r>
  <r>
    <n v="274"/>
    <x v="0"/>
    <n v="1"/>
    <s v="Natsch, Mr. Charles H"/>
    <n v="0"/>
    <x v="44"/>
    <n v="0"/>
    <n v="1"/>
    <s v="PC 17596"/>
    <n v="29.7"/>
    <s v="C118"/>
    <x v="1"/>
    <n v="0"/>
    <n v="1"/>
    <n v="0"/>
    <x v="0"/>
    <n v="0"/>
    <n v="0"/>
    <n v="1"/>
    <n v="0"/>
    <n v="0"/>
  </r>
  <r>
    <n v="275"/>
    <x v="1"/>
    <n v="3"/>
    <s v="Healy, Miss. Hanora &quot;Nora&quot;"/>
    <n v="1"/>
    <x v="4"/>
    <n v="0"/>
    <n v="0"/>
    <s v="370375"/>
    <n v="7.75"/>
    <s v=""/>
    <x v="2"/>
    <n v="0"/>
    <n v="0"/>
    <n v="1"/>
    <x v="2"/>
    <n v="1"/>
    <n v="0"/>
    <n v="0"/>
    <n v="0"/>
    <n v="0"/>
  </r>
  <r>
    <n v="276"/>
    <x v="1"/>
    <n v="1"/>
    <s v="Andrews, Miss. Kornelia Theodosia"/>
    <n v="1"/>
    <x v="58"/>
    <n v="1"/>
    <n v="0"/>
    <s v="13502"/>
    <n v="77.958299999999994"/>
    <s v="D7"/>
    <x v="0"/>
    <n v="1"/>
    <n v="0"/>
    <n v="0"/>
    <x v="2"/>
    <n v="1"/>
    <n v="0"/>
    <n v="0"/>
    <n v="0"/>
    <n v="0"/>
  </r>
  <r>
    <n v="277"/>
    <x v="0"/>
    <n v="3"/>
    <s v="Lindblom, Miss. Augusta Charlotta"/>
    <n v="1"/>
    <x v="32"/>
    <n v="0"/>
    <n v="0"/>
    <s v="347073"/>
    <n v="7.75"/>
    <s v=""/>
    <x v="0"/>
    <n v="1"/>
    <n v="0"/>
    <n v="0"/>
    <x v="2"/>
    <n v="1"/>
    <n v="0"/>
    <n v="0"/>
    <n v="0"/>
    <n v="0"/>
  </r>
  <r>
    <n v="278"/>
    <x v="0"/>
    <n v="2"/>
    <s v="Parkes, Mr. Francis &quot;Frank&quot;"/>
    <n v="0"/>
    <x v="4"/>
    <n v="0"/>
    <n v="0"/>
    <s v="239853"/>
    <n v="0"/>
    <s v=""/>
    <x v="0"/>
    <n v="1"/>
    <n v="0"/>
    <n v="0"/>
    <x v="0"/>
    <n v="0"/>
    <n v="0"/>
    <n v="1"/>
    <n v="0"/>
    <n v="0"/>
  </r>
  <r>
    <n v="279"/>
    <x v="0"/>
    <n v="3"/>
    <s v="Rice, Master. Eric"/>
    <n v="0"/>
    <x v="26"/>
    <n v="4"/>
    <n v="1"/>
    <s v="382652"/>
    <n v="29.125"/>
    <s v=""/>
    <x v="2"/>
    <n v="0"/>
    <n v="0"/>
    <n v="1"/>
    <x v="3"/>
    <n v="0"/>
    <n v="0"/>
    <n v="0"/>
    <n v="1"/>
    <n v="0"/>
  </r>
  <r>
    <n v="280"/>
    <x v="1"/>
    <n v="3"/>
    <s v="Abbott, Mrs. Stanton (Rosa Hunt)"/>
    <n v="1"/>
    <x v="3"/>
    <n v="1"/>
    <n v="1"/>
    <s v="C.A. 2673"/>
    <n v="20.25"/>
    <s v=""/>
    <x v="0"/>
    <n v="1"/>
    <n v="0"/>
    <n v="0"/>
    <x v="1"/>
    <n v="0"/>
    <n v="1"/>
    <n v="0"/>
    <n v="0"/>
    <n v="0"/>
  </r>
  <r>
    <n v="281"/>
    <x v="0"/>
    <n v="3"/>
    <s v="Duane, Mr. Frank"/>
    <n v="0"/>
    <x v="29"/>
    <n v="0"/>
    <n v="0"/>
    <s v="336439"/>
    <n v="7.75"/>
    <s v=""/>
    <x v="2"/>
    <n v="0"/>
    <n v="0"/>
    <n v="1"/>
    <x v="0"/>
    <n v="0"/>
    <n v="0"/>
    <n v="1"/>
    <n v="0"/>
    <n v="0"/>
  </r>
  <r>
    <n v="282"/>
    <x v="0"/>
    <n v="3"/>
    <s v="Olsson, Mr. Nils Johan Goransson"/>
    <n v="0"/>
    <x v="17"/>
    <n v="0"/>
    <n v="0"/>
    <s v="347464"/>
    <n v="7.8541999999999996"/>
    <s v=""/>
    <x v="0"/>
    <n v="1"/>
    <n v="0"/>
    <n v="0"/>
    <x v="0"/>
    <n v="0"/>
    <n v="0"/>
    <n v="1"/>
    <n v="0"/>
    <n v="0"/>
  </r>
  <r>
    <n v="283"/>
    <x v="0"/>
    <n v="3"/>
    <s v="de Pelsmaeker, Mr. Alfons"/>
    <n v="0"/>
    <x v="35"/>
    <n v="0"/>
    <n v="0"/>
    <s v="345778"/>
    <n v="9.5"/>
    <s v=""/>
    <x v="0"/>
    <n v="1"/>
    <n v="0"/>
    <n v="0"/>
    <x v="0"/>
    <n v="0"/>
    <n v="0"/>
    <n v="1"/>
    <n v="0"/>
    <n v="0"/>
  </r>
  <r>
    <n v="284"/>
    <x v="1"/>
    <n v="3"/>
    <s v="Dorking, Mr. Edward Arthur"/>
    <n v="0"/>
    <x v="19"/>
    <n v="0"/>
    <n v="0"/>
    <s v="A/5. 10482"/>
    <n v="8.0500000000000007"/>
    <s v=""/>
    <x v="0"/>
    <n v="1"/>
    <n v="0"/>
    <n v="0"/>
    <x v="0"/>
    <n v="0"/>
    <n v="0"/>
    <n v="1"/>
    <n v="0"/>
    <n v="0"/>
  </r>
  <r>
    <n v="285"/>
    <x v="0"/>
    <n v="1"/>
    <s v="Smith, Mr. Richard William"/>
    <n v="0"/>
    <x v="4"/>
    <n v="0"/>
    <n v="0"/>
    <s v="113056"/>
    <n v="26"/>
    <s v="A19"/>
    <x v="0"/>
    <n v="1"/>
    <n v="0"/>
    <n v="0"/>
    <x v="0"/>
    <n v="0"/>
    <n v="0"/>
    <n v="1"/>
    <n v="0"/>
    <n v="0"/>
  </r>
  <r>
    <n v="286"/>
    <x v="0"/>
    <n v="3"/>
    <s v="Stankovic, Mr. Ivan"/>
    <n v="0"/>
    <x v="38"/>
    <n v="0"/>
    <n v="0"/>
    <s v="349239"/>
    <n v="8.6624999999999996"/>
    <s v=""/>
    <x v="1"/>
    <n v="0"/>
    <n v="1"/>
    <n v="0"/>
    <x v="0"/>
    <n v="0"/>
    <n v="0"/>
    <n v="1"/>
    <n v="0"/>
    <n v="0"/>
  </r>
  <r>
    <n v="287"/>
    <x v="1"/>
    <n v="3"/>
    <s v="de Mulder, Mr. Theodore"/>
    <n v="0"/>
    <x v="37"/>
    <n v="0"/>
    <n v="0"/>
    <s v="345774"/>
    <n v="9.5"/>
    <s v=""/>
    <x v="0"/>
    <n v="1"/>
    <n v="0"/>
    <n v="0"/>
    <x v="0"/>
    <n v="0"/>
    <n v="0"/>
    <n v="1"/>
    <n v="0"/>
    <n v="0"/>
  </r>
  <r>
    <n v="288"/>
    <x v="0"/>
    <n v="3"/>
    <s v="Naidenoff, Mr. Penko"/>
    <n v="0"/>
    <x v="0"/>
    <n v="0"/>
    <n v="0"/>
    <s v="349206"/>
    <n v="7.8958000000000004"/>
    <s v=""/>
    <x v="0"/>
    <n v="1"/>
    <n v="0"/>
    <n v="0"/>
    <x v="0"/>
    <n v="0"/>
    <n v="0"/>
    <n v="1"/>
    <n v="0"/>
    <n v="0"/>
  </r>
  <r>
    <n v="289"/>
    <x v="1"/>
    <n v="2"/>
    <s v="Hosono, Mr. Masabumi"/>
    <n v="0"/>
    <x v="22"/>
    <n v="0"/>
    <n v="0"/>
    <s v="237798"/>
    <n v="13"/>
    <s v=""/>
    <x v="0"/>
    <n v="1"/>
    <n v="0"/>
    <n v="0"/>
    <x v="0"/>
    <n v="0"/>
    <n v="0"/>
    <n v="1"/>
    <n v="0"/>
    <n v="0"/>
  </r>
  <r>
    <n v="290"/>
    <x v="1"/>
    <n v="3"/>
    <s v="Connolly, Miss. Kate"/>
    <n v="1"/>
    <x v="0"/>
    <n v="0"/>
    <n v="0"/>
    <s v="370373"/>
    <n v="7.75"/>
    <s v=""/>
    <x v="2"/>
    <n v="0"/>
    <n v="0"/>
    <n v="1"/>
    <x v="2"/>
    <n v="1"/>
    <n v="0"/>
    <n v="0"/>
    <n v="0"/>
    <n v="0"/>
  </r>
  <r>
    <n v="291"/>
    <x v="1"/>
    <n v="1"/>
    <s v="Barber, Miss. Ellen &quot;Nellie&quot;"/>
    <n v="1"/>
    <x v="2"/>
    <n v="0"/>
    <n v="0"/>
    <s v="19877"/>
    <n v="78.849999999999994"/>
    <s v=""/>
    <x v="0"/>
    <n v="1"/>
    <n v="0"/>
    <n v="0"/>
    <x v="2"/>
    <n v="1"/>
    <n v="0"/>
    <n v="0"/>
    <n v="0"/>
    <n v="0"/>
  </r>
  <r>
    <n v="292"/>
    <x v="1"/>
    <n v="1"/>
    <s v="Bishop, Mrs. Dickinson H (Helen Walton)"/>
    <n v="1"/>
    <x v="19"/>
    <n v="1"/>
    <n v="0"/>
    <s v="11967"/>
    <n v="91.0792"/>
    <s v="B49"/>
    <x v="1"/>
    <n v="0"/>
    <n v="1"/>
    <n v="0"/>
    <x v="1"/>
    <n v="0"/>
    <n v="1"/>
    <n v="0"/>
    <n v="0"/>
    <n v="0"/>
  </r>
  <r>
    <n v="293"/>
    <x v="0"/>
    <n v="2"/>
    <s v="Levy, Mr. Rene Jacques"/>
    <n v="0"/>
    <x v="54"/>
    <n v="0"/>
    <n v="0"/>
    <s v="SC/Paris 2163"/>
    <n v="12.875"/>
    <s v="D"/>
    <x v="1"/>
    <n v="0"/>
    <n v="1"/>
    <n v="0"/>
    <x v="0"/>
    <n v="0"/>
    <n v="0"/>
    <n v="1"/>
    <n v="0"/>
    <n v="0"/>
  </r>
  <r>
    <n v="294"/>
    <x v="0"/>
    <n v="3"/>
    <s v="Haas, Miss. Aloisia"/>
    <n v="1"/>
    <x v="40"/>
    <n v="0"/>
    <n v="0"/>
    <s v="349236"/>
    <n v="8.85"/>
    <s v=""/>
    <x v="0"/>
    <n v="1"/>
    <n v="0"/>
    <n v="0"/>
    <x v="2"/>
    <n v="1"/>
    <n v="0"/>
    <n v="0"/>
    <n v="0"/>
    <n v="0"/>
  </r>
  <r>
    <n v="295"/>
    <x v="0"/>
    <n v="3"/>
    <s v="Mineff, Mr. Ivan"/>
    <n v="0"/>
    <x v="40"/>
    <n v="0"/>
    <n v="0"/>
    <s v="349233"/>
    <n v="7.8958000000000004"/>
    <s v=""/>
    <x v="0"/>
    <n v="1"/>
    <n v="0"/>
    <n v="0"/>
    <x v="0"/>
    <n v="0"/>
    <n v="0"/>
    <n v="1"/>
    <n v="0"/>
    <n v="0"/>
  </r>
  <r>
    <n v="296"/>
    <x v="0"/>
    <n v="1"/>
    <s v="Lewy, Mr. Ervin G"/>
    <n v="0"/>
    <x v="4"/>
    <n v="0"/>
    <n v="0"/>
    <s v="PC 17612"/>
    <n v="27.720800000000001"/>
    <s v=""/>
    <x v="1"/>
    <n v="0"/>
    <n v="1"/>
    <n v="0"/>
    <x v="0"/>
    <n v="0"/>
    <n v="0"/>
    <n v="1"/>
    <n v="0"/>
    <n v="0"/>
  </r>
  <r>
    <n v="297"/>
    <x v="0"/>
    <n v="3"/>
    <s v="Hanna, Mr. Mansour"/>
    <n v="0"/>
    <x v="4"/>
    <n v="0"/>
    <n v="0"/>
    <s v="2693"/>
    <n v="7.2291999999999996"/>
    <s v=""/>
    <x v="1"/>
    <n v="0"/>
    <n v="1"/>
    <n v="0"/>
    <x v="0"/>
    <n v="0"/>
    <n v="0"/>
    <n v="1"/>
    <n v="0"/>
    <n v="0"/>
  </r>
  <r>
    <n v="298"/>
    <x v="0"/>
    <n v="1"/>
    <s v="Allison, Miss. Helen Loraine"/>
    <n v="1"/>
    <x v="6"/>
    <n v="1"/>
    <n v="2"/>
    <s v="113781"/>
    <n v="151.55000000000001"/>
    <s v="C22 C26"/>
    <x v="0"/>
    <n v="1"/>
    <n v="0"/>
    <n v="0"/>
    <x v="2"/>
    <n v="1"/>
    <n v="0"/>
    <n v="0"/>
    <n v="0"/>
    <n v="0"/>
  </r>
  <r>
    <n v="299"/>
    <x v="1"/>
    <n v="1"/>
    <s v="Saalfeld, Mr. Adolphe"/>
    <n v="0"/>
    <x v="4"/>
    <n v="0"/>
    <n v="0"/>
    <s v="19988"/>
    <n v="30.5"/>
    <s v="C106"/>
    <x v="0"/>
    <n v="1"/>
    <n v="0"/>
    <n v="0"/>
    <x v="0"/>
    <n v="0"/>
    <n v="0"/>
    <n v="1"/>
    <n v="0"/>
    <n v="0"/>
  </r>
  <r>
    <n v="300"/>
    <x v="1"/>
    <n v="1"/>
    <s v="Baxter, Mrs. James (Helene DeLaudeniere Chaput)"/>
    <n v="1"/>
    <x v="53"/>
    <n v="0"/>
    <n v="1"/>
    <s v="PC 17558"/>
    <n v="247.52080000000001"/>
    <s v="B58 B60"/>
    <x v="1"/>
    <n v="0"/>
    <n v="1"/>
    <n v="0"/>
    <x v="1"/>
    <n v="0"/>
    <n v="1"/>
    <n v="0"/>
    <n v="0"/>
    <n v="0"/>
  </r>
  <r>
    <n v="301"/>
    <x v="1"/>
    <n v="3"/>
    <s v="Kelly, Miss. Anna Katherine &quot;Annie Kate&quot;"/>
    <n v="1"/>
    <x v="4"/>
    <n v="0"/>
    <n v="0"/>
    <s v="9234"/>
    <n v="7.75"/>
    <s v=""/>
    <x v="2"/>
    <n v="0"/>
    <n v="0"/>
    <n v="1"/>
    <x v="2"/>
    <n v="1"/>
    <n v="0"/>
    <n v="0"/>
    <n v="0"/>
    <n v="0"/>
  </r>
  <r>
    <n v="302"/>
    <x v="1"/>
    <n v="3"/>
    <s v="McCoy, Mr. Bernard"/>
    <n v="0"/>
    <x v="4"/>
    <n v="2"/>
    <n v="0"/>
    <s v="367226"/>
    <n v="23.25"/>
    <s v=""/>
    <x v="2"/>
    <n v="0"/>
    <n v="0"/>
    <n v="1"/>
    <x v="0"/>
    <n v="0"/>
    <n v="0"/>
    <n v="1"/>
    <n v="0"/>
    <n v="0"/>
  </r>
  <r>
    <n v="303"/>
    <x v="0"/>
    <n v="3"/>
    <s v="Johnson, Mr. William Cahoone Jr"/>
    <n v="0"/>
    <x v="19"/>
    <n v="0"/>
    <n v="0"/>
    <s v="LINE"/>
    <n v="0"/>
    <s v=""/>
    <x v="0"/>
    <n v="1"/>
    <n v="0"/>
    <n v="0"/>
    <x v="0"/>
    <n v="0"/>
    <n v="0"/>
    <n v="1"/>
    <n v="0"/>
    <n v="0"/>
  </r>
  <r>
    <n v="304"/>
    <x v="1"/>
    <n v="2"/>
    <s v="Keane, Miss. Nora A"/>
    <n v="1"/>
    <x v="4"/>
    <n v="0"/>
    <n v="0"/>
    <s v="226593"/>
    <n v="12.35"/>
    <s v="E101"/>
    <x v="2"/>
    <n v="0"/>
    <n v="0"/>
    <n v="1"/>
    <x v="2"/>
    <n v="1"/>
    <n v="0"/>
    <n v="0"/>
    <n v="0"/>
    <n v="0"/>
  </r>
  <r>
    <n v="305"/>
    <x v="0"/>
    <n v="3"/>
    <s v="Williams, Mr. Howard Hugh &quot;Harry&quot;"/>
    <n v="0"/>
    <x v="4"/>
    <n v="0"/>
    <n v="0"/>
    <s v="A/5 2466"/>
    <n v="8.0500000000000007"/>
    <s v=""/>
    <x v="0"/>
    <n v="1"/>
    <n v="0"/>
    <n v="0"/>
    <x v="0"/>
    <n v="0"/>
    <n v="0"/>
    <n v="1"/>
    <n v="0"/>
    <n v="0"/>
  </r>
  <r>
    <n v="306"/>
    <x v="1"/>
    <n v="1"/>
    <s v="Allison, Master. Hudson Trevor"/>
    <n v="0"/>
    <x v="4"/>
    <n v="1"/>
    <n v="2"/>
    <s v="113781"/>
    <n v="151.55000000000001"/>
    <s v="C22 C26"/>
    <x v="0"/>
    <n v="1"/>
    <n v="0"/>
    <n v="0"/>
    <x v="3"/>
    <n v="0"/>
    <n v="0"/>
    <n v="0"/>
    <n v="1"/>
    <n v="0"/>
  </r>
  <r>
    <n v="307"/>
    <x v="1"/>
    <n v="1"/>
    <s v="Fleming, Miss. Margaret"/>
    <n v="1"/>
    <x v="4"/>
    <n v="0"/>
    <n v="0"/>
    <s v="17421"/>
    <n v="110.88330000000001"/>
    <s v=""/>
    <x v="1"/>
    <n v="0"/>
    <n v="1"/>
    <n v="0"/>
    <x v="2"/>
    <n v="1"/>
    <n v="0"/>
    <n v="0"/>
    <n v="0"/>
    <n v="0"/>
  </r>
  <r>
    <n v="308"/>
    <x v="1"/>
    <n v="1"/>
    <s v="Penasco y Castellana, Mrs. Victor de Satode (Maria Josefa Perez de Soto y Vallejo)"/>
    <n v="1"/>
    <x v="33"/>
    <n v="1"/>
    <n v="0"/>
    <s v="PC 17758"/>
    <n v="108.9"/>
    <s v="C65"/>
    <x v="1"/>
    <n v="0"/>
    <n v="1"/>
    <n v="0"/>
    <x v="1"/>
    <n v="0"/>
    <n v="1"/>
    <n v="0"/>
    <n v="0"/>
    <n v="0"/>
  </r>
  <r>
    <n v="309"/>
    <x v="0"/>
    <n v="2"/>
    <s v="Abelson, Mr. Samuel"/>
    <n v="0"/>
    <x v="37"/>
    <n v="1"/>
    <n v="0"/>
    <s v="P/PP 3381"/>
    <n v="24"/>
    <s v=""/>
    <x v="1"/>
    <n v="0"/>
    <n v="1"/>
    <n v="0"/>
    <x v="0"/>
    <n v="0"/>
    <n v="0"/>
    <n v="1"/>
    <n v="0"/>
    <n v="0"/>
  </r>
  <r>
    <n v="310"/>
    <x v="1"/>
    <n v="1"/>
    <s v="Francatelli, Miss. Laura Mabel"/>
    <n v="1"/>
    <x v="37"/>
    <n v="0"/>
    <n v="0"/>
    <s v="PC 17485"/>
    <n v="56.929200000000002"/>
    <s v="E36"/>
    <x v="1"/>
    <n v="0"/>
    <n v="1"/>
    <n v="0"/>
    <x v="2"/>
    <n v="1"/>
    <n v="0"/>
    <n v="0"/>
    <n v="0"/>
    <n v="0"/>
  </r>
  <r>
    <n v="311"/>
    <x v="1"/>
    <n v="1"/>
    <s v="Hays, Miss. Margaret Bechstein"/>
    <n v="1"/>
    <x v="40"/>
    <n v="0"/>
    <n v="0"/>
    <s v="11767"/>
    <n v="83.158299999999997"/>
    <s v="C54"/>
    <x v="1"/>
    <n v="0"/>
    <n v="1"/>
    <n v="0"/>
    <x v="2"/>
    <n v="1"/>
    <n v="0"/>
    <n v="0"/>
    <n v="0"/>
    <n v="0"/>
  </r>
  <r>
    <n v="312"/>
    <x v="1"/>
    <n v="1"/>
    <s v="Ryerson, Miss. Emily Borie"/>
    <n v="1"/>
    <x v="24"/>
    <n v="2"/>
    <n v="2"/>
    <s v="PC 17608"/>
    <n v="262.375"/>
    <s v="B57 B59 B63 B66"/>
    <x v="1"/>
    <n v="0"/>
    <n v="1"/>
    <n v="0"/>
    <x v="2"/>
    <n v="1"/>
    <n v="0"/>
    <n v="0"/>
    <n v="0"/>
    <n v="0"/>
  </r>
  <r>
    <n v="313"/>
    <x v="0"/>
    <n v="2"/>
    <s v="Lahtinen, Mrs. William (Anna Sylfven)"/>
    <n v="1"/>
    <x v="2"/>
    <n v="1"/>
    <n v="1"/>
    <s v="250651"/>
    <n v="26"/>
    <s v=""/>
    <x v="0"/>
    <n v="1"/>
    <n v="0"/>
    <n v="0"/>
    <x v="1"/>
    <n v="0"/>
    <n v="1"/>
    <n v="0"/>
    <n v="0"/>
    <n v="0"/>
  </r>
  <r>
    <n v="314"/>
    <x v="0"/>
    <n v="3"/>
    <s v="Hendekovic, Mr. Ignjac"/>
    <n v="0"/>
    <x v="17"/>
    <n v="0"/>
    <n v="0"/>
    <s v="349243"/>
    <n v="7.8958000000000004"/>
    <s v=""/>
    <x v="0"/>
    <n v="1"/>
    <n v="0"/>
    <n v="0"/>
    <x v="0"/>
    <n v="0"/>
    <n v="0"/>
    <n v="1"/>
    <n v="0"/>
    <n v="0"/>
  </r>
  <r>
    <n v="315"/>
    <x v="0"/>
    <n v="2"/>
    <s v="Hart, Mr. Benjamin"/>
    <n v="0"/>
    <x v="59"/>
    <n v="1"/>
    <n v="1"/>
    <s v="F.C.C. 13529"/>
    <n v="26.25"/>
    <s v=""/>
    <x v="0"/>
    <n v="1"/>
    <n v="0"/>
    <n v="0"/>
    <x v="0"/>
    <n v="0"/>
    <n v="0"/>
    <n v="1"/>
    <n v="0"/>
    <n v="0"/>
  </r>
  <r>
    <n v="316"/>
    <x v="1"/>
    <n v="3"/>
    <s v="Nilsson, Miss. Helmina Josefina"/>
    <n v="1"/>
    <x v="2"/>
    <n v="0"/>
    <n v="0"/>
    <s v="347470"/>
    <n v="7.8541999999999996"/>
    <s v=""/>
    <x v="0"/>
    <n v="1"/>
    <n v="0"/>
    <n v="0"/>
    <x v="2"/>
    <n v="1"/>
    <n v="0"/>
    <n v="0"/>
    <n v="0"/>
    <n v="0"/>
  </r>
  <r>
    <n v="317"/>
    <x v="1"/>
    <n v="2"/>
    <s v="Kantor, Mrs. Sinai (Miriam Sternin)"/>
    <n v="1"/>
    <x v="40"/>
    <n v="1"/>
    <n v="0"/>
    <s v="244367"/>
    <n v="26"/>
    <s v=""/>
    <x v="0"/>
    <n v="1"/>
    <n v="0"/>
    <n v="0"/>
    <x v="1"/>
    <n v="0"/>
    <n v="1"/>
    <n v="0"/>
    <n v="0"/>
    <n v="0"/>
  </r>
  <r>
    <n v="318"/>
    <x v="0"/>
    <n v="2"/>
    <s v="Moraweck, Dr. Ernest"/>
    <n v="0"/>
    <x v="5"/>
    <n v="0"/>
    <n v="0"/>
    <s v="29011"/>
    <n v="14"/>
    <s v=""/>
    <x v="0"/>
    <n v="1"/>
    <n v="0"/>
    <n v="0"/>
    <x v="6"/>
    <n v="0"/>
    <n v="0"/>
    <n v="0"/>
    <n v="0"/>
    <n v="1"/>
  </r>
  <r>
    <n v="319"/>
    <x v="1"/>
    <n v="1"/>
    <s v="Wick, Miss. Mary Natalie"/>
    <n v="1"/>
    <x v="14"/>
    <n v="0"/>
    <n v="2"/>
    <s v="36928"/>
    <n v="164.86670000000001"/>
    <s v="C7"/>
    <x v="0"/>
    <n v="1"/>
    <n v="0"/>
    <n v="0"/>
    <x v="2"/>
    <n v="1"/>
    <n v="0"/>
    <n v="0"/>
    <n v="0"/>
    <n v="0"/>
  </r>
  <r>
    <n v="320"/>
    <x v="1"/>
    <n v="1"/>
    <s v="Spedden, Mrs. Frederic Oakley (Margaretta Corning Stone)"/>
    <n v="1"/>
    <x v="20"/>
    <n v="1"/>
    <n v="1"/>
    <s v="16966"/>
    <n v="134.5"/>
    <s v="E34"/>
    <x v="1"/>
    <n v="0"/>
    <n v="1"/>
    <n v="0"/>
    <x v="1"/>
    <n v="0"/>
    <n v="1"/>
    <n v="0"/>
    <n v="0"/>
    <n v="0"/>
  </r>
  <r>
    <n v="321"/>
    <x v="0"/>
    <n v="3"/>
    <s v="Dennis, Mr. Samuel"/>
    <n v="0"/>
    <x v="0"/>
    <n v="0"/>
    <n v="0"/>
    <s v="A/5 21172"/>
    <n v="7.25"/>
    <s v=""/>
    <x v="0"/>
    <n v="1"/>
    <n v="0"/>
    <n v="0"/>
    <x v="0"/>
    <n v="0"/>
    <n v="0"/>
    <n v="1"/>
    <n v="0"/>
    <n v="0"/>
  </r>
  <r>
    <n v="322"/>
    <x v="0"/>
    <n v="3"/>
    <s v="Danoff, Mr. Yoto"/>
    <n v="0"/>
    <x v="7"/>
    <n v="0"/>
    <n v="0"/>
    <s v="349219"/>
    <n v="7.8958000000000004"/>
    <s v=""/>
    <x v="0"/>
    <n v="1"/>
    <n v="0"/>
    <n v="0"/>
    <x v="0"/>
    <n v="0"/>
    <n v="0"/>
    <n v="1"/>
    <n v="0"/>
    <n v="0"/>
  </r>
  <r>
    <n v="323"/>
    <x v="1"/>
    <n v="2"/>
    <s v="Slayter, Miss. Hilda Mary"/>
    <n v="1"/>
    <x v="37"/>
    <n v="0"/>
    <n v="0"/>
    <s v="234818"/>
    <n v="12.35"/>
    <s v=""/>
    <x v="2"/>
    <n v="0"/>
    <n v="0"/>
    <n v="1"/>
    <x v="2"/>
    <n v="1"/>
    <n v="0"/>
    <n v="0"/>
    <n v="0"/>
    <n v="0"/>
  </r>
  <r>
    <n v="324"/>
    <x v="1"/>
    <n v="2"/>
    <s v="Caldwell, Mrs. Albert Francis (Sylvia Mae Harbaugh)"/>
    <n v="1"/>
    <x v="0"/>
    <n v="1"/>
    <n v="1"/>
    <s v="248738"/>
    <n v="29"/>
    <s v=""/>
    <x v="0"/>
    <n v="1"/>
    <n v="0"/>
    <n v="0"/>
    <x v="1"/>
    <n v="0"/>
    <n v="1"/>
    <n v="0"/>
    <n v="0"/>
    <n v="0"/>
  </r>
  <r>
    <n v="325"/>
    <x v="0"/>
    <n v="3"/>
    <s v="Sage, Mr. George John Jr"/>
    <n v="0"/>
    <x v="4"/>
    <n v="8"/>
    <n v="2"/>
    <s v="CA. 2343"/>
    <n v="69.55"/>
    <s v=""/>
    <x v="0"/>
    <n v="1"/>
    <n v="0"/>
    <n v="0"/>
    <x v="0"/>
    <n v="0"/>
    <n v="0"/>
    <n v="1"/>
    <n v="0"/>
    <n v="0"/>
  </r>
  <r>
    <n v="326"/>
    <x v="1"/>
    <n v="1"/>
    <s v="Young, Miss. Marie Grice"/>
    <n v="1"/>
    <x v="54"/>
    <n v="0"/>
    <n v="0"/>
    <s v="PC 17760"/>
    <n v="135.63329999999999"/>
    <s v="C32"/>
    <x v="1"/>
    <n v="0"/>
    <n v="1"/>
    <n v="0"/>
    <x v="2"/>
    <n v="1"/>
    <n v="0"/>
    <n v="0"/>
    <n v="0"/>
    <n v="0"/>
  </r>
  <r>
    <n v="327"/>
    <x v="0"/>
    <n v="3"/>
    <s v="Nysveen, Mr. Johan Hansen"/>
    <n v="0"/>
    <x v="51"/>
    <n v="0"/>
    <n v="0"/>
    <s v="345364"/>
    <n v="6.2374999999999998"/>
    <s v=""/>
    <x v="0"/>
    <n v="1"/>
    <n v="0"/>
    <n v="0"/>
    <x v="0"/>
    <n v="0"/>
    <n v="0"/>
    <n v="1"/>
    <n v="0"/>
    <n v="0"/>
  </r>
  <r>
    <n v="328"/>
    <x v="1"/>
    <n v="2"/>
    <s v="Ball, Mrs. (Ada E Hall)"/>
    <n v="1"/>
    <x v="54"/>
    <n v="0"/>
    <n v="0"/>
    <s v="28551"/>
    <n v="13"/>
    <s v="D"/>
    <x v="0"/>
    <n v="1"/>
    <n v="0"/>
    <n v="0"/>
    <x v="1"/>
    <n v="0"/>
    <n v="1"/>
    <n v="0"/>
    <n v="0"/>
    <n v="0"/>
  </r>
  <r>
    <n v="329"/>
    <x v="1"/>
    <n v="3"/>
    <s v="Goldsmith, Mrs. Frank John (Emily Alice Brown)"/>
    <n v="1"/>
    <x v="14"/>
    <n v="1"/>
    <n v="1"/>
    <s v="363291"/>
    <n v="20.524999999999999"/>
    <s v=""/>
    <x v="0"/>
    <n v="1"/>
    <n v="0"/>
    <n v="0"/>
    <x v="1"/>
    <n v="0"/>
    <n v="1"/>
    <n v="0"/>
    <n v="0"/>
    <n v="0"/>
  </r>
  <r>
    <n v="330"/>
    <x v="1"/>
    <n v="1"/>
    <s v="Hippach, Miss. Jean Gertrude"/>
    <n v="1"/>
    <x v="35"/>
    <n v="0"/>
    <n v="1"/>
    <s v="111361"/>
    <n v="57.979199999999999"/>
    <s v="B18"/>
    <x v="1"/>
    <n v="0"/>
    <n v="1"/>
    <n v="0"/>
    <x v="2"/>
    <n v="1"/>
    <n v="0"/>
    <n v="0"/>
    <n v="0"/>
    <n v="0"/>
  </r>
  <r>
    <n v="331"/>
    <x v="1"/>
    <n v="3"/>
    <s v="McCoy, Miss. Agnes"/>
    <n v="1"/>
    <x v="4"/>
    <n v="2"/>
    <n v="0"/>
    <s v="367226"/>
    <n v="23.25"/>
    <s v=""/>
    <x v="2"/>
    <n v="0"/>
    <n v="0"/>
    <n v="1"/>
    <x v="2"/>
    <n v="1"/>
    <n v="0"/>
    <n v="0"/>
    <n v="0"/>
    <n v="0"/>
  </r>
  <r>
    <n v="332"/>
    <x v="0"/>
    <n v="1"/>
    <s v="Partner, Mr. Austen"/>
    <n v="0"/>
    <x v="4"/>
    <n v="0"/>
    <n v="0"/>
    <s v="113043"/>
    <n v="28.5"/>
    <s v="C124"/>
    <x v="0"/>
    <n v="1"/>
    <n v="0"/>
    <n v="0"/>
    <x v="0"/>
    <n v="0"/>
    <n v="0"/>
    <n v="1"/>
    <n v="0"/>
    <n v="0"/>
  </r>
  <r>
    <n v="333"/>
    <x v="0"/>
    <n v="1"/>
    <s v="Graham, Mr. George Edward"/>
    <n v="0"/>
    <x v="1"/>
    <n v="0"/>
    <n v="1"/>
    <s v="PC 17582"/>
    <n v="153.46250000000001"/>
    <s v="C91"/>
    <x v="0"/>
    <n v="1"/>
    <n v="0"/>
    <n v="0"/>
    <x v="0"/>
    <n v="0"/>
    <n v="0"/>
    <n v="1"/>
    <n v="0"/>
    <n v="0"/>
  </r>
  <r>
    <n v="334"/>
    <x v="0"/>
    <n v="3"/>
    <s v="Vander Planke, Mr. Leo Edmondus"/>
    <n v="0"/>
    <x v="35"/>
    <n v="2"/>
    <n v="0"/>
    <s v="345764"/>
    <n v="18"/>
    <s v=""/>
    <x v="0"/>
    <n v="1"/>
    <n v="0"/>
    <n v="0"/>
    <x v="0"/>
    <n v="0"/>
    <n v="0"/>
    <n v="1"/>
    <n v="0"/>
    <n v="0"/>
  </r>
  <r>
    <n v="335"/>
    <x v="1"/>
    <n v="1"/>
    <s v="Frauenthal, Mrs. Henry William (Clara Heinsheimer)"/>
    <n v="1"/>
    <x v="4"/>
    <n v="1"/>
    <n v="0"/>
    <s v="PC 17611"/>
    <n v="133.65"/>
    <s v=""/>
    <x v="0"/>
    <n v="1"/>
    <n v="0"/>
    <n v="0"/>
    <x v="1"/>
    <n v="0"/>
    <n v="1"/>
    <n v="0"/>
    <n v="0"/>
    <n v="0"/>
  </r>
  <r>
    <n v="336"/>
    <x v="0"/>
    <n v="3"/>
    <s v="Denkoff, Mr. Mitto"/>
    <n v="0"/>
    <x v="4"/>
    <n v="0"/>
    <n v="0"/>
    <s v="349225"/>
    <n v="7.8958000000000004"/>
    <s v=""/>
    <x v="0"/>
    <n v="1"/>
    <n v="0"/>
    <n v="0"/>
    <x v="0"/>
    <n v="0"/>
    <n v="0"/>
    <n v="1"/>
    <n v="0"/>
    <n v="0"/>
  </r>
  <r>
    <n v="337"/>
    <x v="0"/>
    <n v="1"/>
    <s v="Pears, Mr. Thomas Clinton"/>
    <n v="0"/>
    <x v="28"/>
    <n v="1"/>
    <n v="0"/>
    <s v="113776"/>
    <n v="66.599999999999994"/>
    <s v="C2"/>
    <x v="0"/>
    <n v="1"/>
    <n v="0"/>
    <n v="0"/>
    <x v="0"/>
    <n v="0"/>
    <n v="0"/>
    <n v="1"/>
    <n v="0"/>
    <n v="0"/>
  </r>
  <r>
    <n v="338"/>
    <x v="1"/>
    <n v="1"/>
    <s v="Burns, Miss. Elizabeth Margaret"/>
    <n v="1"/>
    <x v="56"/>
    <n v="0"/>
    <n v="0"/>
    <s v="16966"/>
    <n v="134.5"/>
    <s v="E40"/>
    <x v="1"/>
    <n v="0"/>
    <n v="1"/>
    <n v="0"/>
    <x v="2"/>
    <n v="1"/>
    <n v="0"/>
    <n v="0"/>
    <n v="0"/>
    <n v="0"/>
  </r>
  <r>
    <n v="339"/>
    <x v="1"/>
    <n v="3"/>
    <s v="Dahl, Mr. Karl Edwart"/>
    <n v="0"/>
    <x v="32"/>
    <n v="0"/>
    <n v="0"/>
    <s v="7598"/>
    <n v="8.0500000000000007"/>
    <s v=""/>
    <x v="0"/>
    <n v="1"/>
    <n v="0"/>
    <n v="0"/>
    <x v="0"/>
    <n v="0"/>
    <n v="0"/>
    <n v="1"/>
    <n v="0"/>
    <n v="0"/>
  </r>
  <r>
    <n v="340"/>
    <x v="0"/>
    <n v="1"/>
    <s v="Blackwell, Mr. Stephen Weart"/>
    <n v="0"/>
    <x v="32"/>
    <n v="0"/>
    <n v="0"/>
    <s v="113784"/>
    <n v="35.5"/>
    <s v="T"/>
    <x v="0"/>
    <n v="1"/>
    <n v="0"/>
    <n v="0"/>
    <x v="0"/>
    <n v="0"/>
    <n v="0"/>
    <n v="1"/>
    <n v="0"/>
    <n v="0"/>
  </r>
  <r>
    <n v="341"/>
    <x v="1"/>
    <n v="2"/>
    <s v="Navratil, Master. Edmond Roger"/>
    <n v="0"/>
    <x v="6"/>
    <n v="1"/>
    <n v="1"/>
    <s v="230080"/>
    <n v="26"/>
    <s v="F2"/>
    <x v="0"/>
    <n v="1"/>
    <n v="0"/>
    <n v="0"/>
    <x v="3"/>
    <n v="0"/>
    <n v="0"/>
    <n v="0"/>
    <n v="1"/>
    <n v="0"/>
  </r>
  <r>
    <n v="342"/>
    <x v="1"/>
    <n v="1"/>
    <s v="Fortune, Miss. Alice Elizabeth"/>
    <n v="1"/>
    <x v="40"/>
    <n v="3"/>
    <n v="2"/>
    <s v="19950"/>
    <n v="263"/>
    <s v="C23 C25 C27"/>
    <x v="0"/>
    <n v="1"/>
    <n v="0"/>
    <n v="0"/>
    <x v="2"/>
    <n v="1"/>
    <n v="0"/>
    <n v="0"/>
    <n v="0"/>
    <n v="0"/>
  </r>
  <r>
    <n v="343"/>
    <x v="0"/>
    <n v="2"/>
    <s v="Collander, Mr. Erik Gustaf"/>
    <n v="0"/>
    <x v="17"/>
    <n v="0"/>
    <n v="0"/>
    <s v="248740"/>
    <n v="13"/>
    <s v=""/>
    <x v="0"/>
    <n v="1"/>
    <n v="0"/>
    <n v="0"/>
    <x v="0"/>
    <n v="0"/>
    <n v="0"/>
    <n v="1"/>
    <n v="0"/>
    <n v="0"/>
  </r>
  <r>
    <n v="344"/>
    <x v="0"/>
    <n v="2"/>
    <s v="Sedgwick, Mr. Charles Frederick Waddington"/>
    <n v="0"/>
    <x v="36"/>
    <n v="0"/>
    <n v="0"/>
    <s v="244361"/>
    <n v="13"/>
    <s v=""/>
    <x v="0"/>
    <n v="1"/>
    <n v="0"/>
    <n v="0"/>
    <x v="0"/>
    <n v="0"/>
    <n v="0"/>
    <n v="1"/>
    <n v="0"/>
    <n v="0"/>
  </r>
  <r>
    <n v="345"/>
    <x v="0"/>
    <n v="2"/>
    <s v="Fox, Mr. Stanley Hubert"/>
    <n v="0"/>
    <x v="54"/>
    <n v="0"/>
    <n v="0"/>
    <s v="229236"/>
    <n v="13"/>
    <s v=""/>
    <x v="0"/>
    <n v="1"/>
    <n v="0"/>
    <n v="0"/>
    <x v="0"/>
    <n v="0"/>
    <n v="0"/>
    <n v="1"/>
    <n v="0"/>
    <n v="0"/>
  </r>
  <r>
    <n v="346"/>
    <x v="1"/>
    <n v="2"/>
    <s v="Brown, Miss. Amelia &quot;Mildred&quot;"/>
    <n v="1"/>
    <x v="40"/>
    <n v="0"/>
    <n v="0"/>
    <s v="248733"/>
    <n v="13"/>
    <s v="F33"/>
    <x v="0"/>
    <n v="1"/>
    <n v="0"/>
    <n v="0"/>
    <x v="2"/>
    <n v="1"/>
    <n v="0"/>
    <n v="0"/>
    <n v="0"/>
    <n v="0"/>
  </r>
  <r>
    <n v="347"/>
    <x v="1"/>
    <n v="2"/>
    <s v="Smith, Miss. Marion Elsie"/>
    <n v="1"/>
    <x v="20"/>
    <n v="0"/>
    <n v="0"/>
    <s v="31418"/>
    <n v="13"/>
    <s v=""/>
    <x v="0"/>
    <n v="1"/>
    <n v="0"/>
    <n v="0"/>
    <x v="2"/>
    <n v="1"/>
    <n v="0"/>
    <n v="0"/>
    <n v="0"/>
    <n v="0"/>
  </r>
  <r>
    <n v="348"/>
    <x v="1"/>
    <n v="3"/>
    <s v="Davison, Mrs. Thomas Henry (Mary E Finck)"/>
    <n v="1"/>
    <x v="4"/>
    <n v="1"/>
    <n v="0"/>
    <s v="386525"/>
    <n v="16.100000000000001"/>
    <s v=""/>
    <x v="0"/>
    <n v="1"/>
    <n v="0"/>
    <n v="0"/>
    <x v="1"/>
    <n v="0"/>
    <n v="1"/>
    <n v="0"/>
    <n v="0"/>
    <n v="0"/>
  </r>
  <r>
    <n v="349"/>
    <x v="1"/>
    <n v="3"/>
    <s v="Coutts, Master. William Loch &quot;William&quot;"/>
    <n v="0"/>
    <x v="25"/>
    <n v="1"/>
    <n v="1"/>
    <s v="C.A. 37671"/>
    <n v="15.9"/>
    <s v=""/>
    <x v="0"/>
    <n v="1"/>
    <n v="0"/>
    <n v="0"/>
    <x v="3"/>
    <n v="0"/>
    <n v="0"/>
    <n v="0"/>
    <n v="1"/>
    <n v="0"/>
  </r>
  <r>
    <n v="350"/>
    <x v="0"/>
    <n v="3"/>
    <s v="Dimic, Mr. Jovan"/>
    <n v="0"/>
    <x v="22"/>
    <n v="0"/>
    <n v="0"/>
    <s v="315088"/>
    <n v="8.6624999999999996"/>
    <s v=""/>
    <x v="0"/>
    <n v="1"/>
    <n v="0"/>
    <n v="0"/>
    <x v="0"/>
    <n v="0"/>
    <n v="0"/>
    <n v="1"/>
    <n v="0"/>
    <n v="0"/>
  </r>
  <r>
    <n v="351"/>
    <x v="0"/>
    <n v="3"/>
    <s v="Odahl, Mr. Nils Martin"/>
    <n v="0"/>
    <x v="39"/>
    <n v="0"/>
    <n v="0"/>
    <s v="7267"/>
    <n v="9.2249999999999996"/>
    <s v=""/>
    <x v="0"/>
    <n v="1"/>
    <n v="0"/>
    <n v="0"/>
    <x v="0"/>
    <n v="0"/>
    <n v="0"/>
    <n v="1"/>
    <n v="0"/>
    <n v="0"/>
  </r>
  <r>
    <n v="352"/>
    <x v="0"/>
    <n v="1"/>
    <s v="Williams-Lambert, Mr. Fletcher Fellows"/>
    <n v="0"/>
    <x v="4"/>
    <n v="0"/>
    <n v="0"/>
    <s v="113510"/>
    <n v="35"/>
    <s v="C128"/>
    <x v="0"/>
    <n v="1"/>
    <n v="0"/>
    <n v="0"/>
    <x v="0"/>
    <n v="0"/>
    <n v="0"/>
    <n v="1"/>
    <n v="0"/>
    <n v="0"/>
  </r>
  <r>
    <n v="353"/>
    <x v="0"/>
    <n v="3"/>
    <s v="Elias, Mr. Tannous"/>
    <n v="0"/>
    <x v="16"/>
    <n v="1"/>
    <n v="1"/>
    <s v="2695"/>
    <n v="7.2291999999999996"/>
    <s v=""/>
    <x v="1"/>
    <n v="0"/>
    <n v="1"/>
    <n v="0"/>
    <x v="0"/>
    <n v="0"/>
    <n v="0"/>
    <n v="1"/>
    <n v="0"/>
    <n v="0"/>
  </r>
  <r>
    <n v="354"/>
    <x v="0"/>
    <n v="3"/>
    <s v="Arnold-Franchi, Mr. Josef"/>
    <n v="0"/>
    <x v="36"/>
    <n v="1"/>
    <n v="0"/>
    <s v="349237"/>
    <n v="17.8"/>
    <s v=""/>
    <x v="0"/>
    <n v="1"/>
    <n v="0"/>
    <n v="0"/>
    <x v="0"/>
    <n v="0"/>
    <n v="0"/>
    <n v="1"/>
    <n v="0"/>
    <n v="0"/>
  </r>
  <r>
    <n v="355"/>
    <x v="0"/>
    <n v="3"/>
    <s v="Yousif, Mr. Wazli"/>
    <n v="0"/>
    <x v="4"/>
    <n v="0"/>
    <n v="0"/>
    <s v="2647"/>
    <n v="7.2249999999999996"/>
    <s v=""/>
    <x v="1"/>
    <n v="0"/>
    <n v="1"/>
    <n v="0"/>
    <x v="0"/>
    <n v="0"/>
    <n v="0"/>
    <n v="1"/>
    <n v="0"/>
    <n v="0"/>
  </r>
  <r>
    <n v="356"/>
    <x v="0"/>
    <n v="3"/>
    <s v="Vanden Steen, Mr. Leo Peter"/>
    <n v="0"/>
    <x v="17"/>
    <n v="0"/>
    <n v="0"/>
    <s v="345783"/>
    <n v="9.5"/>
    <s v=""/>
    <x v="0"/>
    <n v="1"/>
    <n v="0"/>
    <n v="0"/>
    <x v="0"/>
    <n v="0"/>
    <n v="0"/>
    <n v="1"/>
    <n v="0"/>
    <n v="0"/>
  </r>
  <r>
    <n v="357"/>
    <x v="1"/>
    <n v="1"/>
    <s v="Bowerman, Miss. Elsie Edith"/>
    <n v="1"/>
    <x v="0"/>
    <n v="0"/>
    <n v="1"/>
    <s v="113505"/>
    <n v="55"/>
    <s v="E33"/>
    <x v="0"/>
    <n v="1"/>
    <n v="0"/>
    <n v="0"/>
    <x v="2"/>
    <n v="1"/>
    <n v="0"/>
    <n v="0"/>
    <n v="0"/>
    <n v="0"/>
  </r>
  <r>
    <n v="358"/>
    <x v="0"/>
    <n v="2"/>
    <s v="Funk, Miss. Annie Clemmer"/>
    <n v="1"/>
    <x v="1"/>
    <n v="0"/>
    <n v="0"/>
    <s v="237671"/>
    <n v="13"/>
    <s v=""/>
    <x v="0"/>
    <n v="1"/>
    <n v="0"/>
    <n v="0"/>
    <x v="2"/>
    <n v="1"/>
    <n v="0"/>
    <n v="0"/>
    <n v="0"/>
    <n v="0"/>
  </r>
  <r>
    <n v="359"/>
    <x v="1"/>
    <n v="3"/>
    <s v="McGovern, Miss. Mary"/>
    <n v="1"/>
    <x v="4"/>
    <n v="0"/>
    <n v="0"/>
    <s v="330931"/>
    <n v="7.8792"/>
    <s v=""/>
    <x v="2"/>
    <n v="0"/>
    <n v="0"/>
    <n v="1"/>
    <x v="2"/>
    <n v="1"/>
    <n v="0"/>
    <n v="0"/>
    <n v="0"/>
    <n v="0"/>
  </r>
  <r>
    <n v="360"/>
    <x v="1"/>
    <n v="3"/>
    <s v="Mockler, Miss. Helen Mary &quot;Ellie&quot;"/>
    <n v="1"/>
    <x v="4"/>
    <n v="0"/>
    <n v="0"/>
    <s v="330980"/>
    <n v="7.8792"/>
    <s v=""/>
    <x v="2"/>
    <n v="0"/>
    <n v="0"/>
    <n v="1"/>
    <x v="2"/>
    <n v="1"/>
    <n v="0"/>
    <n v="0"/>
    <n v="0"/>
    <n v="0"/>
  </r>
  <r>
    <n v="361"/>
    <x v="0"/>
    <n v="3"/>
    <s v="Skoog, Mr. Wilhelm"/>
    <n v="0"/>
    <x v="20"/>
    <n v="1"/>
    <n v="4"/>
    <s v="347088"/>
    <n v="27.9"/>
    <s v=""/>
    <x v="0"/>
    <n v="1"/>
    <n v="0"/>
    <n v="0"/>
    <x v="0"/>
    <n v="0"/>
    <n v="0"/>
    <n v="1"/>
    <n v="0"/>
    <n v="0"/>
  </r>
  <r>
    <n v="362"/>
    <x v="0"/>
    <n v="2"/>
    <s v="del Carlo, Mr. Sebastiano"/>
    <n v="0"/>
    <x v="28"/>
    <n v="1"/>
    <n v="0"/>
    <s v="SC/PARIS 2167"/>
    <n v="27.720800000000001"/>
    <s v=""/>
    <x v="1"/>
    <n v="0"/>
    <n v="1"/>
    <n v="0"/>
    <x v="0"/>
    <n v="0"/>
    <n v="0"/>
    <n v="1"/>
    <n v="0"/>
    <n v="0"/>
  </r>
  <r>
    <n v="363"/>
    <x v="0"/>
    <n v="3"/>
    <s v="Barbara, Mrs. (Catherine David)"/>
    <n v="1"/>
    <x v="32"/>
    <n v="0"/>
    <n v="1"/>
    <s v="2691"/>
    <n v="14.4542"/>
    <s v=""/>
    <x v="1"/>
    <n v="0"/>
    <n v="1"/>
    <n v="0"/>
    <x v="1"/>
    <n v="0"/>
    <n v="1"/>
    <n v="0"/>
    <n v="0"/>
    <n v="0"/>
  </r>
  <r>
    <n v="364"/>
    <x v="0"/>
    <n v="3"/>
    <s v="Asim, Mr. Adola"/>
    <n v="0"/>
    <x v="3"/>
    <n v="0"/>
    <n v="0"/>
    <s v="SOTON/O.Q. 3101310"/>
    <n v="7.05"/>
    <s v=""/>
    <x v="0"/>
    <n v="1"/>
    <n v="0"/>
    <n v="0"/>
    <x v="0"/>
    <n v="0"/>
    <n v="0"/>
    <n v="1"/>
    <n v="0"/>
    <n v="0"/>
  </r>
  <r>
    <n v="365"/>
    <x v="0"/>
    <n v="3"/>
    <s v="O'Brien, Mr. Thomas"/>
    <n v="0"/>
    <x v="4"/>
    <n v="1"/>
    <n v="0"/>
    <s v="370365"/>
    <n v="15.5"/>
    <s v=""/>
    <x v="2"/>
    <n v="0"/>
    <n v="0"/>
    <n v="1"/>
    <x v="0"/>
    <n v="0"/>
    <n v="0"/>
    <n v="1"/>
    <n v="0"/>
    <n v="0"/>
  </r>
  <r>
    <n v="366"/>
    <x v="0"/>
    <n v="3"/>
    <s v="Adahl, Mr. Mauritz Nils Martin"/>
    <n v="0"/>
    <x v="37"/>
    <n v="0"/>
    <n v="0"/>
    <s v="C 7076"/>
    <n v="7.25"/>
    <s v=""/>
    <x v="0"/>
    <n v="1"/>
    <n v="0"/>
    <n v="0"/>
    <x v="0"/>
    <n v="0"/>
    <n v="0"/>
    <n v="1"/>
    <n v="0"/>
    <n v="0"/>
  </r>
  <r>
    <n v="367"/>
    <x v="1"/>
    <n v="1"/>
    <s v="Warren, Mrs. Frank Manley (Anna Sophia Atkinson)"/>
    <n v="1"/>
    <x v="60"/>
    <n v="1"/>
    <n v="0"/>
    <s v="110813"/>
    <n v="75.25"/>
    <s v="D37"/>
    <x v="1"/>
    <n v="0"/>
    <n v="1"/>
    <n v="0"/>
    <x v="1"/>
    <n v="0"/>
    <n v="1"/>
    <n v="0"/>
    <n v="0"/>
    <n v="0"/>
  </r>
  <r>
    <n v="368"/>
    <x v="1"/>
    <n v="3"/>
    <s v="Moussa, Mrs. (Mantoura Boulos)"/>
    <n v="1"/>
    <x v="4"/>
    <n v="0"/>
    <n v="0"/>
    <s v="2626"/>
    <n v="7.2291999999999996"/>
    <s v=""/>
    <x v="1"/>
    <n v="0"/>
    <n v="1"/>
    <n v="0"/>
    <x v="1"/>
    <n v="0"/>
    <n v="1"/>
    <n v="0"/>
    <n v="0"/>
    <n v="0"/>
  </r>
  <r>
    <n v="369"/>
    <x v="1"/>
    <n v="3"/>
    <s v="Jermyn, Miss. Annie"/>
    <n v="1"/>
    <x v="4"/>
    <n v="0"/>
    <n v="0"/>
    <s v="14313"/>
    <n v="7.75"/>
    <s v=""/>
    <x v="2"/>
    <n v="0"/>
    <n v="0"/>
    <n v="1"/>
    <x v="2"/>
    <n v="1"/>
    <n v="0"/>
    <n v="0"/>
    <n v="0"/>
    <n v="0"/>
  </r>
  <r>
    <n v="370"/>
    <x v="1"/>
    <n v="1"/>
    <s v="Aubart, Mme. Leontine Pauline"/>
    <n v="1"/>
    <x v="40"/>
    <n v="0"/>
    <n v="0"/>
    <s v="PC 17477"/>
    <n v="69.3"/>
    <s v="B35"/>
    <x v="1"/>
    <n v="0"/>
    <n v="1"/>
    <n v="0"/>
    <x v="7"/>
    <n v="0"/>
    <n v="1"/>
    <n v="0"/>
    <n v="0"/>
    <n v="0"/>
  </r>
  <r>
    <n v="371"/>
    <x v="1"/>
    <n v="1"/>
    <s v="Harder, Mr. George Achilles"/>
    <n v="0"/>
    <x v="36"/>
    <n v="1"/>
    <n v="0"/>
    <s v="11765"/>
    <n v="55.441699999999997"/>
    <s v="E50"/>
    <x v="1"/>
    <n v="0"/>
    <n v="1"/>
    <n v="0"/>
    <x v="0"/>
    <n v="0"/>
    <n v="0"/>
    <n v="1"/>
    <n v="0"/>
    <n v="0"/>
  </r>
  <r>
    <n v="372"/>
    <x v="0"/>
    <n v="3"/>
    <s v="Wiklund, Mr. Jakob Alfred"/>
    <n v="0"/>
    <x v="24"/>
    <n v="1"/>
    <n v="0"/>
    <s v="3101267"/>
    <n v="6.4958"/>
    <s v=""/>
    <x v="0"/>
    <n v="1"/>
    <n v="0"/>
    <n v="0"/>
    <x v="0"/>
    <n v="0"/>
    <n v="0"/>
    <n v="1"/>
    <n v="0"/>
    <n v="0"/>
  </r>
  <r>
    <n v="373"/>
    <x v="0"/>
    <n v="3"/>
    <s v="Beavan, Mr. William Thomas"/>
    <n v="0"/>
    <x v="19"/>
    <n v="0"/>
    <n v="0"/>
    <s v="323951"/>
    <n v="8.0500000000000007"/>
    <s v=""/>
    <x v="0"/>
    <n v="1"/>
    <n v="0"/>
    <n v="0"/>
    <x v="0"/>
    <n v="0"/>
    <n v="0"/>
    <n v="1"/>
    <n v="0"/>
    <n v="0"/>
  </r>
  <r>
    <n v="374"/>
    <x v="0"/>
    <n v="1"/>
    <s v="Ringhini, Mr. Sante"/>
    <n v="0"/>
    <x v="0"/>
    <n v="0"/>
    <n v="0"/>
    <s v="PC 17760"/>
    <n v="135.63329999999999"/>
    <s v=""/>
    <x v="1"/>
    <n v="0"/>
    <n v="1"/>
    <n v="0"/>
    <x v="0"/>
    <n v="0"/>
    <n v="0"/>
    <n v="1"/>
    <n v="0"/>
    <n v="0"/>
  </r>
  <r>
    <n v="375"/>
    <x v="0"/>
    <n v="3"/>
    <s v="Palsson, Miss. Stina Viola"/>
    <n v="1"/>
    <x v="25"/>
    <n v="3"/>
    <n v="1"/>
    <s v="349909"/>
    <n v="21.074999999999999"/>
    <s v=""/>
    <x v="0"/>
    <n v="1"/>
    <n v="0"/>
    <n v="0"/>
    <x v="2"/>
    <n v="1"/>
    <n v="0"/>
    <n v="0"/>
    <n v="0"/>
    <n v="0"/>
  </r>
  <r>
    <n v="376"/>
    <x v="1"/>
    <n v="1"/>
    <s v="Meyer, Mrs. Edgar Joseph (Leila Saks)"/>
    <n v="1"/>
    <x v="4"/>
    <n v="1"/>
    <n v="0"/>
    <s v="PC 17604"/>
    <n v="82.1708"/>
    <s v=""/>
    <x v="1"/>
    <n v="0"/>
    <n v="1"/>
    <n v="0"/>
    <x v="1"/>
    <n v="0"/>
    <n v="1"/>
    <n v="0"/>
    <n v="0"/>
    <n v="0"/>
  </r>
  <r>
    <n v="377"/>
    <x v="1"/>
    <n v="3"/>
    <s v="Landergren, Miss. Aurora Adelia"/>
    <n v="1"/>
    <x v="0"/>
    <n v="0"/>
    <n v="0"/>
    <s v="C 7077"/>
    <n v="7.25"/>
    <s v=""/>
    <x v="0"/>
    <n v="1"/>
    <n v="0"/>
    <n v="0"/>
    <x v="2"/>
    <n v="1"/>
    <n v="0"/>
    <n v="0"/>
    <n v="0"/>
    <n v="0"/>
  </r>
  <r>
    <n v="378"/>
    <x v="0"/>
    <n v="1"/>
    <s v="Widener, Mr. Harry Elkins"/>
    <n v="0"/>
    <x v="7"/>
    <n v="0"/>
    <n v="2"/>
    <s v="113503"/>
    <n v="211.5"/>
    <s v="C82"/>
    <x v="1"/>
    <n v="0"/>
    <n v="1"/>
    <n v="0"/>
    <x v="0"/>
    <n v="0"/>
    <n v="0"/>
    <n v="1"/>
    <n v="0"/>
    <n v="0"/>
  </r>
  <r>
    <n v="379"/>
    <x v="0"/>
    <n v="3"/>
    <s v="Betros, Mr. Tannous"/>
    <n v="0"/>
    <x v="11"/>
    <n v="0"/>
    <n v="0"/>
    <s v="2648"/>
    <n v="4.0125000000000002"/>
    <s v=""/>
    <x v="1"/>
    <n v="0"/>
    <n v="1"/>
    <n v="0"/>
    <x v="0"/>
    <n v="0"/>
    <n v="0"/>
    <n v="1"/>
    <n v="0"/>
    <n v="0"/>
  </r>
  <r>
    <n v="380"/>
    <x v="0"/>
    <n v="3"/>
    <s v="Gustafsson, Mr. Karl Gideon"/>
    <n v="0"/>
    <x v="19"/>
    <n v="0"/>
    <n v="0"/>
    <s v="347069"/>
    <n v="7.7750000000000004"/>
    <s v=""/>
    <x v="0"/>
    <n v="1"/>
    <n v="0"/>
    <n v="0"/>
    <x v="0"/>
    <n v="0"/>
    <n v="0"/>
    <n v="1"/>
    <n v="0"/>
    <n v="0"/>
  </r>
  <r>
    <n v="381"/>
    <x v="1"/>
    <n v="1"/>
    <s v="Bidois, Miss. Rosalie"/>
    <n v="1"/>
    <x v="22"/>
    <n v="0"/>
    <n v="0"/>
    <s v="PC 17757"/>
    <n v="227.52500000000001"/>
    <s v=""/>
    <x v="1"/>
    <n v="0"/>
    <n v="1"/>
    <n v="0"/>
    <x v="2"/>
    <n v="1"/>
    <n v="0"/>
    <n v="0"/>
    <n v="0"/>
    <n v="0"/>
  </r>
  <r>
    <n v="382"/>
    <x v="1"/>
    <n v="3"/>
    <s v="Nakid, Miss. Maria (&quot;Mary&quot;)"/>
    <n v="1"/>
    <x v="50"/>
    <n v="0"/>
    <n v="2"/>
    <s v="2653"/>
    <n v="15.7417"/>
    <s v=""/>
    <x v="1"/>
    <n v="0"/>
    <n v="1"/>
    <n v="0"/>
    <x v="2"/>
    <n v="1"/>
    <n v="0"/>
    <n v="0"/>
    <n v="0"/>
    <n v="0"/>
  </r>
  <r>
    <n v="383"/>
    <x v="0"/>
    <n v="3"/>
    <s v="Tikkanen, Mr. Juho"/>
    <n v="0"/>
    <x v="34"/>
    <n v="0"/>
    <n v="0"/>
    <s v="STON/O 2. 3101293"/>
    <n v="7.9249999999999998"/>
    <s v=""/>
    <x v="0"/>
    <n v="1"/>
    <n v="0"/>
    <n v="0"/>
    <x v="0"/>
    <n v="0"/>
    <n v="0"/>
    <n v="1"/>
    <n v="0"/>
    <n v="0"/>
  </r>
  <r>
    <n v="384"/>
    <x v="1"/>
    <n v="1"/>
    <s v="Holverson, Mrs. Alexander Oskar (Mary Aline Towner)"/>
    <n v="1"/>
    <x v="3"/>
    <n v="1"/>
    <n v="0"/>
    <s v="113789"/>
    <n v="52"/>
    <s v=""/>
    <x v="0"/>
    <n v="1"/>
    <n v="0"/>
    <n v="0"/>
    <x v="1"/>
    <n v="0"/>
    <n v="1"/>
    <n v="0"/>
    <n v="0"/>
    <n v="0"/>
  </r>
  <r>
    <n v="385"/>
    <x v="0"/>
    <n v="3"/>
    <s v="Plotcharsky, Mr. Vasil"/>
    <n v="0"/>
    <x v="4"/>
    <n v="0"/>
    <n v="0"/>
    <s v="349227"/>
    <n v="7.8958000000000004"/>
    <s v=""/>
    <x v="0"/>
    <n v="1"/>
    <n v="0"/>
    <n v="0"/>
    <x v="0"/>
    <n v="0"/>
    <n v="0"/>
    <n v="1"/>
    <n v="0"/>
    <n v="0"/>
  </r>
  <r>
    <n v="386"/>
    <x v="0"/>
    <n v="2"/>
    <s v="Davies, Mr. Charles Henry"/>
    <n v="0"/>
    <x v="24"/>
    <n v="0"/>
    <n v="0"/>
    <s v="S.O.C. 14879"/>
    <n v="73.5"/>
    <s v=""/>
    <x v="0"/>
    <n v="1"/>
    <n v="0"/>
    <n v="0"/>
    <x v="0"/>
    <n v="0"/>
    <n v="0"/>
    <n v="1"/>
    <n v="0"/>
    <n v="0"/>
  </r>
  <r>
    <n v="387"/>
    <x v="0"/>
    <n v="3"/>
    <s v="Goodwin, Master. Sidney Leonard"/>
    <n v="0"/>
    <x v="50"/>
    <n v="5"/>
    <n v="2"/>
    <s v="CA 2144"/>
    <n v="46.9"/>
    <s v=""/>
    <x v="0"/>
    <n v="1"/>
    <n v="0"/>
    <n v="0"/>
    <x v="3"/>
    <n v="0"/>
    <n v="0"/>
    <n v="0"/>
    <n v="1"/>
    <n v="0"/>
  </r>
  <r>
    <n v="388"/>
    <x v="1"/>
    <n v="2"/>
    <s v="Buss, Miss. Kate"/>
    <n v="1"/>
    <x v="54"/>
    <n v="0"/>
    <n v="0"/>
    <s v="27849"/>
    <n v="13"/>
    <s v=""/>
    <x v="0"/>
    <n v="1"/>
    <n v="0"/>
    <n v="0"/>
    <x v="2"/>
    <n v="1"/>
    <n v="0"/>
    <n v="0"/>
    <n v="0"/>
    <n v="0"/>
  </r>
  <r>
    <n v="389"/>
    <x v="0"/>
    <n v="3"/>
    <s v="Sadlier, Mr. Matthew"/>
    <n v="0"/>
    <x v="4"/>
    <n v="0"/>
    <n v="0"/>
    <s v="367655"/>
    <n v="7.7291999999999996"/>
    <s v=""/>
    <x v="2"/>
    <n v="0"/>
    <n v="0"/>
    <n v="1"/>
    <x v="0"/>
    <n v="0"/>
    <n v="0"/>
    <n v="1"/>
    <n v="0"/>
    <n v="0"/>
  </r>
  <r>
    <n v="390"/>
    <x v="1"/>
    <n v="2"/>
    <s v="Lehmann, Miss. Bertha"/>
    <n v="1"/>
    <x v="33"/>
    <n v="0"/>
    <n v="0"/>
    <s v="SC 1748"/>
    <n v="12"/>
    <s v=""/>
    <x v="1"/>
    <n v="0"/>
    <n v="1"/>
    <n v="0"/>
    <x v="2"/>
    <n v="1"/>
    <n v="0"/>
    <n v="0"/>
    <n v="0"/>
    <n v="0"/>
  </r>
  <r>
    <n v="391"/>
    <x v="1"/>
    <n v="1"/>
    <s v="Carter, Mr. William Ernest"/>
    <n v="0"/>
    <x v="54"/>
    <n v="1"/>
    <n v="2"/>
    <s v="113760"/>
    <n v="120"/>
    <s v="B96 B98"/>
    <x v="0"/>
    <n v="1"/>
    <n v="0"/>
    <n v="0"/>
    <x v="0"/>
    <n v="0"/>
    <n v="0"/>
    <n v="1"/>
    <n v="0"/>
    <n v="0"/>
  </r>
  <r>
    <n v="392"/>
    <x v="1"/>
    <n v="3"/>
    <s v="Jansson, Mr. Carl Olof"/>
    <n v="0"/>
    <x v="23"/>
    <n v="0"/>
    <n v="0"/>
    <s v="350034"/>
    <n v="7.7957999999999998"/>
    <s v=""/>
    <x v="0"/>
    <n v="1"/>
    <n v="0"/>
    <n v="0"/>
    <x v="0"/>
    <n v="0"/>
    <n v="0"/>
    <n v="1"/>
    <n v="0"/>
    <n v="0"/>
  </r>
  <r>
    <n v="393"/>
    <x v="0"/>
    <n v="3"/>
    <s v="Gustafsson, Mr. Johan Birger"/>
    <n v="0"/>
    <x v="17"/>
    <n v="2"/>
    <n v="0"/>
    <s v="3101277"/>
    <n v="7.9249999999999998"/>
    <s v=""/>
    <x v="0"/>
    <n v="1"/>
    <n v="0"/>
    <n v="0"/>
    <x v="0"/>
    <n v="0"/>
    <n v="0"/>
    <n v="1"/>
    <n v="0"/>
    <n v="0"/>
  </r>
  <r>
    <n v="394"/>
    <x v="1"/>
    <n v="1"/>
    <s v="Newell, Miss. Marjorie"/>
    <n v="1"/>
    <x v="39"/>
    <n v="1"/>
    <n v="0"/>
    <s v="35273"/>
    <n v="113.27500000000001"/>
    <s v="D36"/>
    <x v="1"/>
    <n v="0"/>
    <n v="1"/>
    <n v="0"/>
    <x v="2"/>
    <n v="1"/>
    <n v="0"/>
    <n v="0"/>
    <n v="0"/>
    <n v="0"/>
  </r>
  <r>
    <n v="395"/>
    <x v="1"/>
    <n v="3"/>
    <s v="Sandstrom, Mrs. Hjalmar (Agnes Charlotta Bengtsson)"/>
    <n v="1"/>
    <x v="40"/>
    <n v="0"/>
    <n v="2"/>
    <s v="PP 9549"/>
    <n v="16.7"/>
    <s v="G6"/>
    <x v="0"/>
    <n v="1"/>
    <n v="0"/>
    <n v="0"/>
    <x v="1"/>
    <n v="0"/>
    <n v="1"/>
    <n v="0"/>
    <n v="0"/>
    <n v="0"/>
  </r>
  <r>
    <n v="396"/>
    <x v="0"/>
    <n v="3"/>
    <s v="Johansson, Mr. Erik"/>
    <n v="0"/>
    <x v="0"/>
    <n v="0"/>
    <n v="0"/>
    <s v="350052"/>
    <n v="7.7957999999999998"/>
    <s v=""/>
    <x v="0"/>
    <n v="1"/>
    <n v="0"/>
    <n v="0"/>
    <x v="0"/>
    <n v="0"/>
    <n v="0"/>
    <n v="1"/>
    <n v="0"/>
    <n v="0"/>
  </r>
  <r>
    <n v="397"/>
    <x v="0"/>
    <n v="3"/>
    <s v="Olsson, Miss. Elina"/>
    <n v="1"/>
    <x v="14"/>
    <n v="0"/>
    <n v="0"/>
    <s v="350407"/>
    <n v="7.8541999999999996"/>
    <s v=""/>
    <x v="0"/>
    <n v="1"/>
    <n v="0"/>
    <n v="0"/>
    <x v="2"/>
    <n v="1"/>
    <n v="0"/>
    <n v="0"/>
    <n v="0"/>
    <n v="0"/>
  </r>
  <r>
    <n v="398"/>
    <x v="0"/>
    <n v="2"/>
    <s v="McKane, Mr. Peter David"/>
    <n v="0"/>
    <x v="41"/>
    <n v="0"/>
    <n v="0"/>
    <s v="28403"/>
    <n v="26"/>
    <s v=""/>
    <x v="0"/>
    <n v="1"/>
    <n v="0"/>
    <n v="0"/>
    <x v="0"/>
    <n v="0"/>
    <n v="0"/>
    <n v="1"/>
    <n v="0"/>
    <n v="0"/>
  </r>
  <r>
    <n v="399"/>
    <x v="0"/>
    <n v="2"/>
    <s v="Pain, Dr. Alfred"/>
    <n v="0"/>
    <x v="39"/>
    <n v="0"/>
    <n v="0"/>
    <s v="244278"/>
    <n v="10.5"/>
    <s v=""/>
    <x v="0"/>
    <n v="1"/>
    <n v="0"/>
    <n v="0"/>
    <x v="6"/>
    <n v="0"/>
    <n v="0"/>
    <n v="0"/>
    <n v="0"/>
    <n v="1"/>
  </r>
  <r>
    <n v="400"/>
    <x v="1"/>
    <n v="2"/>
    <s v="Trout, Mrs. William H (Jessie L)"/>
    <n v="1"/>
    <x v="17"/>
    <n v="0"/>
    <n v="0"/>
    <s v="240929"/>
    <n v="12.65"/>
    <s v=""/>
    <x v="0"/>
    <n v="1"/>
    <n v="0"/>
    <n v="0"/>
    <x v="1"/>
    <n v="0"/>
    <n v="1"/>
    <n v="0"/>
    <n v="0"/>
    <n v="0"/>
  </r>
  <r>
    <n v="401"/>
    <x v="1"/>
    <n v="3"/>
    <s v="Niskanen, Mr. Juha"/>
    <n v="0"/>
    <x v="12"/>
    <n v="0"/>
    <n v="0"/>
    <s v="STON/O 2. 3101289"/>
    <n v="7.9249999999999998"/>
    <s v=""/>
    <x v="0"/>
    <n v="1"/>
    <n v="0"/>
    <n v="0"/>
    <x v="0"/>
    <n v="0"/>
    <n v="0"/>
    <n v="1"/>
    <n v="0"/>
    <n v="0"/>
  </r>
  <r>
    <n v="402"/>
    <x v="0"/>
    <n v="3"/>
    <s v="Adams, Mr. John"/>
    <n v="0"/>
    <x v="2"/>
    <n v="0"/>
    <n v="0"/>
    <s v="341826"/>
    <n v="8.0500000000000007"/>
    <s v=""/>
    <x v="0"/>
    <n v="1"/>
    <n v="0"/>
    <n v="0"/>
    <x v="0"/>
    <n v="0"/>
    <n v="0"/>
    <n v="1"/>
    <n v="0"/>
    <n v="0"/>
  </r>
  <r>
    <n v="403"/>
    <x v="0"/>
    <n v="3"/>
    <s v="Jussila, Miss. Mari Aina"/>
    <n v="1"/>
    <x v="23"/>
    <n v="1"/>
    <n v="0"/>
    <s v="4137"/>
    <n v="9.8249999999999993"/>
    <s v=""/>
    <x v="0"/>
    <n v="1"/>
    <n v="0"/>
    <n v="0"/>
    <x v="2"/>
    <n v="1"/>
    <n v="0"/>
    <n v="0"/>
    <n v="0"/>
    <n v="0"/>
  </r>
  <r>
    <n v="404"/>
    <x v="0"/>
    <n v="3"/>
    <s v="Hakkarainen, Mr. Pekka Pietari"/>
    <n v="0"/>
    <x v="17"/>
    <n v="1"/>
    <n v="0"/>
    <s v="STON/O2. 3101279"/>
    <n v="15.85"/>
    <s v=""/>
    <x v="0"/>
    <n v="1"/>
    <n v="0"/>
    <n v="0"/>
    <x v="0"/>
    <n v="0"/>
    <n v="0"/>
    <n v="1"/>
    <n v="0"/>
    <n v="0"/>
  </r>
  <r>
    <n v="405"/>
    <x v="0"/>
    <n v="3"/>
    <s v="Oreskovic, Miss. Marija"/>
    <n v="1"/>
    <x v="11"/>
    <n v="0"/>
    <n v="0"/>
    <s v="315096"/>
    <n v="8.6624999999999996"/>
    <s v=""/>
    <x v="0"/>
    <n v="1"/>
    <n v="0"/>
    <n v="0"/>
    <x v="2"/>
    <n v="1"/>
    <n v="0"/>
    <n v="0"/>
    <n v="0"/>
    <n v="0"/>
  </r>
  <r>
    <n v="406"/>
    <x v="0"/>
    <n v="2"/>
    <s v="Gale, Mr. Shadrach"/>
    <n v="0"/>
    <x v="15"/>
    <n v="1"/>
    <n v="0"/>
    <s v="28664"/>
    <n v="21"/>
    <s v=""/>
    <x v="0"/>
    <n v="1"/>
    <n v="0"/>
    <n v="0"/>
    <x v="0"/>
    <n v="0"/>
    <n v="0"/>
    <n v="1"/>
    <n v="0"/>
    <n v="0"/>
  </r>
  <r>
    <n v="407"/>
    <x v="0"/>
    <n v="3"/>
    <s v="Widegren, Mr. Carl/Charles Peter"/>
    <n v="0"/>
    <x v="48"/>
    <n v="0"/>
    <n v="0"/>
    <s v="347064"/>
    <n v="7.75"/>
    <s v=""/>
    <x v="0"/>
    <n v="1"/>
    <n v="0"/>
    <n v="0"/>
    <x v="0"/>
    <n v="0"/>
    <n v="0"/>
    <n v="1"/>
    <n v="0"/>
    <n v="0"/>
  </r>
  <r>
    <n v="408"/>
    <x v="1"/>
    <n v="2"/>
    <s v="Richards, Master. William Rowe"/>
    <n v="0"/>
    <x v="25"/>
    <n v="1"/>
    <n v="1"/>
    <s v="29106"/>
    <n v="18.75"/>
    <s v=""/>
    <x v="0"/>
    <n v="1"/>
    <n v="0"/>
    <n v="0"/>
    <x v="3"/>
    <n v="0"/>
    <n v="0"/>
    <n v="0"/>
    <n v="1"/>
    <n v="0"/>
  </r>
  <r>
    <n v="409"/>
    <x v="0"/>
    <n v="3"/>
    <s v="Birkeland, Mr. Hans Martin Monsen"/>
    <n v="0"/>
    <x v="23"/>
    <n v="0"/>
    <n v="0"/>
    <s v="312992"/>
    <n v="7.7750000000000004"/>
    <s v=""/>
    <x v="0"/>
    <n v="1"/>
    <n v="0"/>
    <n v="0"/>
    <x v="0"/>
    <n v="0"/>
    <n v="0"/>
    <n v="1"/>
    <n v="0"/>
    <n v="0"/>
  </r>
  <r>
    <n v="410"/>
    <x v="0"/>
    <n v="3"/>
    <s v="Lefebre, Miss. Ida"/>
    <n v="1"/>
    <x v="4"/>
    <n v="3"/>
    <n v="1"/>
    <s v="4133"/>
    <n v="25.466699999999999"/>
    <s v=""/>
    <x v="0"/>
    <n v="1"/>
    <n v="0"/>
    <n v="0"/>
    <x v="2"/>
    <n v="1"/>
    <n v="0"/>
    <n v="0"/>
    <n v="0"/>
    <n v="0"/>
  </r>
  <r>
    <n v="411"/>
    <x v="0"/>
    <n v="3"/>
    <s v="Sdycoff, Mr. Todor"/>
    <n v="0"/>
    <x v="4"/>
    <n v="0"/>
    <n v="0"/>
    <s v="349222"/>
    <n v="7.8958000000000004"/>
    <s v=""/>
    <x v="0"/>
    <n v="1"/>
    <n v="0"/>
    <n v="0"/>
    <x v="0"/>
    <n v="0"/>
    <n v="0"/>
    <n v="1"/>
    <n v="0"/>
    <n v="0"/>
  </r>
  <r>
    <n v="412"/>
    <x v="0"/>
    <n v="3"/>
    <s v="Hart, Mr. Henry"/>
    <n v="0"/>
    <x v="4"/>
    <n v="0"/>
    <n v="0"/>
    <s v="394140"/>
    <n v="6.8582999999999998"/>
    <s v=""/>
    <x v="2"/>
    <n v="0"/>
    <n v="0"/>
    <n v="1"/>
    <x v="0"/>
    <n v="0"/>
    <n v="0"/>
    <n v="1"/>
    <n v="0"/>
    <n v="0"/>
  </r>
  <r>
    <n v="413"/>
    <x v="1"/>
    <n v="1"/>
    <s v="Minahan, Miss. Daisy E"/>
    <n v="1"/>
    <x v="38"/>
    <n v="1"/>
    <n v="0"/>
    <s v="19928"/>
    <n v="90"/>
    <s v="C78"/>
    <x v="2"/>
    <n v="0"/>
    <n v="0"/>
    <n v="1"/>
    <x v="2"/>
    <n v="1"/>
    <n v="0"/>
    <n v="0"/>
    <n v="0"/>
    <n v="0"/>
  </r>
  <r>
    <n v="414"/>
    <x v="0"/>
    <n v="2"/>
    <s v="Cunningham, Mr. Alfred Fleming"/>
    <n v="0"/>
    <x v="4"/>
    <n v="0"/>
    <n v="0"/>
    <s v="239853"/>
    <n v="0"/>
    <s v=""/>
    <x v="0"/>
    <n v="1"/>
    <n v="0"/>
    <n v="0"/>
    <x v="0"/>
    <n v="0"/>
    <n v="0"/>
    <n v="1"/>
    <n v="0"/>
    <n v="0"/>
  </r>
  <r>
    <n v="415"/>
    <x v="1"/>
    <n v="3"/>
    <s v="Sundman, Mr. Johan Julian"/>
    <n v="0"/>
    <x v="49"/>
    <n v="0"/>
    <n v="0"/>
    <s v="STON/O 2. 3101269"/>
    <n v="7.9249999999999998"/>
    <s v=""/>
    <x v="0"/>
    <n v="1"/>
    <n v="0"/>
    <n v="0"/>
    <x v="0"/>
    <n v="0"/>
    <n v="0"/>
    <n v="1"/>
    <n v="0"/>
    <n v="0"/>
  </r>
  <r>
    <n v="416"/>
    <x v="0"/>
    <n v="3"/>
    <s v="Meek, Mrs. Thomas (Annie Louise Rowley)"/>
    <n v="1"/>
    <x v="4"/>
    <n v="0"/>
    <n v="0"/>
    <s v="343095"/>
    <n v="8.0500000000000007"/>
    <s v=""/>
    <x v="0"/>
    <n v="1"/>
    <n v="0"/>
    <n v="0"/>
    <x v="1"/>
    <n v="0"/>
    <n v="1"/>
    <n v="0"/>
    <n v="0"/>
    <n v="0"/>
  </r>
  <r>
    <n v="417"/>
    <x v="1"/>
    <n v="2"/>
    <s v="Drew, Mrs. James Vivian (Lulu Thorne Christian)"/>
    <n v="1"/>
    <x v="15"/>
    <n v="1"/>
    <n v="1"/>
    <s v="28220"/>
    <n v="32.5"/>
    <s v=""/>
    <x v="0"/>
    <n v="1"/>
    <n v="0"/>
    <n v="0"/>
    <x v="1"/>
    <n v="0"/>
    <n v="1"/>
    <n v="0"/>
    <n v="0"/>
    <n v="0"/>
  </r>
  <r>
    <n v="418"/>
    <x v="1"/>
    <n v="2"/>
    <s v="Silven, Miss. Lyyli Karoliina"/>
    <n v="1"/>
    <x v="24"/>
    <n v="0"/>
    <n v="2"/>
    <s v="250652"/>
    <n v="13"/>
    <s v=""/>
    <x v="0"/>
    <n v="1"/>
    <n v="0"/>
    <n v="0"/>
    <x v="2"/>
    <n v="1"/>
    <n v="0"/>
    <n v="0"/>
    <n v="0"/>
    <n v="0"/>
  </r>
  <r>
    <n v="419"/>
    <x v="0"/>
    <n v="2"/>
    <s v="Matthews, Mr. William John"/>
    <n v="0"/>
    <x v="37"/>
    <n v="0"/>
    <n v="0"/>
    <s v="28228"/>
    <n v="13"/>
    <s v=""/>
    <x v="0"/>
    <n v="1"/>
    <n v="0"/>
    <n v="0"/>
    <x v="0"/>
    <n v="0"/>
    <n v="0"/>
    <n v="1"/>
    <n v="0"/>
    <n v="0"/>
  </r>
  <r>
    <n v="420"/>
    <x v="0"/>
    <n v="3"/>
    <s v="Van Impe, Miss. Catharina"/>
    <n v="1"/>
    <x v="61"/>
    <n v="0"/>
    <n v="2"/>
    <s v="345773"/>
    <n v="24.15"/>
    <s v=""/>
    <x v="0"/>
    <n v="1"/>
    <n v="0"/>
    <n v="0"/>
    <x v="2"/>
    <n v="1"/>
    <n v="0"/>
    <n v="0"/>
    <n v="0"/>
    <n v="0"/>
  </r>
  <r>
    <n v="421"/>
    <x v="0"/>
    <n v="3"/>
    <s v="Gheorgheff, Mr. Stanio"/>
    <n v="0"/>
    <x v="4"/>
    <n v="0"/>
    <n v="0"/>
    <s v="349254"/>
    <n v="7.8958000000000004"/>
    <s v=""/>
    <x v="1"/>
    <n v="0"/>
    <n v="1"/>
    <n v="0"/>
    <x v="0"/>
    <n v="0"/>
    <n v="0"/>
    <n v="1"/>
    <n v="0"/>
    <n v="0"/>
  </r>
  <r>
    <n v="422"/>
    <x v="0"/>
    <n v="3"/>
    <s v="Charters, Mr. David"/>
    <n v="0"/>
    <x v="23"/>
    <n v="0"/>
    <n v="0"/>
    <s v="A/5. 13032"/>
    <n v="7.7332999999999998"/>
    <s v=""/>
    <x v="2"/>
    <n v="0"/>
    <n v="0"/>
    <n v="1"/>
    <x v="0"/>
    <n v="0"/>
    <n v="0"/>
    <n v="1"/>
    <n v="0"/>
    <n v="0"/>
  </r>
  <r>
    <n v="423"/>
    <x v="0"/>
    <n v="3"/>
    <s v="Zimmerman, Mr. Leo"/>
    <n v="0"/>
    <x v="28"/>
    <n v="0"/>
    <n v="0"/>
    <s v="315082"/>
    <n v="7.875"/>
    <s v=""/>
    <x v="0"/>
    <n v="1"/>
    <n v="0"/>
    <n v="0"/>
    <x v="0"/>
    <n v="0"/>
    <n v="0"/>
    <n v="1"/>
    <n v="0"/>
    <n v="0"/>
  </r>
  <r>
    <n v="424"/>
    <x v="0"/>
    <n v="3"/>
    <s v="Danbom, Mrs. Ernst Gilbert (Anna Sigrid Maria Brogren)"/>
    <n v="1"/>
    <x v="17"/>
    <n v="1"/>
    <n v="1"/>
    <s v="347080"/>
    <n v="14.4"/>
    <s v=""/>
    <x v="0"/>
    <n v="1"/>
    <n v="0"/>
    <n v="0"/>
    <x v="1"/>
    <n v="0"/>
    <n v="1"/>
    <n v="0"/>
    <n v="0"/>
    <n v="0"/>
  </r>
  <r>
    <n v="425"/>
    <x v="0"/>
    <n v="3"/>
    <s v="Rosblom, Mr. Viktor Richard"/>
    <n v="0"/>
    <x v="24"/>
    <n v="1"/>
    <n v="1"/>
    <s v="370129"/>
    <n v="20.212499999999999"/>
    <s v=""/>
    <x v="0"/>
    <n v="1"/>
    <n v="0"/>
    <n v="0"/>
    <x v="0"/>
    <n v="0"/>
    <n v="0"/>
    <n v="1"/>
    <n v="0"/>
    <n v="0"/>
  </r>
  <r>
    <n v="426"/>
    <x v="0"/>
    <n v="3"/>
    <s v="Wiseman, Mr. Phillippe"/>
    <n v="0"/>
    <x v="4"/>
    <n v="0"/>
    <n v="0"/>
    <s v="A/4. 34244"/>
    <n v="7.25"/>
    <s v=""/>
    <x v="0"/>
    <n v="1"/>
    <n v="0"/>
    <n v="0"/>
    <x v="0"/>
    <n v="0"/>
    <n v="0"/>
    <n v="1"/>
    <n v="0"/>
    <n v="0"/>
  </r>
  <r>
    <n v="427"/>
    <x v="1"/>
    <n v="2"/>
    <s v="Clarke, Mrs. Charles V (Ada Maria Winfield)"/>
    <n v="1"/>
    <x v="17"/>
    <n v="1"/>
    <n v="0"/>
    <s v="2003"/>
    <n v="26"/>
    <s v=""/>
    <x v="0"/>
    <n v="1"/>
    <n v="0"/>
    <n v="0"/>
    <x v="1"/>
    <n v="0"/>
    <n v="1"/>
    <n v="0"/>
    <n v="0"/>
    <n v="0"/>
  </r>
  <r>
    <n v="428"/>
    <x v="1"/>
    <n v="2"/>
    <s v="Phillips, Miss. Kate Florence (&quot;Mrs Kate Louise Phillips Marshall&quot;)"/>
    <n v="1"/>
    <x v="19"/>
    <n v="0"/>
    <n v="0"/>
    <s v="250655"/>
    <n v="26"/>
    <s v=""/>
    <x v="0"/>
    <n v="1"/>
    <n v="0"/>
    <n v="0"/>
    <x v="2"/>
    <n v="1"/>
    <n v="0"/>
    <n v="0"/>
    <n v="0"/>
    <n v="0"/>
  </r>
  <r>
    <n v="429"/>
    <x v="0"/>
    <n v="3"/>
    <s v="Flynn, Mr. James"/>
    <n v="0"/>
    <x v="4"/>
    <n v="0"/>
    <n v="0"/>
    <s v="364851"/>
    <n v="7.75"/>
    <s v=""/>
    <x v="2"/>
    <n v="0"/>
    <n v="0"/>
    <n v="1"/>
    <x v="0"/>
    <n v="0"/>
    <n v="0"/>
    <n v="1"/>
    <n v="0"/>
    <n v="0"/>
  </r>
  <r>
    <n v="430"/>
    <x v="1"/>
    <n v="3"/>
    <s v="Pickard, Mr. Berk (Berk Trembisky)"/>
    <n v="0"/>
    <x v="34"/>
    <n v="0"/>
    <n v="0"/>
    <s v="SOTON/O.Q. 392078"/>
    <n v="8.0500000000000007"/>
    <s v="E10"/>
    <x v="0"/>
    <n v="1"/>
    <n v="0"/>
    <n v="0"/>
    <x v="0"/>
    <n v="0"/>
    <n v="0"/>
    <n v="1"/>
    <n v="0"/>
    <n v="0"/>
  </r>
  <r>
    <n v="431"/>
    <x v="1"/>
    <n v="1"/>
    <s v="Bjornstrom-Steffansson, Mr. Mauritz Hakan"/>
    <n v="0"/>
    <x v="17"/>
    <n v="0"/>
    <n v="0"/>
    <s v="110564"/>
    <n v="26.55"/>
    <s v="C52"/>
    <x v="0"/>
    <n v="1"/>
    <n v="0"/>
    <n v="0"/>
    <x v="0"/>
    <n v="0"/>
    <n v="0"/>
    <n v="1"/>
    <n v="0"/>
    <n v="0"/>
  </r>
  <r>
    <n v="432"/>
    <x v="1"/>
    <n v="3"/>
    <s v="Thorneycroft, Mrs. Percival (Florence Kate White)"/>
    <n v="1"/>
    <x v="4"/>
    <n v="1"/>
    <n v="0"/>
    <s v="376564"/>
    <n v="16.100000000000001"/>
    <s v=""/>
    <x v="0"/>
    <n v="1"/>
    <n v="0"/>
    <n v="0"/>
    <x v="1"/>
    <n v="0"/>
    <n v="1"/>
    <n v="0"/>
    <n v="0"/>
    <n v="0"/>
  </r>
  <r>
    <n v="433"/>
    <x v="1"/>
    <n v="2"/>
    <s v="Louch, Mrs. Charles Alexander (Alice Adelaide Slow)"/>
    <n v="1"/>
    <x v="22"/>
    <n v="1"/>
    <n v="0"/>
    <s v="SC/AH 3085"/>
    <n v="26"/>
    <s v=""/>
    <x v="0"/>
    <n v="1"/>
    <n v="0"/>
    <n v="0"/>
    <x v="1"/>
    <n v="0"/>
    <n v="1"/>
    <n v="0"/>
    <n v="0"/>
    <n v="0"/>
  </r>
  <r>
    <n v="434"/>
    <x v="0"/>
    <n v="3"/>
    <s v="Kallio, Mr. Nikolai Erland"/>
    <n v="0"/>
    <x v="33"/>
    <n v="0"/>
    <n v="0"/>
    <s v="STON/O 2. 3101274"/>
    <n v="7.125"/>
    <s v=""/>
    <x v="0"/>
    <n v="1"/>
    <n v="0"/>
    <n v="0"/>
    <x v="0"/>
    <n v="0"/>
    <n v="0"/>
    <n v="1"/>
    <n v="0"/>
    <n v="0"/>
  </r>
  <r>
    <n v="435"/>
    <x v="0"/>
    <n v="1"/>
    <s v="Silvey, Mr. William Baird"/>
    <n v="0"/>
    <x v="53"/>
    <n v="1"/>
    <n v="0"/>
    <s v="13507"/>
    <n v="55.9"/>
    <s v="E44"/>
    <x v="0"/>
    <n v="1"/>
    <n v="0"/>
    <n v="0"/>
    <x v="0"/>
    <n v="0"/>
    <n v="0"/>
    <n v="1"/>
    <n v="0"/>
    <n v="0"/>
  </r>
  <r>
    <n v="436"/>
    <x v="1"/>
    <n v="1"/>
    <s v="Carter, Miss. Lucile Polk"/>
    <n v="1"/>
    <x v="8"/>
    <n v="1"/>
    <n v="2"/>
    <s v="113760"/>
    <n v="120"/>
    <s v="B96 B98"/>
    <x v="0"/>
    <n v="1"/>
    <n v="0"/>
    <n v="0"/>
    <x v="2"/>
    <n v="1"/>
    <n v="0"/>
    <n v="0"/>
    <n v="0"/>
    <n v="0"/>
  </r>
  <r>
    <n v="437"/>
    <x v="0"/>
    <n v="3"/>
    <s v="Ford, Miss. Doolina Margaret &quot;Daisy&quot;"/>
    <n v="1"/>
    <x v="23"/>
    <n v="2"/>
    <n v="2"/>
    <s v="W./C. 6608"/>
    <n v="34.375"/>
    <s v=""/>
    <x v="0"/>
    <n v="1"/>
    <n v="0"/>
    <n v="0"/>
    <x v="2"/>
    <n v="1"/>
    <n v="0"/>
    <n v="0"/>
    <n v="0"/>
    <n v="0"/>
  </r>
  <r>
    <n v="438"/>
    <x v="1"/>
    <n v="2"/>
    <s v="Richards, Mrs. Sidney (Emily Hocking)"/>
    <n v="1"/>
    <x v="40"/>
    <n v="2"/>
    <n v="3"/>
    <s v="29106"/>
    <n v="18.75"/>
    <s v=""/>
    <x v="0"/>
    <n v="1"/>
    <n v="0"/>
    <n v="0"/>
    <x v="1"/>
    <n v="0"/>
    <n v="1"/>
    <n v="0"/>
    <n v="0"/>
    <n v="0"/>
  </r>
  <r>
    <n v="439"/>
    <x v="0"/>
    <n v="1"/>
    <s v="Fortune, Mr. Mark"/>
    <n v="0"/>
    <x v="62"/>
    <n v="1"/>
    <n v="4"/>
    <s v="19950"/>
    <n v="263"/>
    <s v="C23 C25 C27"/>
    <x v="0"/>
    <n v="1"/>
    <n v="0"/>
    <n v="0"/>
    <x v="0"/>
    <n v="0"/>
    <n v="0"/>
    <n v="1"/>
    <n v="0"/>
    <n v="0"/>
  </r>
  <r>
    <n v="440"/>
    <x v="0"/>
    <n v="2"/>
    <s v="Kvillner, Mr. Johan Henrik Johannesson"/>
    <n v="0"/>
    <x v="14"/>
    <n v="0"/>
    <n v="0"/>
    <s v="C.A. 18723"/>
    <n v="10.5"/>
    <s v=""/>
    <x v="0"/>
    <n v="1"/>
    <n v="0"/>
    <n v="0"/>
    <x v="0"/>
    <n v="0"/>
    <n v="0"/>
    <n v="1"/>
    <n v="0"/>
    <n v="0"/>
  </r>
  <r>
    <n v="441"/>
    <x v="1"/>
    <n v="2"/>
    <s v="Hart, Mrs. Benjamin (Esther Ada Bloomfield)"/>
    <n v="1"/>
    <x v="32"/>
    <n v="1"/>
    <n v="1"/>
    <s v="F.C.C. 13529"/>
    <n v="26.25"/>
    <s v=""/>
    <x v="0"/>
    <n v="1"/>
    <n v="0"/>
    <n v="0"/>
    <x v="1"/>
    <n v="0"/>
    <n v="1"/>
    <n v="0"/>
    <n v="0"/>
    <n v="0"/>
  </r>
  <r>
    <n v="442"/>
    <x v="0"/>
    <n v="3"/>
    <s v="Hampe, Mr. Leon"/>
    <n v="0"/>
    <x v="11"/>
    <n v="0"/>
    <n v="0"/>
    <s v="345769"/>
    <n v="9.5"/>
    <s v=""/>
    <x v="0"/>
    <n v="1"/>
    <n v="0"/>
    <n v="0"/>
    <x v="0"/>
    <n v="0"/>
    <n v="0"/>
    <n v="1"/>
    <n v="0"/>
    <n v="0"/>
  </r>
  <r>
    <n v="443"/>
    <x v="0"/>
    <n v="3"/>
    <s v="Petterson, Mr. Johan Emil"/>
    <n v="0"/>
    <x v="36"/>
    <n v="1"/>
    <n v="0"/>
    <s v="347076"/>
    <n v="7.7750000000000004"/>
    <s v=""/>
    <x v="0"/>
    <n v="1"/>
    <n v="0"/>
    <n v="0"/>
    <x v="0"/>
    <n v="0"/>
    <n v="0"/>
    <n v="1"/>
    <n v="0"/>
    <n v="0"/>
  </r>
  <r>
    <n v="444"/>
    <x v="1"/>
    <n v="2"/>
    <s v="Reynaldo, Ms. Encarnacion"/>
    <n v="1"/>
    <x v="17"/>
    <n v="0"/>
    <n v="0"/>
    <s v="230434"/>
    <n v="13"/>
    <s v=""/>
    <x v="0"/>
    <n v="1"/>
    <n v="0"/>
    <n v="0"/>
    <x v="8"/>
    <n v="1"/>
    <n v="0"/>
    <n v="0"/>
    <n v="0"/>
    <n v="0"/>
  </r>
  <r>
    <n v="445"/>
    <x v="1"/>
    <n v="3"/>
    <s v="Johannesen-Bratthammer, Mr. Bernt"/>
    <n v="0"/>
    <x v="4"/>
    <n v="0"/>
    <n v="0"/>
    <s v="65306"/>
    <n v="8.1125000000000007"/>
    <s v=""/>
    <x v="0"/>
    <n v="1"/>
    <n v="0"/>
    <n v="0"/>
    <x v="0"/>
    <n v="0"/>
    <n v="0"/>
    <n v="1"/>
    <n v="0"/>
    <n v="0"/>
  </r>
  <r>
    <n v="446"/>
    <x v="1"/>
    <n v="1"/>
    <s v="Dodge, Master. Washington"/>
    <n v="0"/>
    <x v="9"/>
    <n v="0"/>
    <n v="2"/>
    <s v="33638"/>
    <n v="81.8583"/>
    <s v="A34"/>
    <x v="0"/>
    <n v="1"/>
    <n v="0"/>
    <n v="0"/>
    <x v="3"/>
    <n v="0"/>
    <n v="0"/>
    <n v="0"/>
    <n v="1"/>
    <n v="0"/>
  </r>
  <r>
    <n v="447"/>
    <x v="1"/>
    <n v="2"/>
    <s v="Mellinger, Miss. Madeleine Violet"/>
    <n v="1"/>
    <x v="63"/>
    <n v="0"/>
    <n v="1"/>
    <s v="250644"/>
    <n v="19.5"/>
    <s v=""/>
    <x v="0"/>
    <n v="1"/>
    <n v="0"/>
    <n v="0"/>
    <x v="2"/>
    <n v="1"/>
    <n v="0"/>
    <n v="0"/>
    <n v="0"/>
    <n v="0"/>
  </r>
  <r>
    <n v="448"/>
    <x v="1"/>
    <n v="1"/>
    <s v="Seward, Mr. Frederic Kimber"/>
    <n v="0"/>
    <x v="15"/>
    <n v="0"/>
    <n v="0"/>
    <s v="113794"/>
    <n v="26.55"/>
    <s v=""/>
    <x v="0"/>
    <n v="1"/>
    <n v="0"/>
    <n v="0"/>
    <x v="0"/>
    <n v="0"/>
    <n v="0"/>
    <n v="1"/>
    <n v="0"/>
    <n v="0"/>
  </r>
  <r>
    <n v="449"/>
    <x v="1"/>
    <n v="3"/>
    <s v="Baclini, Miss. Marie Catherine"/>
    <n v="1"/>
    <x v="30"/>
    <n v="2"/>
    <n v="1"/>
    <s v="2666"/>
    <n v="19.258299999999998"/>
    <s v=""/>
    <x v="1"/>
    <n v="0"/>
    <n v="1"/>
    <n v="0"/>
    <x v="2"/>
    <n v="1"/>
    <n v="0"/>
    <n v="0"/>
    <n v="0"/>
    <n v="0"/>
  </r>
  <r>
    <n v="450"/>
    <x v="1"/>
    <n v="1"/>
    <s v="Peuchen, Major. Arthur Godfrey"/>
    <n v="0"/>
    <x v="57"/>
    <n v="0"/>
    <n v="0"/>
    <s v="113786"/>
    <n v="30.5"/>
    <s v="C104"/>
    <x v="0"/>
    <n v="1"/>
    <n v="0"/>
    <n v="0"/>
    <x v="9"/>
    <n v="0"/>
    <n v="0"/>
    <n v="0"/>
    <n v="0"/>
    <n v="1"/>
  </r>
  <r>
    <n v="451"/>
    <x v="0"/>
    <n v="2"/>
    <s v="West, Mr. Edwy Arthur"/>
    <n v="0"/>
    <x v="54"/>
    <n v="1"/>
    <n v="2"/>
    <s v="C.A. 34651"/>
    <n v="27.75"/>
    <s v=""/>
    <x v="0"/>
    <n v="1"/>
    <n v="0"/>
    <n v="0"/>
    <x v="0"/>
    <n v="0"/>
    <n v="0"/>
    <n v="1"/>
    <n v="0"/>
    <n v="0"/>
  </r>
  <r>
    <n v="452"/>
    <x v="0"/>
    <n v="3"/>
    <s v="Hagland, Mr. Ingvald Olai Olsen"/>
    <n v="0"/>
    <x v="4"/>
    <n v="1"/>
    <n v="0"/>
    <s v="65303"/>
    <n v="19.966699999999999"/>
    <s v=""/>
    <x v="0"/>
    <n v="1"/>
    <n v="0"/>
    <n v="0"/>
    <x v="0"/>
    <n v="0"/>
    <n v="0"/>
    <n v="1"/>
    <n v="0"/>
    <n v="0"/>
  </r>
  <r>
    <n v="453"/>
    <x v="0"/>
    <n v="1"/>
    <s v="Foreman, Mr. Benjamin Laventall"/>
    <n v="0"/>
    <x v="37"/>
    <n v="0"/>
    <n v="0"/>
    <s v="113051"/>
    <n v="27.75"/>
    <s v="C111"/>
    <x v="1"/>
    <n v="0"/>
    <n v="1"/>
    <n v="0"/>
    <x v="0"/>
    <n v="0"/>
    <n v="0"/>
    <n v="1"/>
    <n v="0"/>
    <n v="0"/>
  </r>
  <r>
    <n v="454"/>
    <x v="1"/>
    <n v="1"/>
    <s v="Goldenberg, Mr. Samuel L"/>
    <n v="0"/>
    <x v="27"/>
    <n v="1"/>
    <n v="0"/>
    <s v="17453"/>
    <n v="89.104200000000006"/>
    <s v="C92"/>
    <x v="1"/>
    <n v="0"/>
    <n v="1"/>
    <n v="0"/>
    <x v="0"/>
    <n v="0"/>
    <n v="0"/>
    <n v="1"/>
    <n v="0"/>
    <n v="0"/>
  </r>
  <r>
    <n v="455"/>
    <x v="0"/>
    <n v="3"/>
    <s v="Peduzzi, Mr. Joseph"/>
    <n v="0"/>
    <x v="4"/>
    <n v="0"/>
    <n v="0"/>
    <s v="A/5 2817"/>
    <n v="8.0500000000000007"/>
    <s v=""/>
    <x v="0"/>
    <n v="1"/>
    <n v="0"/>
    <n v="0"/>
    <x v="0"/>
    <n v="0"/>
    <n v="0"/>
    <n v="1"/>
    <n v="0"/>
    <n v="0"/>
  </r>
  <r>
    <n v="456"/>
    <x v="1"/>
    <n v="3"/>
    <s v="Jalsevac, Mr. Ivan"/>
    <n v="0"/>
    <x v="28"/>
    <n v="0"/>
    <n v="0"/>
    <s v="349240"/>
    <n v="7.8958000000000004"/>
    <s v=""/>
    <x v="1"/>
    <n v="0"/>
    <n v="1"/>
    <n v="0"/>
    <x v="0"/>
    <n v="0"/>
    <n v="0"/>
    <n v="1"/>
    <n v="0"/>
    <n v="0"/>
  </r>
  <r>
    <n v="457"/>
    <x v="0"/>
    <n v="1"/>
    <s v="Millet, Mr. Francis Davis"/>
    <n v="0"/>
    <x v="29"/>
    <n v="0"/>
    <n v="0"/>
    <s v="13509"/>
    <n v="26.55"/>
    <s v="E38"/>
    <x v="0"/>
    <n v="1"/>
    <n v="0"/>
    <n v="0"/>
    <x v="0"/>
    <n v="0"/>
    <n v="0"/>
    <n v="1"/>
    <n v="0"/>
    <n v="0"/>
  </r>
  <r>
    <n v="458"/>
    <x v="1"/>
    <n v="1"/>
    <s v="Kenyon, Mrs. Frederick R (Marion)"/>
    <n v="1"/>
    <x v="4"/>
    <n v="1"/>
    <n v="0"/>
    <s v="17464"/>
    <n v="51.862499999999997"/>
    <s v="D21"/>
    <x v="0"/>
    <n v="1"/>
    <n v="0"/>
    <n v="0"/>
    <x v="1"/>
    <n v="0"/>
    <n v="1"/>
    <n v="0"/>
    <n v="0"/>
    <n v="0"/>
  </r>
  <r>
    <n v="459"/>
    <x v="1"/>
    <n v="2"/>
    <s v="Toomey, Miss. Ellen"/>
    <n v="1"/>
    <x v="53"/>
    <n v="0"/>
    <n v="0"/>
    <s v="F.C.C. 13531"/>
    <n v="10.5"/>
    <s v=""/>
    <x v="0"/>
    <n v="1"/>
    <n v="0"/>
    <n v="0"/>
    <x v="2"/>
    <n v="1"/>
    <n v="0"/>
    <n v="0"/>
    <n v="0"/>
    <n v="0"/>
  </r>
  <r>
    <n v="460"/>
    <x v="0"/>
    <n v="3"/>
    <s v="O'Connor, Mr. Maurice"/>
    <n v="0"/>
    <x v="4"/>
    <n v="0"/>
    <n v="0"/>
    <s v="371060"/>
    <n v="7.75"/>
    <s v=""/>
    <x v="2"/>
    <n v="0"/>
    <n v="0"/>
    <n v="1"/>
    <x v="0"/>
    <n v="0"/>
    <n v="0"/>
    <n v="1"/>
    <n v="0"/>
    <n v="0"/>
  </r>
  <r>
    <n v="461"/>
    <x v="1"/>
    <n v="1"/>
    <s v="Anderson, Mr. Harry"/>
    <n v="0"/>
    <x v="64"/>
    <n v="0"/>
    <n v="0"/>
    <s v="19952"/>
    <n v="26.55"/>
    <s v="E12"/>
    <x v="0"/>
    <n v="1"/>
    <n v="0"/>
    <n v="0"/>
    <x v="0"/>
    <n v="0"/>
    <n v="0"/>
    <n v="1"/>
    <n v="0"/>
    <n v="0"/>
  </r>
  <r>
    <n v="462"/>
    <x v="0"/>
    <n v="3"/>
    <s v="Morley, Mr. William"/>
    <n v="0"/>
    <x v="15"/>
    <n v="0"/>
    <n v="0"/>
    <s v="364506"/>
    <n v="8.0500000000000007"/>
    <s v=""/>
    <x v="0"/>
    <n v="1"/>
    <n v="0"/>
    <n v="0"/>
    <x v="0"/>
    <n v="0"/>
    <n v="0"/>
    <n v="1"/>
    <n v="0"/>
    <n v="0"/>
  </r>
  <r>
    <n v="463"/>
    <x v="0"/>
    <n v="1"/>
    <s v="Gee, Mr. Arthur H"/>
    <n v="0"/>
    <x v="45"/>
    <n v="0"/>
    <n v="0"/>
    <s v="111320"/>
    <n v="38.5"/>
    <s v="E63"/>
    <x v="0"/>
    <n v="1"/>
    <n v="0"/>
    <n v="0"/>
    <x v="0"/>
    <n v="0"/>
    <n v="0"/>
    <n v="1"/>
    <n v="0"/>
    <n v="0"/>
  </r>
  <r>
    <n v="464"/>
    <x v="0"/>
    <n v="2"/>
    <s v="Milling, Mr. Jacob Christian"/>
    <n v="0"/>
    <x v="64"/>
    <n v="0"/>
    <n v="0"/>
    <s v="234360"/>
    <n v="13"/>
    <s v=""/>
    <x v="0"/>
    <n v="1"/>
    <n v="0"/>
    <n v="0"/>
    <x v="0"/>
    <n v="0"/>
    <n v="0"/>
    <n v="1"/>
    <n v="0"/>
    <n v="0"/>
  </r>
  <r>
    <n v="465"/>
    <x v="0"/>
    <n v="3"/>
    <s v="Maisner, Mr. Simon"/>
    <n v="0"/>
    <x v="4"/>
    <n v="0"/>
    <n v="0"/>
    <s v="A/S 2816"/>
    <n v="8.0500000000000007"/>
    <s v=""/>
    <x v="0"/>
    <n v="1"/>
    <n v="0"/>
    <n v="0"/>
    <x v="0"/>
    <n v="0"/>
    <n v="0"/>
    <n v="1"/>
    <n v="0"/>
    <n v="0"/>
  </r>
  <r>
    <n v="466"/>
    <x v="0"/>
    <n v="3"/>
    <s v="Goncalves, Mr. Manuel Estanslas"/>
    <n v="0"/>
    <x v="1"/>
    <n v="0"/>
    <n v="0"/>
    <s v="SOTON/O.Q. 3101306"/>
    <n v="7.05"/>
    <s v=""/>
    <x v="0"/>
    <n v="1"/>
    <n v="0"/>
    <n v="0"/>
    <x v="0"/>
    <n v="0"/>
    <n v="0"/>
    <n v="1"/>
    <n v="0"/>
    <n v="0"/>
  </r>
  <r>
    <n v="467"/>
    <x v="0"/>
    <n v="2"/>
    <s v="Campbell, Mr. William"/>
    <n v="0"/>
    <x v="4"/>
    <n v="0"/>
    <n v="0"/>
    <s v="239853"/>
    <n v="0"/>
    <s v=""/>
    <x v="0"/>
    <n v="1"/>
    <n v="0"/>
    <n v="0"/>
    <x v="0"/>
    <n v="0"/>
    <n v="0"/>
    <n v="1"/>
    <n v="0"/>
    <n v="0"/>
  </r>
  <r>
    <n v="468"/>
    <x v="0"/>
    <n v="1"/>
    <s v="Smart, Mr. John Montgomery"/>
    <n v="0"/>
    <x v="52"/>
    <n v="0"/>
    <n v="0"/>
    <s v="113792"/>
    <n v="26.55"/>
    <s v=""/>
    <x v="0"/>
    <n v="1"/>
    <n v="0"/>
    <n v="0"/>
    <x v="0"/>
    <n v="0"/>
    <n v="0"/>
    <n v="1"/>
    <n v="0"/>
    <n v="0"/>
  </r>
  <r>
    <n v="469"/>
    <x v="0"/>
    <n v="3"/>
    <s v="Scanlan, Mr. James"/>
    <n v="0"/>
    <x v="4"/>
    <n v="0"/>
    <n v="0"/>
    <s v="36209"/>
    <n v="7.7249999999999996"/>
    <s v=""/>
    <x v="2"/>
    <n v="0"/>
    <n v="0"/>
    <n v="1"/>
    <x v="0"/>
    <n v="0"/>
    <n v="0"/>
    <n v="1"/>
    <n v="0"/>
    <n v="0"/>
  </r>
  <r>
    <n v="470"/>
    <x v="1"/>
    <n v="3"/>
    <s v="Baclini, Miss. Helene Barbara"/>
    <n v="1"/>
    <x v="4"/>
    <n v="2"/>
    <n v="1"/>
    <s v="2666"/>
    <n v="19.258299999999998"/>
    <s v=""/>
    <x v="1"/>
    <n v="0"/>
    <n v="1"/>
    <n v="0"/>
    <x v="2"/>
    <n v="1"/>
    <n v="0"/>
    <n v="0"/>
    <n v="0"/>
    <n v="0"/>
  </r>
  <r>
    <n v="471"/>
    <x v="0"/>
    <n v="3"/>
    <s v="Keefe, Mr. Arthur"/>
    <n v="0"/>
    <x v="4"/>
    <n v="0"/>
    <n v="0"/>
    <s v="323592"/>
    <n v="7.25"/>
    <s v=""/>
    <x v="0"/>
    <n v="1"/>
    <n v="0"/>
    <n v="0"/>
    <x v="0"/>
    <n v="0"/>
    <n v="0"/>
    <n v="1"/>
    <n v="0"/>
    <n v="0"/>
  </r>
  <r>
    <n v="472"/>
    <x v="0"/>
    <n v="3"/>
    <s v="Cacic, Mr. Luka"/>
    <n v="0"/>
    <x v="1"/>
    <n v="0"/>
    <n v="0"/>
    <s v="315089"/>
    <n v="8.6624999999999996"/>
    <s v=""/>
    <x v="0"/>
    <n v="1"/>
    <n v="0"/>
    <n v="0"/>
    <x v="0"/>
    <n v="0"/>
    <n v="0"/>
    <n v="1"/>
    <n v="0"/>
    <n v="0"/>
  </r>
  <r>
    <n v="473"/>
    <x v="1"/>
    <n v="2"/>
    <s v="West, Mrs. Edwy Arthur (Ada Mary Worth)"/>
    <n v="1"/>
    <x v="38"/>
    <n v="1"/>
    <n v="2"/>
    <s v="C.A. 34651"/>
    <n v="27.75"/>
    <s v=""/>
    <x v="0"/>
    <n v="1"/>
    <n v="0"/>
    <n v="0"/>
    <x v="1"/>
    <n v="0"/>
    <n v="1"/>
    <n v="0"/>
    <n v="0"/>
    <n v="0"/>
  </r>
  <r>
    <n v="474"/>
    <x v="1"/>
    <n v="2"/>
    <s v="Jerwan, Mrs. Amin S (Marie Marthe Thuillard)"/>
    <n v="1"/>
    <x v="39"/>
    <n v="0"/>
    <n v="0"/>
    <s v="SC/AH Basle 541"/>
    <n v="13.791700000000001"/>
    <s v="D"/>
    <x v="1"/>
    <n v="0"/>
    <n v="1"/>
    <n v="0"/>
    <x v="1"/>
    <n v="0"/>
    <n v="1"/>
    <n v="0"/>
    <n v="0"/>
    <n v="0"/>
  </r>
  <r>
    <n v="475"/>
    <x v="0"/>
    <n v="3"/>
    <s v="Strandberg, Miss. Ida Sofia"/>
    <n v="1"/>
    <x v="0"/>
    <n v="0"/>
    <n v="0"/>
    <s v="7553"/>
    <n v="9.8375000000000004"/>
    <s v=""/>
    <x v="0"/>
    <n v="1"/>
    <n v="0"/>
    <n v="0"/>
    <x v="2"/>
    <n v="1"/>
    <n v="0"/>
    <n v="0"/>
    <n v="0"/>
    <n v="0"/>
  </r>
  <r>
    <n v="476"/>
    <x v="0"/>
    <n v="1"/>
    <s v="Clifford, Mr. George Quincy"/>
    <n v="0"/>
    <x v="4"/>
    <n v="0"/>
    <n v="0"/>
    <s v="110465"/>
    <n v="52"/>
    <s v="A14"/>
    <x v="0"/>
    <n v="1"/>
    <n v="0"/>
    <n v="0"/>
    <x v="0"/>
    <n v="0"/>
    <n v="0"/>
    <n v="1"/>
    <n v="0"/>
    <n v="0"/>
  </r>
  <r>
    <n v="477"/>
    <x v="0"/>
    <n v="2"/>
    <s v="Renouf, Mr. Peter Henry"/>
    <n v="0"/>
    <x v="15"/>
    <n v="1"/>
    <n v="0"/>
    <s v="31027"/>
    <n v="21"/>
    <s v=""/>
    <x v="0"/>
    <n v="1"/>
    <n v="0"/>
    <n v="0"/>
    <x v="0"/>
    <n v="0"/>
    <n v="0"/>
    <n v="1"/>
    <n v="0"/>
    <n v="0"/>
  </r>
  <r>
    <n v="478"/>
    <x v="0"/>
    <n v="3"/>
    <s v="Braund, Mr. Lewis Richard"/>
    <n v="0"/>
    <x v="28"/>
    <n v="1"/>
    <n v="0"/>
    <s v="3460"/>
    <n v="7.0457999999999998"/>
    <s v=""/>
    <x v="0"/>
    <n v="1"/>
    <n v="0"/>
    <n v="0"/>
    <x v="0"/>
    <n v="0"/>
    <n v="0"/>
    <n v="1"/>
    <n v="0"/>
    <n v="0"/>
  </r>
  <r>
    <n v="479"/>
    <x v="0"/>
    <n v="3"/>
    <s v="Karlsson, Mr. Nils August"/>
    <n v="0"/>
    <x v="0"/>
    <n v="0"/>
    <n v="0"/>
    <s v="350060"/>
    <n v="7.5208000000000004"/>
    <s v=""/>
    <x v="0"/>
    <n v="1"/>
    <n v="0"/>
    <n v="0"/>
    <x v="0"/>
    <n v="0"/>
    <n v="0"/>
    <n v="1"/>
    <n v="0"/>
    <n v="0"/>
  </r>
  <r>
    <n v="480"/>
    <x v="1"/>
    <n v="3"/>
    <s v="Hirvonen, Miss. Hildur E"/>
    <n v="1"/>
    <x v="6"/>
    <n v="0"/>
    <n v="1"/>
    <s v="3101298"/>
    <n v="12.2875"/>
    <s v=""/>
    <x v="0"/>
    <n v="1"/>
    <n v="0"/>
    <n v="0"/>
    <x v="2"/>
    <n v="1"/>
    <n v="0"/>
    <n v="0"/>
    <n v="0"/>
    <n v="0"/>
  </r>
  <r>
    <n v="481"/>
    <x v="0"/>
    <n v="3"/>
    <s v="Goodwin, Master. Harold Victor"/>
    <n v="0"/>
    <x v="47"/>
    <n v="5"/>
    <n v="2"/>
    <s v="CA 2144"/>
    <n v="46.9"/>
    <s v=""/>
    <x v="0"/>
    <n v="1"/>
    <n v="0"/>
    <n v="0"/>
    <x v="3"/>
    <n v="0"/>
    <n v="0"/>
    <n v="0"/>
    <n v="1"/>
    <n v="0"/>
  </r>
  <r>
    <n v="482"/>
    <x v="0"/>
    <n v="2"/>
    <s v="Frost, Mr. Anthony Wood &quot;Archie&quot;"/>
    <n v="0"/>
    <x v="4"/>
    <n v="0"/>
    <n v="0"/>
    <s v="239854"/>
    <n v="0"/>
    <s v=""/>
    <x v="0"/>
    <n v="1"/>
    <n v="0"/>
    <n v="0"/>
    <x v="0"/>
    <n v="0"/>
    <n v="0"/>
    <n v="1"/>
    <n v="0"/>
    <n v="0"/>
  </r>
  <r>
    <n v="483"/>
    <x v="0"/>
    <n v="3"/>
    <s v="Rouse, Mr. Richard Henry"/>
    <n v="0"/>
    <x v="53"/>
    <n v="0"/>
    <n v="0"/>
    <s v="A/5 3594"/>
    <n v="8.0500000000000007"/>
    <s v=""/>
    <x v="0"/>
    <n v="1"/>
    <n v="0"/>
    <n v="0"/>
    <x v="0"/>
    <n v="0"/>
    <n v="0"/>
    <n v="1"/>
    <n v="0"/>
    <n v="0"/>
  </r>
  <r>
    <n v="484"/>
    <x v="1"/>
    <n v="3"/>
    <s v="Turkula, Mrs. (Hedwig)"/>
    <n v="1"/>
    <x v="58"/>
    <n v="0"/>
    <n v="0"/>
    <s v="4134"/>
    <n v="9.5875000000000004"/>
    <s v=""/>
    <x v="0"/>
    <n v="1"/>
    <n v="0"/>
    <n v="0"/>
    <x v="1"/>
    <n v="0"/>
    <n v="1"/>
    <n v="0"/>
    <n v="0"/>
    <n v="0"/>
  </r>
  <r>
    <n v="485"/>
    <x v="1"/>
    <n v="1"/>
    <s v="Bishop, Mr. Dickinson H"/>
    <n v="0"/>
    <x v="36"/>
    <n v="1"/>
    <n v="0"/>
    <s v="11967"/>
    <n v="91.0792"/>
    <s v="B49"/>
    <x v="1"/>
    <n v="0"/>
    <n v="1"/>
    <n v="0"/>
    <x v="0"/>
    <n v="0"/>
    <n v="0"/>
    <n v="1"/>
    <n v="0"/>
    <n v="0"/>
  </r>
  <r>
    <n v="486"/>
    <x v="0"/>
    <n v="3"/>
    <s v="Lefebre, Miss. Jeannie"/>
    <n v="1"/>
    <x v="4"/>
    <n v="3"/>
    <n v="1"/>
    <s v="4133"/>
    <n v="25.466699999999999"/>
    <s v=""/>
    <x v="0"/>
    <n v="1"/>
    <n v="0"/>
    <n v="0"/>
    <x v="2"/>
    <n v="1"/>
    <n v="0"/>
    <n v="0"/>
    <n v="0"/>
    <n v="0"/>
  </r>
  <r>
    <n v="487"/>
    <x v="1"/>
    <n v="1"/>
    <s v="Hoyt, Mrs. Frederick Maxfield (Jane Anne Forby)"/>
    <n v="1"/>
    <x v="3"/>
    <n v="1"/>
    <n v="0"/>
    <s v="19943"/>
    <n v="90"/>
    <s v="C93"/>
    <x v="0"/>
    <n v="1"/>
    <n v="0"/>
    <n v="0"/>
    <x v="1"/>
    <n v="0"/>
    <n v="1"/>
    <n v="0"/>
    <n v="0"/>
    <n v="0"/>
  </r>
  <r>
    <n v="488"/>
    <x v="0"/>
    <n v="1"/>
    <s v="Kent, Mr. Edward Austin"/>
    <n v="0"/>
    <x v="10"/>
    <n v="0"/>
    <n v="0"/>
    <s v="11771"/>
    <n v="29.7"/>
    <s v="B37"/>
    <x v="1"/>
    <n v="0"/>
    <n v="1"/>
    <n v="0"/>
    <x v="0"/>
    <n v="0"/>
    <n v="0"/>
    <n v="1"/>
    <n v="0"/>
    <n v="0"/>
  </r>
  <r>
    <n v="489"/>
    <x v="0"/>
    <n v="3"/>
    <s v="Somerton, Mr. Francis William"/>
    <n v="0"/>
    <x v="37"/>
    <n v="0"/>
    <n v="0"/>
    <s v="A.5. 18509"/>
    <n v="8.0500000000000007"/>
    <s v=""/>
    <x v="0"/>
    <n v="1"/>
    <n v="0"/>
    <n v="0"/>
    <x v="0"/>
    <n v="0"/>
    <n v="0"/>
    <n v="1"/>
    <n v="0"/>
    <n v="0"/>
  </r>
  <r>
    <n v="490"/>
    <x v="1"/>
    <n v="3"/>
    <s v="Coutts, Master. Eden Leslie &quot;Neville&quot;"/>
    <n v="0"/>
    <x v="47"/>
    <n v="1"/>
    <n v="1"/>
    <s v="C.A. 37671"/>
    <n v="15.9"/>
    <s v=""/>
    <x v="0"/>
    <n v="1"/>
    <n v="0"/>
    <n v="0"/>
    <x v="3"/>
    <n v="0"/>
    <n v="0"/>
    <n v="0"/>
    <n v="1"/>
    <n v="0"/>
  </r>
  <r>
    <n v="491"/>
    <x v="0"/>
    <n v="3"/>
    <s v="Hagland, Mr. Konrad Mathias Reiersen"/>
    <n v="0"/>
    <x v="4"/>
    <n v="1"/>
    <n v="0"/>
    <s v="65304"/>
    <n v="19.966699999999999"/>
    <s v=""/>
    <x v="0"/>
    <n v="1"/>
    <n v="0"/>
    <n v="0"/>
    <x v="0"/>
    <n v="0"/>
    <n v="0"/>
    <n v="1"/>
    <n v="0"/>
    <n v="0"/>
  </r>
  <r>
    <n v="492"/>
    <x v="0"/>
    <n v="3"/>
    <s v="Windelov, Mr. Einar"/>
    <n v="0"/>
    <x v="23"/>
    <n v="0"/>
    <n v="0"/>
    <s v="SOTON/OQ 3101317"/>
    <n v="7.25"/>
    <s v=""/>
    <x v="0"/>
    <n v="1"/>
    <n v="0"/>
    <n v="0"/>
    <x v="0"/>
    <n v="0"/>
    <n v="0"/>
    <n v="1"/>
    <n v="0"/>
    <n v="0"/>
  </r>
  <r>
    <n v="493"/>
    <x v="0"/>
    <n v="1"/>
    <s v="Molson, Mr. Harry Markland"/>
    <n v="0"/>
    <x v="13"/>
    <n v="0"/>
    <n v="0"/>
    <s v="113787"/>
    <n v="30.5"/>
    <s v="C30"/>
    <x v="0"/>
    <n v="1"/>
    <n v="0"/>
    <n v="0"/>
    <x v="0"/>
    <n v="0"/>
    <n v="0"/>
    <n v="1"/>
    <n v="0"/>
    <n v="0"/>
  </r>
  <r>
    <n v="494"/>
    <x v="0"/>
    <n v="1"/>
    <s v="Artagaveytia, Mr. Ramon"/>
    <n v="0"/>
    <x v="43"/>
    <n v="0"/>
    <n v="0"/>
    <s v="PC 17609"/>
    <n v="49.504199999999997"/>
    <s v=""/>
    <x v="1"/>
    <n v="0"/>
    <n v="1"/>
    <n v="0"/>
    <x v="0"/>
    <n v="0"/>
    <n v="0"/>
    <n v="1"/>
    <n v="0"/>
    <n v="0"/>
  </r>
  <r>
    <n v="495"/>
    <x v="0"/>
    <n v="3"/>
    <s v="Stanley, Mr. Edward Roland"/>
    <n v="0"/>
    <x v="23"/>
    <n v="0"/>
    <n v="0"/>
    <s v="A/4 45380"/>
    <n v="8.0500000000000007"/>
    <s v=""/>
    <x v="0"/>
    <n v="1"/>
    <n v="0"/>
    <n v="0"/>
    <x v="0"/>
    <n v="0"/>
    <n v="0"/>
    <n v="1"/>
    <n v="0"/>
    <n v="0"/>
  </r>
  <r>
    <n v="496"/>
    <x v="0"/>
    <n v="3"/>
    <s v="Yousseff, Mr. Gerious"/>
    <n v="0"/>
    <x v="4"/>
    <n v="0"/>
    <n v="0"/>
    <s v="2627"/>
    <n v="14.458299999999999"/>
    <s v=""/>
    <x v="1"/>
    <n v="0"/>
    <n v="1"/>
    <n v="0"/>
    <x v="0"/>
    <n v="0"/>
    <n v="0"/>
    <n v="1"/>
    <n v="0"/>
    <n v="0"/>
  </r>
  <r>
    <n v="497"/>
    <x v="1"/>
    <n v="1"/>
    <s v="Eustis, Miss. Elizabeth Mussey"/>
    <n v="1"/>
    <x v="5"/>
    <n v="1"/>
    <n v="0"/>
    <s v="36947"/>
    <n v="78.2667"/>
    <s v="D20"/>
    <x v="1"/>
    <n v="0"/>
    <n v="1"/>
    <n v="0"/>
    <x v="2"/>
    <n v="1"/>
    <n v="0"/>
    <n v="0"/>
    <n v="0"/>
    <n v="0"/>
  </r>
  <r>
    <n v="498"/>
    <x v="0"/>
    <n v="3"/>
    <s v="Shellard, Mr. Frederick William"/>
    <n v="0"/>
    <x v="4"/>
    <n v="0"/>
    <n v="0"/>
    <s v="C.A. 6212"/>
    <n v="15.1"/>
    <s v=""/>
    <x v="0"/>
    <n v="1"/>
    <n v="0"/>
    <n v="0"/>
    <x v="0"/>
    <n v="0"/>
    <n v="0"/>
    <n v="1"/>
    <n v="0"/>
    <n v="0"/>
  </r>
  <r>
    <n v="499"/>
    <x v="0"/>
    <n v="1"/>
    <s v="Allison, Mrs. Hudson J C (Bessie Waldo Daniels)"/>
    <n v="1"/>
    <x v="36"/>
    <n v="1"/>
    <n v="2"/>
    <s v="113781"/>
    <n v="151.55000000000001"/>
    <s v="C22 C26"/>
    <x v="0"/>
    <n v="1"/>
    <n v="0"/>
    <n v="0"/>
    <x v="1"/>
    <n v="0"/>
    <n v="1"/>
    <n v="0"/>
    <n v="0"/>
    <n v="0"/>
  </r>
  <r>
    <n v="500"/>
    <x v="0"/>
    <n v="3"/>
    <s v="Svensson, Mr. Olof"/>
    <n v="0"/>
    <x v="40"/>
    <n v="0"/>
    <n v="0"/>
    <s v="350035"/>
    <n v="7.7957999999999998"/>
    <s v=""/>
    <x v="0"/>
    <n v="1"/>
    <n v="0"/>
    <n v="0"/>
    <x v="0"/>
    <n v="0"/>
    <n v="0"/>
    <n v="1"/>
    <n v="0"/>
    <n v="0"/>
  </r>
  <r>
    <n v="501"/>
    <x v="0"/>
    <n v="3"/>
    <s v="Calic, Mr. Petar"/>
    <n v="0"/>
    <x v="33"/>
    <n v="0"/>
    <n v="0"/>
    <s v="315086"/>
    <n v="8.6624999999999996"/>
    <s v=""/>
    <x v="0"/>
    <n v="1"/>
    <n v="0"/>
    <n v="0"/>
    <x v="0"/>
    <n v="0"/>
    <n v="0"/>
    <n v="1"/>
    <n v="0"/>
    <n v="0"/>
  </r>
  <r>
    <n v="502"/>
    <x v="0"/>
    <n v="3"/>
    <s v="Canavan, Miss. Mary"/>
    <n v="1"/>
    <x v="23"/>
    <n v="0"/>
    <n v="0"/>
    <s v="364846"/>
    <n v="7.75"/>
    <s v=""/>
    <x v="2"/>
    <n v="0"/>
    <n v="0"/>
    <n v="1"/>
    <x v="2"/>
    <n v="1"/>
    <n v="0"/>
    <n v="0"/>
    <n v="0"/>
    <n v="0"/>
  </r>
  <r>
    <n v="503"/>
    <x v="0"/>
    <n v="3"/>
    <s v="O'Sullivan, Miss. Bridget Mary"/>
    <n v="1"/>
    <x v="4"/>
    <n v="0"/>
    <n v="0"/>
    <s v="330909"/>
    <n v="7.6292"/>
    <s v=""/>
    <x v="2"/>
    <n v="0"/>
    <n v="0"/>
    <n v="1"/>
    <x v="2"/>
    <n v="1"/>
    <n v="0"/>
    <n v="0"/>
    <n v="0"/>
    <n v="0"/>
  </r>
  <r>
    <n v="504"/>
    <x v="0"/>
    <n v="3"/>
    <s v="Laitinen, Miss. Kristina Sofia"/>
    <n v="1"/>
    <x v="44"/>
    <n v="0"/>
    <n v="0"/>
    <s v="4135"/>
    <n v="9.5875000000000004"/>
    <s v=""/>
    <x v="0"/>
    <n v="1"/>
    <n v="0"/>
    <n v="0"/>
    <x v="2"/>
    <n v="1"/>
    <n v="0"/>
    <n v="0"/>
    <n v="0"/>
    <n v="0"/>
  </r>
  <r>
    <n v="505"/>
    <x v="1"/>
    <n v="1"/>
    <s v="Maioni, Miss. Roberta"/>
    <n v="1"/>
    <x v="35"/>
    <n v="0"/>
    <n v="0"/>
    <s v="110152"/>
    <n v="86.5"/>
    <s v="B79"/>
    <x v="0"/>
    <n v="1"/>
    <n v="0"/>
    <n v="0"/>
    <x v="2"/>
    <n v="1"/>
    <n v="0"/>
    <n v="0"/>
    <n v="0"/>
    <n v="0"/>
  </r>
  <r>
    <n v="506"/>
    <x v="0"/>
    <n v="1"/>
    <s v="Penasco y Castellana, Mr. Victor de Satode"/>
    <n v="0"/>
    <x v="24"/>
    <n v="1"/>
    <n v="0"/>
    <s v="PC 17758"/>
    <n v="108.9"/>
    <s v="C65"/>
    <x v="1"/>
    <n v="0"/>
    <n v="1"/>
    <n v="0"/>
    <x v="0"/>
    <n v="0"/>
    <n v="0"/>
    <n v="1"/>
    <n v="0"/>
    <n v="0"/>
  </r>
  <r>
    <n v="507"/>
    <x v="1"/>
    <n v="2"/>
    <s v="Quick, Mrs. Frederick Charles (Jane Richards)"/>
    <n v="1"/>
    <x v="38"/>
    <n v="0"/>
    <n v="2"/>
    <s v="26360"/>
    <n v="26"/>
    <s v=""/>
    <x v="0"/>
    <n v="1"/>
    <n v="0"/>
    <n v="0"/>
    <x v="1"/>
    <n v="0"/>
    <n v="1"/>
    <n v="0"/>
    <n v="0"/>
    <n v="0"/>
  </r>
  <r>
    <n v="508"/>
    <x v="1"/>
    <n v="1"/>
    <s v="Bradley, Mr. George (&quot;George Arthur Brayton&quot;)"/>
    <n v="0"/>
    <x v="4"/>
    <n v="0"/>
    <n v="0"/>
    <s v="111427"/>
    <n v="26.55"/>
    <s v=""/>
    <x v="0"/>
    <n v="1"/>
    <n v="0"/>
    <n v="0"/>
    <x v="0"/>
    <n v="0"/>
    <n v="0"/>
    <n v="1"/>
    <n v="0"/>
    <n v="0"/>
  </r>
  <r>
    <n v="509"/>
    <x v="0"/>
    <n v="3"/>
    <s v="Olsen, Mr. Henry Margido"/>
    <n v="0"/>
    <x v="17"/>
    <n v="0"/>
    <n v="0"/>
    <s v="C 4001"/>
    <n v="22.524999999999999"/>
    <s v=""/>
    <x v="0"/>
    <n v="1"/>
    <n v="0"/>
    <n v="0"/>
    <x v="0"/>
    <n v="0"/>
    <n v="0"/>
    <n v="1"/>
    <n v="0"/>
    <n v="0"/>
  </r>
  <r>
    <n v="510"/>
    <x v="1"/>
    <n v="3"/>
    <s v="Lang, Mr. Fang"/>
    <n v="0"/>
    <x v="2"/>
    <n v="0"/>
    <n v="0"/>
    <s v="1601"/>
    <n v="56.495800000000003"/>
    <s v=""/>
    <x v="0"/>
    <n v="1"/>
    <n v="0"/>
    <n v="0"/>
    <x v="0"/>
    <n v="0"/>
    <n v="0"/>
    <n v="1"/>
    <n v="0"/>
    <n v="0"/>
  </r>
  <r>
    <n v="511"/>
    <x v="1"/>
    <n v="3"/>
    <s v="Daly, Mr. Eugene Patrick"/>
    <n v="0"/>
    <x v="28"/>
    <n v="0"/>
    <n v="0"/>
    <s v="382651"/>
    <n v="7.75"/>
    <s v=""/>
    <x v="2"/>
    <n v="0"/>
    <n v="0"/>
    <n v="1"/>
    <x v="0"/>
    <n v="0"/>
    <n v="0"/>
    <n v="1"/>
    <n v="0"/>
    <n v="0"/>
  </r>
  <r>
    <n v="512"/>
    <x v="0"/>
    <n v="3"/>
    <s v="Webber, Mr. James"/>
    <n v="0"/>
    <x v="4"/>
    <n v="0"/>
    <n v="0"/>
    <s v="SOTON/OQ 3101316"/>
    <n v="8.0500000000000007"/>
    <s v=""/>
    <x v="0"/>
    <n v="1"/>
    <n v="0"/>
    <n v="0"/>
    <x v="0"/>
    <n v="0"/>
    <n v="0"/>
    <n v="1"/>
    <n v="0"/>
    <n v="0"/>
  </r>
  <r>
    <n v="513"/>
    <x v="1"/>
    <n v="1"/>
    <s v="McGough, Mr. James Robert"/>
    <n v="0"/>
    <x v="54"/>
    <n v="0"/>
    <n v="0"/>
    <s v="PC 17473"/>
    <n v="26.287500000000001"/>
    <s v="E25"/>
    <x v="0"/>
    <n v="1"/>
    <n v="0"/>
    <n v="0"/>
    <x v="0"/>
    <n v="0"/>
    <n v="0"/>
    <n v="1"/>
    <n v="0"/>
    <n v="0"/>
  </r>
  <r>
    <n v="514"/>
    <x v="1"/>
    <n v="1"/>
    <s v="Rothschild, Mrs. Martin (Elizabeth L. Barrett)"/>
    <n v="1"/>
    <x v="5"/>
    <n v="1"/>
    <n v="0"/>
    <s v="PC 17603"/>
    <n v="59.4"/>
    <s v=""/>
    <x v="1"/>
    <n v="0"/>
    <n v="1"/>
    <n v="0"/>
    <x v="1"/>
    <n v="0"/>
    <n v="1"/>
    <n v="0"/>
    <n v="0"/>
    <n v="0"/>
  </r>
  <r>
    <n v="515"/>
    <x v="0"/>
    <n v="3"/>
    <s v="Coleff, Mr. Satio"/>
    <n v="0"/>
    <x v="40"/>
    <n v="0"/>
    <n v="0"/>
    <s v="349209"/>
    <n v="7.4958"/>
    <s v=""/>
    <x v="0"/>
    <n v="1"/>
    <n v="0"/>
    <n v="0"/>
    <x v="0"/>
    <n v="0"/>
    <n v="0"/>
    <n v="1"/>
    <n v="0"/>
    <n v="0"/>
  </r>
  <r>
    <n v="516"/>
    <x v="0"/>
    <n v="1"/>
    <s v="Walker, Mr. William Anderson"/>
    <n v="0"/>
    <x v="45"/>
    <n v="0"/>
    <n v="0"/>
    <s v="36967"/>
    <n v="34.020800000000001"/>
    <s v="D46"/>
    <x v="0"/>
    <n v="1"/>
    <n v="0"/>
    <n v="0"/>
    <x v="0"/>
    <n v="0"/>
    <n v="0"/>
    <n v="1"/>
    <n v="0"/>
    <n v="0"/>
  </r>
  <r>
    <n v="517"/>
    <x v="1"/>
    <n v="2"/>
    <s v="Lemore, Mrs. (Amelia Milley)"/>
    <n v="1"/>
    <x v="15"/>
    <n v="0"/>
    <n v="0"/>
    <s v="C.A. 34260"/>
    <n v="10.5"/>
    <s v="F33"/>
    <x v="0"/>
    <n v="1"/>
    <n v="0"/>
    <n v="0"/>
    <x v="1"/>
    <n v="0"/>
    <n v="1"/>
    <n v="0"/>
    <n v="0"/>
    <n v="0"/>
  </r>
  <r>
    <n v="518"/>
    <x v="0"/>
    <n v="3"/>
    <s v="Ryan, Mr. Patrick"/>
    <n v="0"/>
    <x v="4"/>
    <n v="0"/>
    <n v="0"/>
    <s v="371110"/>
    <n v="24.15"/>
    <s v=""/>
    <x v="2"/>
    <n v="0"/>
    <n v="0"/>
    <n v="1"/>
    <x v="0"/>
    <n v="0"/>
    <n v="0"/>
    <n v="1"/>
    <n v="0"/>
    <n v="0"/>
  </r>
  <r>
    <n v="519"/>
    <x v="1"/>
    <n v="2"/>
    <s v="Angle, Mrs. William A (Florence &quot;Mary&quot; Agnes Hughes)"/>
    <n v="1"/>
    <x v="54"/>
    <n v="1"/>
    <n v="0"/>
    <s v="226875"/>
    <n v="26"/>
    <s v=""/>
    <x v="0"/>
    <n v="1"/>
    <n v="0"/>
    <n v="0"/>
    <x v="1"/>
    <n v="0"/>
    <n v="1"/>
    <n v="0"/>
    <n v="0"/>
    <n v="0"/>
  </r>
  <r>
    <n v="520"/>
    <x v="0"/>
    <n v="3"/>
    <s v="Pavlovic, Mr. Stefo"/>
    <n v="0"/>
    <x v="34"/>
    <n v="0"/>
    <n v="0"/>
    <s v="349242"/>
    <n v="7.8958000000000004"/>
    <s v=""/>
    <x v="0"/>
    <n v="1"/>
    <n v="0"/>
    <n v="0"/>
    <x v="0"/>
    <n v="0"/>
    <n v="0"/>
    <n v="1"/>
    <n v="0"/>
    <n v="0"/>
  </r>
  <r>
    <n v="521"/>
    <x v="1"/>
    <n v="1"/>
    <s v="Perreault, Miss. Anne"/>
    <n v="1"/>
    <x v="37"/>
    <n v="0"/>
    <n v="0"/>
    <s v="12749"/>
    <n v="93.5"/>
    <s v="B73"/>
    <x v="0"/>
    <n v="1"/>
    <n v="0"/>
    <n v="0"/>
    <x v="2"/>
    <n v="1"/>
    <n v="0"/>
    <n v="0"/>
    <n v="0"/>
    <n v="0"/>
  </r>
  <r>
    <n v="522"/>
    <x v="0"/>
    <n v="3"/>
    <s v="Vovk, Mr. Janko"/>
    <n v="0"/>
    <x v="0"/>
    <n v="0"/>
    <n v="0"/>
    <s v="349252"/>
    <n v="7.8958000000000004"/>
    <s v=""/>
    <x v="0"/>
    <n v="1"/>
    <n v="0"/>
    <n v="0"/>
    <x v="0"/>
    <n v="0"/>
    <n v="0"/>
    <n v="1"/>
    <n v="0"/>
    <n v="0"/>
  </r>
  <r>
    <n v="523"/>
    <x v="0"/>
    <n v="3"/>
    <s v="Lahoud, Mr. Sarkis"/>
    <n v="0"/>
    <x v="4"/>
    <n v="0"/>
    <n v="0"/>
    <s v="2624"/>
    <n v="7.2249999999999996"/>
    <s v=""/>
    <x v="1"/>
    <n v="0"/>
    <n v="1"/>
    <n v="0"/>
    <x v="0"/>
    <n v="0"/>
    <n v="0"/>
    <n v="1"/>
    <n v="0"/>
    <n v="0"/>
  </r>
  <r>
    <n v="524"/>
    <x v="1"/>
    <n v="1"/>
    <s v="Hippach, Mrs. Louis Albert (Ida Sophia Fischer)"/>
    <n v="1"/>
    <x v="49"/>
    <n v="0"/>
    <n v="1"/>
    <s v="111361"/>
    <n v="57.979199999999999"/>
    <s v="B18"/>
    <x v="1"/>
    <n v="0"/>
    <n v="1"/>
    <n v="0"/>
    <x v="1"/>
    <n v="0"/>
    <n v="1"/>
    <n v="0"/>
    <n v="0"/>
    <n v="0"/>
  </r>
  <r>
    <n v="525"/>
    <x v="0"/>
    <n v="3"/>
    <s v="Kassem, Mr. Fared"/>
    <n v="0"/>
    <x v="4"/>
    <n v="0"/>
    <n v="0"/>
    <s v="2700"/>
    <n v="7.2291999999999996"/>
    <s v=""/>
    <x v="1"/>
    <n v="0"/>
    <n v="1"/>
    <n v="0"/>
    <x v="0"/>
    <n v="0"/>
    <n v="0"/>
    <n v="1"/>
    <n v="0"/>
    <n v="0"/>
  </r>
  <r>
    <n v="526"/>
    <x v="0"/>
    <n v="3"/>
    <s v="Farrell, Mr. James"/>
    <n v="0"/>
    <x v="4"/>
    <n v="0"/>
    <n v="0"/>
    <s v="367232"/>
    <n v="7.75"/>
    <s v=""/>
    <x v="2"/>
    <n v="0"/>
    <n v="0"/>
    <n v="1"/>
    <x v="0"/>
    <n v="0"/>
    <n v="0"/>
    <n v="1"/>
    <n v="0"/>
    <n v="0"/>
  </r>
  <r>
    <n v="527"/>
    <x v="1"/>
    <n v="2"/>
    <s v="Ridsdale, Miss. Lucy"/>
    <n v="1"/>
    <x v="53"/>
    <n v="0"/>
    <n v="0"/>
    <s v="W./C. 14258"/>
    <n v="10.5"/>
    <s v=""/>
    <x v="0"/>
    <n v="1"/>
    <n v="0"/>
    <n v="0"/>
    <x v="2"/>
    <n v="1"/>
    <n v="0"/>
    <n v="0"/>
    <n v="0"/>
    <n v="0"/>
  </r>
  <r>
    <n v="528"/>
    <x v="0"/>
    <n v="1"/>
    <s v="Farthing, Mr. John"/>
    <n v="0"/>
    <x v="4"/>
    <n v="0"/>
    <n v="0"/>
    <s v="PC 17483"/>
    <n v="221.7792"/>
    <s v="C95"/>
    <x v="0"/>
    <n v="1"/>
    <n v="0"/>
    <n v="0"/>
    <x v="0"/>
    <n v="0"/>
    <n v="0"/>
    <n v="1"/>
    <n v="0"/>
    <n v="0"/>
  </r>
  <r>
    <n v="529"/>
    <x v="0"/>
    <n v="3"/>
    <s v="Salonen, Mr. Johan Werner"/>
    <n v="0"/>
    <x v="12"/>
    <n v="0"/>
    <n v="0"/>
    <s v="3101296"/>
    <n v="7.9249999999999998"/>
    <s v=""/>
    <x v="0"/>
    <n v="1"/>
    <n v="0"/>
    <n v="0"/>
    <x v="0"/>
    <n v="0"/>
    <n v="0"/>
    <n v="1"/>
    <n v="0"/>
    <n v="0"/>
  </r>
  <r>
    <n v="530"/>
    <x v="0"/>
    <n v="2"/>
    <s v="Hocking, Mr. Richard George"/>
    <n v="0"/>
    <x v="39"/>
    <n v="2"/>
    <n v="1"/>
    <s v="29104"/>
    <n v="11.5"/>
    <s v=""/>
    <x v="0"/>
    <n v="1"/>
    <n v="0"/>
    <n v="0"/>
    <x v="0"/>
    <n v="0"/>
    <n v="0"/>
    <n v="1"/>
    <n v="0"/>
    <n v="0"/>
  </r>
  <r>
    <n v="531"/>
    <x v="1"/>
    <n v="2"/>
    <s v="Quick, Miss. Phyllis May"/>
    <n v="1"/>
    <x v="6"/>
    <n v="1"/>
    <n v="1"/>
    <s v="26360"/>
    <n v="26"/>
    <s v=""/>
    <x v="0"/>
    <n v="1"/>
    <n v="0"/>
    <n v="0"/>
    <x v="2"/>
    <n v="1"/>
    <n v="0"/>
    <n v="0"/>
    <n v="0"/>
    <n v="0"/>
  </r>
  <r>
    <n v="532"/>
    <x v="0"/>
    <n v="3"/>
    <s v="Toufik, Mr. Nakli"/>
    <n v="0"/>
    <x v="4"/>
    <n v="0"/>
    <n v="0"/>
    <s v="2641"/>
    <n v="7.2291999999999996"/>
    <s v=""/>
    <x v="1"/>
    <n v="0"/>
    <n v="1"/>
    <n v="0"/>
    <x v="0"/>
    <n v="0"/>
    <n v="0"/>
    <n v="1"/>
    <n v="0"/>
    <n v="0"/>
  </r>
  <r>
    <n v="533"/>
    <x v="0"/>
    <n v="3"/>
    <s v="Elias, Mr. Joseph Jr"/>
    <n v="0"/>
    <x v="33"/>
    <n v="1"/>
    <n v="1"/>
    <s v="2690"/>
    <n v="7.2291999999999996"/>
    <s v=""/>
    <x v="1"/>
    <n v="0"/>
    <n v="1"/>
    <n v="0"/>
    <x v="0"/>
    <n v="0"/>
    <n v="0"/>
    <n v="1"/>
    <n v="0"/>
    <n v="0"/>
  </r>
  <r>
    <n v="534"/>
    <x v="1"/>
    <n v="3"/>
    <s v="Peter, Mrs. Catherine (Catherine Rizk)"/>
    <n v="1"/>
    <x v="4"/>
    <n v="0"/>
    <n v="2"/>
    <s v="2668"/>
    <n v="22.3583"/>
    <s v=""/>
    <x v="1"/>
    <n v="0"/>
    <n v="1"/>
    <n v="0"/>
    <x v="1"/>
    <n v="0"/>
    <n v="1"/>
    <n v="0"/>
    <n v="0"/>
    <n v="0"/>
  </r>
  <r>
    <n v="535"/>
    <x v="0"/>
    <n v="3"/>
    <s v="Cacic, Miss. Marija"/>
    <n v="1"/>
    <x v="37"/>
    <n v="0"/>
    <n v="0"/>
    <s v="315084"/>
    <n v="8.6624999999999996"/>
    <s v=""/>
    <x v="0"/>
    <n v="1"/>
    <n v="0"/>
    <n v="0"/>
    <x v="2"/>
    <n v="1"/>
    <n v="0"/>
    <n v="0"/>
    <n v="0"/>
    <n v="0"/>
  </r>
  <r>
    <n v="536"/>
    <x v="1"/>
    <n v="2"/>
    <s v="Hart, Miss. Eva Miriam"/>
    <n v="1"/>
    <x v="26"/>
    <n v="0"/>
    <n v="2"/>
    <s v="F.C.C. 13529"/>
    <n v="26.25"/>
    <s v=""/>
    <x v="0"/>
    <n v="1"/>
    <n v="0"/>
    <n v="0"/>
    <x v="2"/>
    <n v="1"/>
    <n v="0"/>
    <n v="0"/>
    <n v="0"/>
    <n v="0"/>
  </r>
  <r>
    <n v="537"/>
    <x v="0"/>
    <n v="1"/>
    <s v="Butt, Major. Archibald Willingham"/>
    <n v="0"/>
    <x v="32"/>
    <n v="0"/>
    <n v="0"/>
    <s v="113050"/>
    <n v="26.55"/>
    <s v="B38"/>
    <x v="0"/>
    <n v="1"/>
    <n v="0"/>
    <n v="0"/>
    <x v="9"/>
    <n v="0"/>
    <n v="0"/>
    <n v="0"/>
    <n v="0"/>
    <n v="1"/>
  </r>
  <r>
    <n v="538"/>
    <x v="1"/>
    <n v="1"/>
    <s v="LeRoy, Miss. Bertha"/>
    <n v="1"/>
    <x v="37"/>
    <n v="0"/>
    <n v="0"/>
    <s v="PC 17761"/>
    <n v="106.425"/>
    <s v=""/>
    <x v="1"/>
    <n v="0"/>
    <n v="1"/>
    <n v="0"/>
    <x v="2"/>
    <n v="1"/>
    <n v="0"/>
    <n v="0"/>
    <n v="0"/>
    <n v="0"/>
  </r>
  <r>
    <n v="539"/>
    <x v="0"/>
    <n v="3"/>
    <s v="Risien, Mr. Samuel Beard"/>
    <n v="0"/>
    <x v="4"/>
    <n v="0"/>
    <n v="0"/>
    <s v="364498"/>
    <n v="14.5"/>
    <s v=""/>
    <x v="0"/>
    <n v="1"/>
    <n v="0"/>
    <n v="0"/>
    <x v="0"/>
    <n v="0"/>
    <n v="0"/>
    <n v="1"/>
    <n v="0"/>
    <n v="0"/>
  </r>
  <r>
    <n v="540"/>
    <x v="1"/>
    <n v="1"/>
    <s v="Frolicher, Miss. Hedwig Margaritha"/>
    <n v="1"/>
    <x v="0"/>
    <n v="0"/>
    <n v="2"/>
    <s v="13568"/>
    <n v="49.5"/>
    <s v="B39"/>
    <x v="1"/>
    <n v="0"/>
    <n v="1"/>
    <n v="0"/>
    <x v="2"/>
    <n v="1"/>
    <n v="0"/>
    <n v="0"/>
    <n v="0"/>
    <n v="0"/>
  </r>
  <r>
    <n v="541"/>
    <x v="1"/>
    <n v="1"/>
    <s v="Crosby, Miss. Harriet R"/>
    <n v="1"/>
    <x v="54"/>
    <n v="0"/>
    <n v="2"/>
    <s v="WE/P 5735"/>
    <n v="71"/>
    <s v="B22"/>
    <x v="0"/>
    <n v="1"/>
    <n v="0"/>
    <n v="0"/>
    <x v="2"/>
    <n v="1"/>
    <n v="0"/>
    <n v="0"/>
    <n v="0"/>
    <n v="0"/>
  </r>
  <r>
    <n v="542"/>
    <x v="0"/>
    <n v="3"/>
    <s v="Andersson, Miss. Ingeborg Constanzia"/>
    <n v="1"/>
    <x v="47"/>
    <n v="4"/>
    <n v="2"/>
    <s v="347082"/>
    <n v="31.274999999999999"/>
    <s v=""/>
    <x v="0"/>
    <n v="1"/>
    <n v="0"/>
    <n v="0"/>
    <x v="2"/>
    <n v="1"/>
    <n v="0"/>
    <n v="0"/>
    <n v="0"/>
    <n v="0"/>
  </r>
  <r>
    <n v="543"/>
    <x v="0"/>
    <n v="3"/>
    <s v="Andersson, Miss. Sigrid Elisabeth"/>
    <n v="1"/>
    <x v="31"/>
    <n v="4"/>
    <n v="2"/>
    <s v="347082"/>
    <n v="31.274999999999999"/>
    <s v=""/>
    <x v="0"/>
    <n v="1"/>
    <n v="0"/>
    <n v="0"/>
    <x v="2"/>
    <n v="1"/>
    <n v="0"/>
    <n v="0"/>
    <n v="0"/>
    <n v="0"/>
  </r>
  <r>
    <n v="544"/>
    <x v="1"/>
    <n v="2"/>
    <s v="Beane, Mr. Edward"/>
    <n v="0"/>
    <x v="34"/>
    <n v="1"/>
    <n v="0"/>
    <s v="2908"/>
    <n v="26"/>
    <s v=""/>
    <x v="0"/>
    <n v="1"/>
    <n v="0"/>
    <n v="0"/>
    <x v="0"/>
    <n v="0"/>
    <n v="0"/>
    <n v="1"/>
    <n v="0"/>
    <n v="0"/>
  </r>
  <r>
    <n v="545"/>
    <x v="0"/>
    <n v="1"/>
    <s v="Douglas, Mr. Walter Donald"/>
    <n v="0"/>
    <x v="53"/>
    <n v="1"/>
    <n v="0"/>
    <s v="PC 17761"/>
    <n v="106.425"/>
    <s v="C86"/>
    <x v="1"/>
    <n v="0"/>
    <n v="1"/>
    <n v="0"/>
    <x v="0"/>
    <n v="0"/>
    <n v="0"/>
    <n v="1"/>
    <n v="0"/>
    <n v="0"/>
  </r>
  <r>
    <n v="546"/>
    <x v="0"/>
    <n v="1"/>
    <s v="Nicholson, Mr. Arthur Ernest"/>
    <n v="0"/>
    <x v="62"/>
    <n v="0"/>
    <n v="0"/>
    <s v="693"/>
    <n v="26"/>
    <s v=""/>
    <x v="0"/>
    <n v="1"/>
    <n v="0"/>
    <n v="0"/>
    <x v="0"/>
    <n v="0"/>
    <n v="0"/>
    <n v="1"/>
    <n v="0"/>
    <n v="0"/>
  </r>
  <r>
    <n v="547"/>
    <x v="1"/>
    <n v="2"/>
    <s v="Beane, Mrs. Edward (Ethel Clarke)"/>
    <n v="1"/>
    <x v="19"/>
    <n v="1"/>
    <n v="0"/>
    <s v="2908"/>
    <n v="26"/>
    <s v=""/>
    <x v="0"/>
    <n v="1"/>
    <n v="0"/>
    <n v="0"/>
    <x v="1"/>
    <n v="0"/>
    <n v="1"/>
    <n v="0"/>
    <n v="0"/>
    <n v="0"/>
  </r>
  <r>
    <n v="548"/>
    <x v="1"/>
    <n v="2"/>
    <s v="Padro y Manent, Mr. Julian"/>
    <n v="0"/>
    <x v="4"/>
    <n v="0"/>
    <n v="0"/>
    <s v="SC/PARIS 2146"/>
    <n v="13.862500000000001"/>
    <s v=""/>
    <x v="1"/>
    <n v="0"/>
    <n v="1"/>
    <n v="0"/>
    <x v="0"/>
    <n v="0"/>
    <n v="0"/>
    <n v="1"/>
    <n v="0"/>
    <n v="0"/>
  </r>
  <r>
    <n v="549"/>
    <x v="0"/>
    <n v="3"/>
    <s v="Goldsmith, Mr. Frank John"/>
    <n v="0"/>
    <x v="38"/>
    <n v="1"/>
    <n v="1"/>
    <s v="363291"/>
    <n v="20.524999999999999"/>
    <s v=""/>
    <x v="0"/>
    <n v="1"/>
    <n v="0"/>
    <n v="0"/>
    <x v="0"/>
    <n v="0"/>
    <n v="0"/>
    <n v="1"/>
    <n v="0"/>
    <n v="0"/>
  </r>
  <r>
    <n v="550"/>
    <x v="1"/>
    <n v="2"/>
    <s v="Davies, Master. John Morgan Jr"/>
    <n v="0"/>
    <x v="18"/>
    <n v="1"/>
    <n v="1"/>
    <s v="C.A. 33112"/>
    <n v="36.75"/>
    <s v=""/>
    <x v="0"/>
    <n v="1"/>
    <n v="0"/>
    <n v="0"/>
    <x v="3"/>
    <n v="0"/>
    <n v="0"/>
    <n v="0"/>
    <n v="1"/>
    <n v="0"/>
  </r>
  <r>
    <n v="551"/>
    <x v="1"/>
    <n v="1"/>
    <s v="Thayer, Mr. John Borland Jr"/>
    <n v="0"/>
    <x v="33"/>
    <n v="0"/>
    <n v="2"/>
    <s v="17421"/>
    <n v="110.88330000000001"/>
    <s v="C70"/>
    <x v="1"/>
    <n v="0"/>
    <n v="1"/>
    <n v="0"/>
    <x v="0"/>
    <n v="0"/>
    <n v="0"/>
    <n v="1"/>
    <n v="0"/>
    <n v="0"/>
  </r>
  <r>
    <n v="552"/>
    <x v="0"/>
    <n v="2"/>
    <s v="Sharp, Mr. Percival James R"/>
    <n v="0"/>
    <x v="7"/>
    <n v="0"/>
    <n v="0"/>
    <s v="244358"/>
    <n v="26"/>
    <s v=""/>
    <x v="0"/>
    <n v="1"/>
    <n v="0"/>
    <n v="0"/>
    <x v="0"/>
    <n v="0"/>
    <n v="0"/>
    <n v="1"/>
    <n v="0"/>
    <n v="0"/>
  </r>
  <r>
    <n v="553"/>
    <x v="0"/>
    <n v="3"/>
    <s v="O'Brien, Mr. Timothy"/>
    <n v="0"/>
    <x v="4"/>
    <n v="0"/>
    <n v="0"/>
    <s v="330979"/>
    <n v="7.8292000000000002"/>
    <s v=""/>
    <x v="2"/>
    <n v="0"/>
    <n v="0"/>
    <n v="1"/>
    <x v="0"/>
    <n v="0"/>
    <n v="0"/>
    <n v="1"/>
    <n v="0"/>
    <n v="0"/>
  </r>
  <r>
    <n v="554"/>
    <x v="1"/>
    <n v="3"/>
    <s v="Leeni, Mr. Fahim (&quot;Philip Zenni&quot;)"/>
    <n v="0"/>
    <x v="0"/>
    <n v="0"/>
    <n v="0"/>
    <s v="2620"/>
    <n v="7.2249999999999996"/>
    <s v=""/>
    <x v="1"/>
    <n v="0"/>
    <n v="1"/>
    <n v="0"/>
    <x v="0"/>
    <n v="0"/>
    <n v="0"/>
    <n v="1"/>
    <n v="0"/>
    <n v="0"/>
  </r>
  <r>
    <n v="555"/>
    <x v="1"/>
    <n v="3"/>
    <s v="Ohman, Miss. Velin"/>
    <n v="1"/>
    <x v="0"/>
    <n v="0"/>
    <n v="0"/>
    <s v="347085"/>
    <n v="7.7750000000000004"/>
    <s v=""/>
    <x v="0"/>
    <n v="1"/>
    <n v="0"/>
    <n v="0"/>
    <x v="2"/>
    <n v="1"/>
    <n v="0"/>
    <n v="0"/>
    <n v="0"/>
    <n v="0"/>
  </r>
  <r>
    <n v="556"/>
    <x v="0"/>
    <n v="1"/>
    <s v="Wright, Mr. George"/>
    <n v="0"/>
    <x v="55"/>
    <n v="0"/>
    <n v="0"/>
    <s v="113807"/>
    <n v="26.55"/>
    <s v=""/>
    <x v="0"/>
    <n v="1"/>
    <n v="0"/>
    <n v="0"/>
    <x v="0"/>
    <n v="0"/>
    <n v="0"/>
    <n v="1"/>
    <n v="0"/>
    <n v="0"/>
  </r>
  <r>
    <n v="557"/>
    <x v="1"/>
    <n v="1"/>
    <s v="Duff Gordon, Lady. (Lucille Christiana Sutherland) (&quot;Mrs Morgan&quot;)"/>
    <n v="1"/>
    <x v="64"/>
    <n v="1"/>
    <n v="0"/>
    <s v="11755"/>
    <n v="39.6"/>
    <s v="A16"/>
    <x v="1"/>
    <n v="0"/>
    <n v="1"/>
    <n v="0"/>
    <x v="10"/>
    <n v="0"/>
    <n v="0"/>
    <n v="0"/>
    <n v="0"/>
    <n v="1"/>
  </r>
  <r>
    <n v="558"/>
    <x v="0"/>
    <n v="1"/>
    <s v="Robbins, Mr. Victor"/>
    <n v="0"/>
    <x v="4"/>
    <n v="0"/>
    <n v="0"/>
    <s v="PC 17757"/>
    <n v="227.52500000000001"/>
    <s v=""/>
    <x v="1"/>
    <n v="0"/>
    <n v="1"/>
    <n v="0"/>
    <x v="0"/>
    <n v="0"/>
    <n v="0"/>
    <n v="1"/>
    <n v="0"/>
    <n v="0"/>
  </r>
  <r>
    <n v="559"/>
    <x v="1"/>
    <n v="1"/>
    <s v="Taussig, Mrs. Emil (Tillie Mandelbaum)"/>
    <n v="1"/>
    <x v="12"/>
    <n v="1"/>
    <n v="1"/>
    <s v="110413"/>
    <n v="79.650000000000006"/>
    <s v="E67"/>
    <x v="0"/>
    <n v="1"/>
    <n v="0"/>
    <n v="0"/>
    <x v="1"/>
    <n v="0"/>
    <n v="1"/>
    <n v="0"/>
    <n v="0"/>
    <n v="0"/>
  </r>
  <r>
    <n v="560"/>
    <x v="1"/>
    <n v="3"/>
    <s v="de Messemaeker, Mrs. Guillaume Joseph (Emma)"/>
    <n v="1"/>
    <x v="54"/>
    <n v="1"/>
    <n v="0"/>
    <s v="345572"/>
    <n v="17.399999999999999"/>
    <s v=""/>
    <x v="0"/>
    <n v="1"/>
    <n v="0"/>
    <n v="0"/>
    <x v="1"/>
    <n v="0"/>
    <n v="1"/>
    <n v="0"/>
    <n v="0"/>
    <n v="0"/>
  </r>
  <r>
    <n v="561"/>
    <x v="0"/>
    <n v="3"/>
    <s v="Morrow, Mr. Thomas Rowan"/>
    <n v="0"/>
    <x v="4"/>
    <n v="0"/>
    <n v="0"/>
    <s v="372622"/>
    <n v="7.75"/>
    <s v=""/>
    <x v="2"/>
    <n v="0"/>
    <n v="0"/>
    <n v="1"/>
    <x v="0"/>
    <n v="0"/>
    <n v="0"/>
    <n v="1"/>
    <n v="0"/>
    <n v="0"/>
  </r>
  <r>
    <n v="562"/>
    <x v="0"/>
    <n v="3"/>
    <s v="Sivic, Mr. Husein"/>
    <n v="0"/>
    <x v="20"/>
    <n v="0"/>
    <n v="0"/>
    <s v="349251"/>
    <n v="7.8958000000000004"/>
    <s v=""/>
    <x v="0"/>
    <n v="1"/>
    <n v="0"/>
    <n v="0"/>
    <x v="0"/>
    <n v="0"/>
    <n v="0"/>
    <n v="1"/>
    <n v="0"/>
    <n v="0"/>
  </r>
  <r>
    <n v="563"/>
    <x v="0"/>
    <n v="2"/>
    <s v="Norman, Mr. Robert Douglas"/>
    <n v="0"/>
    <x v="17"/>
    <n v="0"/>
    <n v="0"/>
    <s v="218629"/>
    <n v="13.5"/>
    <s v=""/>
    <x v="0"/>
    <n v="1"/>
    <n v="0"/>
    <n v="0"/>
    <x v="0"/>
    <n v="0"/>
    <n v="0"/>
    <n v="1"/>
    <n v="0"/>
    <n v="0"/>
  </r>
  <r>
    <n v="564"/>
    <x v="0"/>
    <n v="3"/>
    <s v="Simmons, Mr. John"/>
    <n v="0"/>
    <x v="4"/>
    <n v="0"/>
    <n v="0"/>
    <s v="SOTON/OQ 392082"/>
    <n v="8.0500000000000007"/>
    <s v=""/>
    <x v="0"/>
    <n v="1"/>
    <n v="0"/>
    <n v="0"/>
    <x v="0"/>
    <n v="0"/>
    <n v="0"/>
    <n v="1"/>
    <n v="0"/>
    <n v="0"/>
  </r>
  <r>
    <n v="565"/>
    <x v="0"/>
    <n v="3"/>
    <s v="Meanwell, Miss. (Marion Ogden)"/>
    <n v="1"/>
    <x v="4"/>
    <n v="0"/>
    <n v="0"/>
    <s v="SOTON/O.Q. 392087"/>
    <n v="8.0500000000000007"/>
    <s v=""/>
    <x v="0"/>
    <n v="1"/>
    <n v="0"/>
    <n v="0"/>
    <x v="2"/>
    <n v="1"/>
    <n v="0"/>
    <n v="0"/>
    <n v="0"/>
    <n v="0"/>
  </r>
  <r>
    <n v="566"/>
    <x v="0"/>
    <n v="3"/>
    <s v="Davies, Mr. Alfred J"/>
    <n v="0"/>
    <x v="40"/>
    <n v="2"/>
    <n v="0"/>
    <s v="A/4 48871"/>
    <n v="24.15"/>
    <s v=""/>
    <x v="0"/>
    <n v="1"/>
    <n v="0"/>
    <n v="0"/>
    <x v="0"/>
    <n v="0"/>
    <n v="0"/>
    <n v="1"/>
    <n v="0"/>
    <n v="0"/>
  </r>
  <r>
    <n v="567"/>
    <x v="0"/>
    <n v="3"/>
    <s v="Stoytcheff, Mr. Ilia"/>
    <n v="0"/>
    <x v="19"/>
    <n v="0"/>
    <n v="0"/>
    <s v="349205"/>
    <n v="7.8958000000000004"/>
    <s v=""/>
    <x v="0"/>
    <n v="1"/>
    <n v="0"/>
    <n v="0"/>
    <x v="0"/>
    <n v="0"/>
    <n v="0"/>
    <n v="1"/>
    <n v="0"/>
    <n v="0"/>
  </r>
  <r>
    <n v="568"/>
    <x v="0"/>
    <n v="3"/>
    <s v="Palsson, Mrs. Nils (Alma Cornelia Berglund)"/>
    <n v="1"/>
    <x v="28"/>
    <n v="0"/>
    <n v="4"/>
    <s v="349909"/>
    <n v="21.074999999999999"/>
    <s v=""/>
    <x v="0"/>
    <n v="1"/>
    <n v="0"/>
    <n v="0"/>
    <x v="1"/>
    <n v="0"/>
    <n v="1"/>
    <n v="0"/>
    <n v="0"/>
    <n v="0"/>
  </r>
  <r>
    <n v="569"/>
    <x v="0"/>
    <n v="3"/>
    <s v="Doharr, Mr. Tannous"/>
    <n v="0"/>
    <x v="4"/>
    <n v="0"/>
    <n v="0"/>
    <s v="2686"/>
    <n v="7.2291999999999996"/>
    <s v=""/>
    <x v="1"/>
    <n v="0"/>
    <n v="1"/>
    <n v="0"/>
    <x v="0"/>
    <n v="0"/>
    <n v="0"/>
    <n v="1"/>
    <n v="0"/>
    <n v="0"/>
  </r>
  <r>
    <n v="570"/>
    <x v="1"/>
    <n v="3"/>
    <s v="Jonsson, Mr. Carl"/>
    <n v="0"/>
    <x v="34"/>
    <n v="0"/>
    <n v="0"/>
    <s v="350417"/>
    <n v="7.8541999999999996"/>
    <s v=""/>
    <x v="0"/>
    <n v="1"/>
    <n v="0"/>
    <n v="0"/>
    <x v="0"/>
    <n v="0"/>
    <n v="0"/>
    <n v="1"/>
    <n v="0"/>
    <n v="0"/>
  </r>
  <r>
    <n v="571"/>
    <x v="1"/>
    <n v="2"/>
    <s v="Harris, Mr. George"/>
    <n v="0"/>
    <x v="55"/>
    <n v="0"/>
    <n v="0"/>
    <s v="S.W./PP 752"/>
    <n v="10.5"/>
    <s v=""/>
    <x v="0"/>
    <n v="1"/>
    <n v="0"/>
    <n v="0"/>
    <x v="0"/>
    <n v="0"/>
    <n v="0"/>
    <n v="1"/>
    <n v="0"/>
    <n v="0"/>
  </r>
  <r>
    <n v="572"/>
    <x v="1"/>
    <n v="1"/>
    <s v="Appleton, Mrs. Edward Dale (Charlotte Lamson)"/>
    <n v="1"/>
    <x v="65"/>
    <n v="2"/>
    <n v="0"/>
    <s v="11769"/>
    <n v="51.479199999999999"/>
    <s v="C101"/>
    <x v="0"/>
    <n v="1"/>
    <n v="0"/>
    <n v="0"/>
    <x v="1"/>
    <n v="0"/>
    <n v="1"/>
    <n v="0"/>
    <n v="0"/>
    <n v="0"/>
  </r>
  <r>
    <n v="573"/>
    <x v="1"/>
    <n v="1"/>
    <s v="Flynn, Mr. John Irwin (&quot;Irving&quot;)"/>
    <n v="0"/>
    <x v="54"/>
    <n v="0"/>
    <n v="0"/>
    <s v="PC 17474"/>
    <n v="26.387499999999999"/>
    <s v="E25"/>
    <x v="0"/>
    <n v="1"/>
    <n v="0"/>
    <n v="0"/>
    <x v="0"/>
    <n v="0"/>
    <n v="0"/>
    <n v="1"/>
    <n v="0"/>
    <n v="0"/>
  </r>
  <r>
    <n v="574"/>
    <x v="1"/>
    <n v="3"/>
    <s v="Kelly, Miss. Mary"/>
    <n v="1"/>
    <x v="4"/>
    <n v="0"/>
    <n v="0"/>
    <s v="14312"/>
    <n v="7.75"/>
    <s v=""/>
    <x v="2"/>
    <n v="0"/>
    <n v="0"/>
    <n v="1"/>
    <x v="2"/>
    <n v="1"/>
    <n v="0"/>
    <n v="0"/>
    <n v="0"/>
    <n v="0"/>
  </r>
  <r>
    <n v="575"/>
    <x v="0"/>
    <n v="3"/>
    <s v="Rush, Mr. Alfred George John"/>
    <n v="0"/>
    <x v="35"/>
    <n v="0"/>
    <n v="0"/>
    <s v="A/4. 20589"/>
    <n v="8.0500000000000007"/>
    <s v=""/>
    <x v="0"/>
    <n v="1"/>
    <n v="0"/>
    <n v="0"/>
    <x v="0"/>
    <n v="0"/>
    <n v="0"/>
    <n v="1"/>
    <n v="0"/>
    <n v="0"/>
  </r>
  <r>
    <n v="576"/>
    <x v="0"/>
    <n v="3"/>
    <s v="Patchett, Mr. George"/>
    <n v="0"/>
    <x v="19"/>
    <n v="0"/>
    <n v="0"/>
    <s v="358585"/>
    <n v="14.5"/>
    <s v=""/>
    <x v="0"/>
    <n v="1"/>
    <n v="0"/>
    <n v="0"/>
    <x v="0"/>
    <n v="0"/>
    <n v="0"/>
    <n v="1"/>
    <n v="0"/>
    <n v="0"/>
  </r>
  <r>
    <n v="577"/>
    <x v="1"/>
    <n v="2"/>
    <s v="Garside, Miss. Ethel"/>
    <n v="1"/>
    <x v="15"/>
    <n v="0"/>
    <n v="0"/>
    <s v="243880"/>
    <n v="13"/>
    <s v=""/>
    <x v="0"/>
    <n v="1"/>
    <n v="0"/>
    <n v="0"/>
    <x v="2"/>
    <n v="1"/>
    <n v="0"/>
    <n v="0"/>
    <n v="0"/>
    <n v="0"/>
  </r>
  <r>
    <n v="578"/>
    <x v="1"/>
    <n v="1"/>
    <s v="Silvey, Mrs. William Baird (Alice Munger)"/>
    <n v="1"/>
    <x v="12"/>
    <n v="1"/>
    <n v="0"/>
    <s v="13507"/>
    <n v="55.9"/>
    <s v="E44"/>
    <x v="0"/>
    <n v="1"/>
    <n v="0"/>
    <n v="0"/>
    <x v="1"/>
    <n v="0"/>
    <n v="1"/>
    <n v="0"/>
    <n v="0"/>
    <n v="0"/>
  </r>
  <r>
    <n v="579"/>
    <x v="0"/>
    <n v="3"/>
    <s v="Caram, Mrs. Joseph (Maria Elias)"/>
    <n v="1"/>
    <x v="4"/>
    <n v="1"/>
    <n v="0"/>
    <s v="2689"/>
    <n v="14.458299999999999"/>
    <s v=""/>
    <x v="1"/>
    <n v="0"/>
    <n v="1"/>
    <n v="0"/>
    <x v="1"/>
    <n v="0"/>
    <n v="1"/>
    <n v="0"/>
    <n v="0"/>
    <n v="0"/>
  </r>
  <r>
    <n v="580"/>
    <x v="1"/>
    <n v="3"/>
    <s v="Jussila, Mr. Eiriik"/>
    <n v="0"/>
    <x v="34"/>
    <n v="0"/>
    <n v="0"/>
    <s v="STON/O 2. 3101286"/>
    <n v="7.9249999999999998"/>
    <s v=""/>
    <x v="0"/>
    <n v="1"/>
    <n v="0"/>
    <n v="0"/>
    <x v="0"/>
    <n v="0"/>
    <n v="0"/>
    <n v="1"/>
    <n v="0"/>
    <n v="0"/>
  </r>
  <r>
    <n v="581"/>
    <x v="1"/>
    <n v="2"/>
    <s v="Christy, Miss. Julie Rachel"/>
    <n v="1"/>
    <x v="36"/>
    <n v="1"/>
    <n v="1"/>
    <s v="237789"/>
    <n v="30"/>
    <s v=""/>
    <x v="0"/>
    <n v="1"/>
    <n v="0"/>
    <n v="0"/>
    <x v="2"/>
    <n v="1"/>
    <n v="0"/>
    <n v="0"/>
    <n v="0"/>
    <n v="0"/>
  </r>
  <r>
    <n v="582"/>
    <x v="1"/>
    <n v="1"/>
    <s v="Thayer, Mrs. John Borland (Marian Longstreth Morris)"/>
    <n v="1"/>
    <x v="12"/>
    <n v="1"/>
    <n v="1"/>
    <s v="17421"/>
    <n v="110.88330000000001"/>
    <s v="C68"/>
    <x v="1"/>
    <n v="0"/>
    <n v="1"/>
    <n v="0"/>
    <x v="1"/>
    <n v="0"/>
    <n v="1"/>
    <n v="0"/>
    <n v="0"/>
    <n v="0"/>
  </r>
  <r>
    <n v="583"/>
    <x v="0"/>
    <n v="2"/>
    <s v="Downton, Mr. William James"/>
    <n v="0"/>
    <x v="5"/>
    <n v="0"/>
    <n v="0"/>
    <s v="28403"/>
    <n v="26"/>
    <s v=""/>
    <x v="0"/>
    <n v="1"/>
    <n v="0"/>
    <n v="0"/>
    <x v="0"/>
    <n v="0"/>
    <n v="0"/>
    <n v="1"/>
    <n v="0"/>
    <n v="0"/>
  </r>
  <r>
    <n v="584"/>
    <x v="0"/>
    <n v="1"/>
    <s v="Ross, Mr. John Hugo"/>
    <n v="0"/>
    <x v="54"/>
    <n v="0"/>
    <n v="0"/>
    <s v="13049"/>
    <n v="40.125"/>
    <s v="A10"/>
    <x v="1"/>
    <n v="0"/>
    <n v="1"/>
    <n v="0"/>
    <x v="0"/>
    <n v="0"/>
    <n v="0"/>
    <n v="1"/>
    <n v="0"/>
    <n v="0"/>
  </r>
  <r>
    <n v="585"/>
    <x v="0"/>
    <n v="3"/>
    <s v="Paulner, Mr. Uscher"/>
    <n v="0"/>
    <x v="4"/>
    <n v="0"/>
    <n v="0"/>
    <s v="3411"/>
    <n v="8.7125000000000004"/>
    <s v=""/>
    <x v="1"/>
    <n v="0"/>
    <n v="1"/>
    <n v="0"/>
    <x v="0"/>
    <n v="0"/>
    <n v="0"/>
    <n v="1"/>
    <n v="0"/>
    <n v="0"/>
  </r>
  <r>
    <n v="586"/>
    <x v="1"/>
    <n v="1"/>
    <s v="Taussig, Miss. Ruth"/>
    <n v="1"/>
    <x v="24"/>
    <n v="0"/>
    <n v="2"/>
    <s v="110413"/>
    <n v="79.650000000000006"/>
    <s v="E68"/>
    <x v="0"/>
    <n v="1"/>
    <n v="0"/>
    <n v="0"/>
    <x v="2"/>
    <n v="1"/>
    <n v="0"/>
    <n v="0"/>
    <n v="0"/>
    <n v="0"/>
  </r>
  <r>
    <n v="587"/>
    <x v="0"/>
    <n v="2"/>
    <s v="Jarvis, Mr. John Denzil"/>
    <n v="0"/>
    <x v="45"/>
    <n v="0"/>
    <n v="0"/>
    <s v="237565"/>
    <n v="15"/>
    <s v=""/>
    <x v="0"/>
    <n v="1"/>
    <n v="0"/>
    <n v="0"/>
    <x v="0"/>
    <n v="0"/>
    <n v="0"/>
    <n v="1"/>
    <n v="0"/>
    <n v="0"/>
  </r>
  <r>
    <n v="588"/>
    <x v="1"/>
    <n v="1"/>
    <s v="Frolicher-Stehli, Mr. Maxmillian"/>
    <n v="0"/>
    <x v="60"/>
    <n v="1"/>
    <n v="1"/>
    <s v="13567"/>
    <n v="79.2"/>
    <s v="B41"/>
    <x v="1"/>
    <n v="0"/>
    <n v="1"/>
    <n v="0"/>
    <x v="0"/>
    <n v="0"/>
    <n v="0"/>
    <n v="1"/>
    <n v="0"/>
    <n v="0"/>
  </r>
  <r>
    <n v="589"/>
    <x v="0"/>
    <n v="3"/>
    <s v="Gilinski, Mr. Eliezer"/>
    <n v="0"/>
    <x v="0"/>
    <n v="0"/>
    <n v="0"/>
    <s v="14973"/>
    <n v="8.0500000000000007"/>
    <s v=""/>
    <x v="0"/>
    <n v="1"/>
    <n v="0"/>
    <n v="0"/>
    <x v="0"/>
    <n v="0"/>
    <n v="0"/>
    <n v="1"/>
    <n v="0"/>
    <n v="0"/>
  </r>
  <r>
    <n v="590"/>
    <x v="0"/>
    <n v="3"/>
    <s v="Murdlin, Mr. Joseph"/>
    <n v="0"/>
    <x v="4"/>
    <n v="0"/>
    <n v="0"/>
    <s v="A./5. 3235"/>
    <n v="8.0500000000000007"/>
    <s v=""/>
    <x v="0"/>
    <n v="1"/>
    <n v="0"/>
    <n v="0"/>
    <x v="0"/>
    <n v="0"/>
    <n v="0"/>
    <n v="1"/>
    <n v="0"/>
    <n v="0"/>
  </r>
  <r>
    <n v="591"/>
    <x v="0"/>
    <n v="3"/>
    <s v="Rintamaki, Mr. Matti"/>
    <n v="0"/>
    <x v="3"/>
    <n v="0"/>
    <n v="0"/>
    <s v="STON/O 2. 3101273"/>
    <n v="7.125"/>
    <s v=""/>
    <x v="0"/>
    <n v="1"/>
    <n v="0"/>
    <n v="0"/>
    <x v="0"/>
    <n v="0"/>
    <n v="0"/>
    <n v="1"/>
    <n v="0"/>
    <n v="0"/>
  </r>
  <r>
    <n v="592"/>
    <x v="1"/>
    <n v="1"/>
    <s v="Stephenson, Mrs. Walter Bertram (Martha Eustis)"/>
    <n v="1"/>
    <x v="57"/>
    <n v="1"/>
    <n v="0"/>
    <s v="36947"/>
    <n v="78.2667"/>
    <s v="D20"/>
    <x v="1"/>
    <n v="0"/>
    <n v="1"/>
    <n v="0"/>
    <x v="1"/>
    <n v="0"/>
    <n v="1"/>
    <n v="0"/>
    <n v="0"/>
    <n v="0"/>
  </r>
  <r>
    <n v="593"/>
    <x v="0"/>
    <n v="3"/>
    <s v="Elsbury, Mr. William James"/>
    <n v="0"/>
    <x v="45"/>
    <n v="0"/>
    <n v="0"/>
    <s v="A/5 3902"/>
    <n v="7.25"/>
    <s v=""/>
    <x v="0"/>
    <n v="1"/>
    <n v="0"/>
    <n v="0"/>
    <x v="0"/>
    <n v="0"/>
    <n v="0"/>
    <n v="1"/>
    <n v="0"/>
    <n v="0"/>
  </r>
  <r>
    <n v="594"/>
    <x v="0"/>
    <n v="3"/>
    <s v="Bourke, Miss. Mary"/>
    <n v="1"/>
    <x v="4"/>
    <n v="0"/>
    <n v="2"/>
    <s v="364848"/>
    <n v="7.75"/>
    <s v=""/>
    <x v="2"/>
    <n v="0"/>
    <n v="0"/>
    <n v="1"/>
    <x v="2"/>
    <n v="1"/>
    <n v="0"/>
    <n v="0"/>
    <n v="0"/>
    <n v="0"/>
  </r>
  <r>
    <n v="595"/>
    <x v="0"/>
    <n v="2"/>
    <s v="Chapman, Mr. John Henry"/>
    <n v="0"/>
    <x v="44"/>
    <n v="1"/>
    <n v="0"/>
    <s v="SC/AH 29037"/>
    <n v="26"/>
    <s v=""/>
    <x v="0"/>
    <n v="1"/>
    <n v="0"/>
    <n v="0"/>
    <x v="0"/>
    <n v="0"/>
    <n v="0"/>
    <n v="1"/>
    <n v="0"/>
    <n v="0"/>
  </r>
  <r>
    <n v="596"/>
    <x v="0"/>
    <n v="3"/>
    <s v="Van Impe, Mr. Jean Baptiste"/>
    <n v="0"/>
    <x v="54"/>
    <n v="1"/>
    <n v="1"/>
    <s v="345773"/>
    <n v="24.15"/>
    <s v=""/>
    <x v="0"/>
    <n v="1"/>
    <n v="0"/>
    <n v="0"/>
    <x v="0"/>
    <n v="0"/>
    <n v="0"/>
    <n v="1"/>
    <n v="0"/>
    <n v="0"/>
  </r>
  <r>
    <n v="597"/>
    <x v="1"/>
    <n v="2"/>
    <s v="Leitch, Miss. Jessie Wills"/>
    <n v="1"/>
    <x v="4"/>
    <n v="0"/>
    <n v="0"/>
    <s v="248727"/>
    <n v="33"/>
    <s v=""/>
    <x v="0"/>
    <n v="1"/>
    <n v="0"/>
    <n v="0"/>
    <x v="2"/>
    <n v="1"/>
    <n v="0"/>
    <n v="0"/>
    <n v="0"/>
    <n v="0"/>
  </r>
  <r>
    <n v="598"/>
    <x v="0"/>
    <n v="3"/>
    <s v="Johnson, Mr. Alfred"/>
    <n v="0"/>
    <x v="27"/>
    <n v="0"/>
    <n v="0"/>
    <s v="LINE"/>
    <n v="0"/>
    <s v=""/>
    <x v="0"/>
    <n v="1"/>
    <n v="0"/>
    <n v="0"/>
    <x v="0"/>
    <n v="0"/>
    <n v="0"/>
    <n v="1"/>
    <n v="0"/>
    <n v="0"/>
  </r>
  <r>
    <n v="599"/>
    <x v="0"/>
    <n v="3"/>
    <s v="Boulos, Mr. Hanna"/>
    <n v="0"/>
    <x v="4"/>
    <n v="0"/>
    <n v="0"/>
    <s v="2664"/>
    <n v="7.2249999999999996"/>
    <s v=""/>
    <x v="1"/>
    <n v="0"/>
    <n v="1"/>
    <n v="0"/>
    <x v="0"/>
    <n v="0"/>
    <n v="0"/>
    <n v="1"/>
    <n v="0"/>
    <n v="0"/>
  </r>
  <r>
    <n v="600"/>
    <x v="1"/>
    <n v="1"/>
    <s v="Duff Gordon, Sir. Cosmo Edmund (&quot;Mr Morgan&quot;)"/>
    <n v="0"/>
    <x v="27"/>
    <n v="1"/>
    <n v="0"/>
    <s v="PC 17485"/>
    <n v="56.929200000000002"/>
    <s v="A20"/>
    <x v="1"/>
    <n v="0"/>
    <n v="1"/>
    <n v="0"/>
    <x v="11"/>
    <n v="0"/>
    <n v="0"/>
    <n v="0"/>
    <n v="0"/>
    <n v="1"/>
  </r>
  <r>
    <n v="601"/>
    <x v="1"/>
    <n v="2"/>
    <s v="Jacobsohn, Mrs. Sidney Samuel (Amy Frances Christy)"/>
    <n v="1"/>
    <x v="40"/>
    <n v="2"/>
    <n v="1"/>
    <s v="243847"/>
    <n v="27"/>
    <s v=""/>
    <x v="0"/>
    <n v="1"/>
    <n v="0"/>
    <n v="0"/>
    <x v="1"/>
    <n v="0"/>
    <n v="1"/>
    <n v="0"/>
    <n v="0"/>
    <n v="0"/>
  </r>
  <r>
    <n v="602"/>
    <x v="0"/>
    <n v="3"/>
    <s v="Slabenoff, Mr. Petco"/>
    <n v="0"/>
    <x v="4"/>
    <n v="0"/>
    <n v="0"/>
    <s v="349214"/>
    <n v="7.8958000000000004"/>
    <s v=""/>
    <x v="0"/>
    <n v="1"/>
    <n v="0"/>
    <n v="0"/>
    <x v="0"/>
    <n v="0"/>
    <n v="0"/>
    <n v="1"/>
    <n v="0"/>
    <n v="0"/>
  </r>
  <r>
    <n v="603"/>
    <x v="0"/>
    <n v="1"/>
    <s v="Harrington, Mr. Charles H"/>
    <n v="0"/>
    <x v="4"/>
    <n v="0"/>
    <n v="0"/>
    <s v="113796"/>
    <n v="42.4"/>
    <s v=""/>
    <x v="0"/>
    <n v="1"/>
    <n v="0"/>
    <n v="0"/>
    <x v="0"/>
    <n v="0"/>
    <n v="0"/>
    <n v="1"/>
    <n v="0"/>
    <n v="0"/>
  </r>
  <r>
    <n v="604"/>
    <x v="0"/>
    <n v="3"/>
    <s v="Torber, Mr. Ernst William"/>
    <n v="0"/>
    <x v="49"/>
    <n v="0"/>
    <n v="0"/>
    <s v="364511"/>
    <n v="8.0500000000000007"/>
    <s v=""/>
    <x v="0"/>
    <n v="1"/>
    <n v="0"/>
    <n v="0"/>
    <x v="0"/>
    <n v="0"/>
    <n v="0"/>
    <n v="1"/>
    <n v="0"/>
    <n v="0"/>
  </r>
  <r>
    <n v="605"/>
    <x v="1"/>
    <n v="1"/>
    <s v="Homer, Mr. Harry (&quot;Mr E Haven&quot;)"/>
    <n v="0"/>
    <x v="3"/>
    <n v="0"/>
    <n v="0"/>
    <s v="111426"/>
    <n v="26.55"/>
    <s v=""/>
    <x v="1"/>
    <n v="0"/>
    <n v="1"/>
    <n v="0"/>
    <x v="0"/>
    <n v="0"/>
    <n v="0"/>
    <n v="1"/>
    <n v="0"/>
    <n v="0"/>
  </r>
  <r>
    <n v="606"/>
    <x v="0"/>
    <n v="3"/>
    <s v="Lindell, Mr. Edvard Bengtsson"/>
    <n v="0"/>
    <x v="54"/>
    <n v="1"/>
    <n v="0"/>
    <s v="349910"/>
    <n v="15.55"/>
    <s v=""/>
    <x v="0"/>
    <n v="1"/>
    <n v="0"/>
    <n v="0"/>
    <x v="0"/>
    <n v="0"/>
    <n v="0"/>
    <n v="1"/>
    <n v="0"/>
    <n v="0"/>
  </r>
  <r>
    <n v="607"/>
    <x v="0"/>
    <n v="3"/>
    <s v="Karaic, Mr. Milan"/>
    <n v="0"/>
    <x v="37"/>
    <n v="0"/>
    <n v="0"/>
    <s v="349246"/>
    <n v="7.8958000000000004"/>
    <s v=""/>
    <x v="0"/>
    <n v="1"/>
    <n v="0"/>
    <n v="0"/>
    <x v="0"/>
    <n v="0"/>
    <n v="0"/>
    <n v="1"/>
    <n v="0"/>
    <n v="0"/>
  </r>
  <r>
    <n v="608"/>
    <x v="1"/>
    <n v="1"/>
    <s v="Daniel, Mr. Robert Williams"/>
    <n v="0"/>
    <x v="7"/>
    <n v="0"/>
    <n v="0"/>
    <s v="113804"/>
    <n v="30.5"/>
    <s v=""/>
    <x v="0"/>
    <n v="1"/>
    <n v="0"/>
    <n v="0"/>
    <x v="0"/>
    <n v="0"/>
    <n v="0"/>
    <n v="1"/>
    <n v="0"/>
    <n v="0"/>
  </r>
  <r>
    <n v="609"/>
    <x v="1"/>
    <n v="2"/>
    <s v="Laroche, Mrs. Joseph (Juliette Marie Louise Lafargue)"/>
    <n v="1"/>
    <x v="0"/>
    <n v="1"/>
    <n v="2"/>
    <s v="SC/Paris 2123"/>
    <n v="41.5792"/>
    <s v=""/>
    <x v="1"/>
    <n v="0"/>
    <n v="1"/>
    <n v="0"/>
    <x v="1"/>
    <n v="0"/>
    <n v="1"/>
    <n v="0"/>
    <n v="0"/>
    <n v="0"/>
  </r>
  <r>
    <n v="610"/>
    <x v="1"/>
    <n v="1"/>
    <s v="Shutes, Miss. Elizabeth W"/>
    <n v="1"/>
    <x v="20"/>
    <n v="0"/>
    <n v="0"/>
    <s v="PC 17582"/>
    <n v="153.46250000000001"/>
    <s v="C125"/>
    <x v="0"/>
    <n v="1"/>
    <n v="0"/>
    <n v="0"/>
    <x v="2"/>
    <n v="1"/>
    <n v="0"/>
    <n v="0"/>
    <n v="0"/>
    <n v="0"/>
  </r>
  <r>
    <n v="611"/>
    <x v="0"/>
    <n v="3"/>
    <s v="Andersson, Mrs. Anders Johan (Alfrida Konstantia Brogren)"/>
    <n v="1"/>
    <x v="12"/>
    <n v="1"/>
    <n v="5"/>
    <s v="347082"/>
    <n v="31.274999999999999"/>
    <s v=""/>
    <x v="0"/>
    <n v="1"/>
    <n v="0"/>
    <n v="0"/>
    <x v="1"/>
    <n v="0"/>
    <n v="1"/>
    <n v="0"/>
    <n v="0"/>
    <n v="0"/>
  </r>
  <r>
    <n v="612"/>
    <x v="0"/>
    <n v="3"/>
    <s v="Jardin, Mr. Jose Neto"/>
    <n v="0"/>
    <x v="4"/>
    <n v="0"/>
    <n v="0"/>
    <s v="SOTON/O.Q. 3101305"/>
    <n v="7.05"/>
    <s v=""/>
    <x v="0"/>
    <n v="1"/>
    <n v="0"/>
    <n v="0"/>
    <x v="0"/>
    <n v="0"/>
    <n v="0"/>
    <n v="1"/>
    <n v="0"/>
    <n v="0"/>
  </r>
  <r>
    <n v="613"/>
    <x v="1"/>
    <n v="3"/>
    <s v="Murphy, Miss. Margaret Jane"/>
    <n v="1"/>
    <x v="4"/>
    <n v="1"/>
    <n v="0"/>
    <s v="367230"/>
    <n v="15.5"/>
    <s v=""/>
    <x v="2"/>
    <n v="0"/>
    <n v="0"/>
    <n v="1"/>
    <x v="2"/>
    <n v="1"/>
    <n v="0"/>
    <n v="0"/>
    <n v="0"/>
    <n v="0"/>
  </r>
  <r>
    <n v="614"/>
    <x v="0"/>
    <n v="3"/>
    <s v="Horgan, Mr. John"/>
    <n v="0"/>
    <x v="4"/>
    <n v="0"/>
    <n v="0"/>
    <s v="370377"/>
    <n v="7.75"/>
    <s v=""/>
    <x v="2"/>
    <n v="0"/>
    <n v="0"/>
    <n v="1"/>
    <x v="0"/>
    <n v="0"/>
    <n v="0"/>
    <n v="1"/>
    <n v="0"/>
    <n v="0"/>
  </r>
  <r>
    <n v="615"/>
    <x v="0"/>
    <n v="3"/>
    <s v="Brocklebank, Mr. William Alfred"/>
    <n v="0"/>
    <x v="3"/>
    <n v="0"/>
    <n v="0"/>
    <s v="364512"/>
    <n v="8.0500000000000007"/>
    <s v=""/>
    <x v="0"/>
    <n v="1"/>
    <n v="0"/>
    <n v="0"/>
    <x v="0"/>
    <n v="0"/>
    <n v="0"/>
    <n v="1"/>
    <n v="0"/>
    <n v="0"/>
  </r>
  <r>
    <n v="616"/>
    <x v="1"/>
    <n v="2"/>
    <s v="Herman, Miss. Alice"/>
    <n v="1"/>
    <x v="40"/>
    <n v="1"/>
    <n v="2"/>
    <s v="220845"/>
    <n v="65"/>
    <s v=""/>
    <x v="0"/>
    <n v="1"/>
    <n v="0"/>
    <n v="0"/>
    <x v="2"/>
    <n v="1"/>
    <n v="0"/>
    <n v="0"/>
    <n v="0"/>
    <n v="0"/>
  </r>
  <r>
    <n v="617"/>
    <x v="0"/>
    <n v="3"/>
    <s v="Danbom, Mr. Ernst Gilbert"/>
    <n v="0"/>
    <x v="15"/>
    <n v="1"/>
    <n v="1"/>
    <s v="347080"/>
    <n v="14.4"/>
    <s v=""/>
    <x v="0"/>
    <n v="1"/>
    <n v="0"/>
    <n v="0"/>
    <x v="0"/>
    <n v="0"/>
    <n v="0"/>
    <n v="1"/>
    <n v="0"/>
    <n v="0"/>
  </r>
  <r>
    <n v="618"/>
    <x v="0"/>
    <n v="3"/>
    <s v="Lobb, Mrs. William Arthur (Cordelia K Stanlick)"/>
    <n v="1"/>
    <x v="2"/>
    <n v="1"/>
    <n v="0"/>
    <s v="A/5. 3336"/>
    <n v="16.100000000000001"/>
    <s v=""/>
    <x v="0"/>
    <n v="1"/>
    <n v="0"/>
    <n v="0"/>
    <x v="1"/>
    <n v="0"/>
    <n v="1"/>
    <n v="0"/>
    <n v="0"/>
    <n v="0"/>
  </r>
  <r>
    <n v="619"/>
    <x v="1"/>
    <n v="2"/>
    <s v="Becker, Miss. Marion Louise"/>
    <n v="1"/>
    <x v="9"/>
    <n v="2"/>
    <n v="1"/>
    <s v="230136"/>
    <n v="39"/>
    <s v="F4"/>
    <x v="0"/>
    <n v="1"/>
    <n v="0"/>
    <n v="0"/>
    <x v="2"/>
    <n v="1"/>
    <n v="0"/>
    <n v="0"/>
    <n v="0"/>
    <n v="0"/>
  </r>
  <r>
    <n v="620"/>
    <x v="0"/>
    <n v="2"/>
    <s v="Gavey, Mr. Lawrence"/>
    <n v="0"/>
    <x v="2"/>
    <n v="0"/>
    <n v="0"/>
    <s v="31028"/>
    <n v="10.5"/>
    <s v=""/>
    <x v="0"/>
    <n v="1"/>
    <n v="0"/>
    <n v="0"/>
    <x v="0"/>
    <n v="0"/>
    <n v="0"/>
    <n v="1"/>
    <n v="0"/>
    <n v="0"/>
  </r>
  <r>
    <n v="621"/>
    <x v="0"/>
    <n v="3"/>
    <s v="Yasbeck, Mr. Antoni"/>
    <n v="0"/>
    <x v="7"/>
    <n v="1"/>
    <n v="0"/>
    <s v="2659"/>
    <n v="14.4542"/>
    <s v=""/>
    <x v="1"/>
    <n v="0"/>
    <n v="1"/>
    <n v="0"/>
    <x v="0"/>
    <n v="0"/>
    <n v="0"/>
    <n v="1"/>
    <n v="0"/>
    <n v="0"/>
  </r>
  <r>
    <n v="622"/>
    <x v="1"/>
    <n v="1"/>
    <s v="Kimball, Mr. Edwin Nelson Jr"/>
    <n v="0"/>
    <x v="22"/>
    <n v="1"/>
    <n v="0"/>
    <s v="11753"/>
    <n v="52.554200000000002"/>
    <s v="D19"/>
    <x v="0"/>
    <n v="1"/>
    <n v="0"/>
    <n v="0"/>
    <x v="0"/>
    <n v="0"/>
    <n v="0"/>
    <n v="1"/>
    <n v="0"/>
    <n v="0"/>
  </r>
  <r>
    <n v="623"/>
    <x v="1"/>
    <n v="3"/>
    <s v="Nakid, Mr. Sahid"/>
    <n v="0"/>
    <x v="11"/>
    <n v="1"/>
    <n v="1"/>
    <s v="2653"/>
    <n v="15.7417"/>
    <s v=""/>
    <x v="1"/>
    <n v="0"/>
    <n v="1"/>
    <n v="0"/>
    <x v="0"/>
    <n v="0"/>
    <n v="0"/>
    <n v="1"/>
    <n v="0"/>
    <n v="0"/>
  </r>
  <r>
    <n v="624"/>
    <x v="0"/>
    <n v="3"/>
    <s v="Hansen, Mr. Henry Damsgaard"/>
    <n v="0"/>
    <x v="23"/>
    <n v="0"/>
    <n v="0"/>
    <s v="350029"/>
    <n v="7.8541999999999996"/>
    <s v=""/>
    <x v="0"/>
    <n v="1"/>
    <n v="0"/>
    <n v="0"/>
    <x v="0"/>
    <n v="0"/>
    <n v="0"/>
    <n v="1"/>
    <n v="0"/>
    <n v="0"/>
  </r>
  <r>
    <n v="625"/>
    <x v="0"/>
    <n v="3"/>
    <s v="Bowen, Mr. David John &quot;Dai&quot;"/>
    <n v="0"/>
    <x v="23"/>
    <n v="0"/>
    <n v="0"/>
    <s v="54636"/>
    <n v="16.100000000000001"/>
    <s v=""/>
    <x v="0"/>
    <n v="1"/>
    <n v="0"/>
    <n v="0"/>
    <x v="0"/>
    <n v="0"/>
    <n v="0"/>
    <n v="1"/>
    <n v="0"/>
    <n v="0"/>
  </r>
  <r>
    <n v="626"/>
    <x v="0"/>
    <n v="1"/>
    <s v="Sutton, Mr. Frederick"/>
    <n v="0"/>
    <x v="51"/>
    <n v="0"/>
    <n v="0"/>
    <s v="36963"/>
    <n v="32.320799999999998"/>
    <s v="D50"/>
    <x v="0"/>
    <n v="1"/>
    <n v="0"/>
    <n v="0"/>
    <x v="0"/>
    <n v="0"/>
    <n v="0"/>
    <n v="1"/>
    <n v="0"/>
    <n v="0"/>
  </r>
  <r>
    <n v="627"/>
    <x v="0"/>
    <n v="2"/>
    <s v="Kirkland, Rev. Charles Leonard"/>
    <n v="0"/>
    <x v="66"/>
    <n v="0"/>
    <n v="0"/>
    <s v="219533"/>
    <n v="12.35"/>
    <s v=""/>
    <x v="2"/>
    <n v="0"/>
    <n v="0"/>
    <n v="1"/>
    <x v="5"/>
    <n v="0"/>
    <n v="0"/>
    <n v="0"/>
    <n v="0"/>
    <n v="1"/>
  </r>
  <r>
    <n v="628"/>
    <x v="1"/>
    <n v="1"/>
    <s v="Longley, Miss. Gretchen Fiske"/>
    <n v="1"/>
    <x v="23"/>
    <n v="0"/>
    <n v="0"/>
    <s v="13502"/>
    <n v="77.958299999999994"/>
    <s v="D9"/>
    <x v="0"/>
    <n v="1"/>
    <n v="0"/>
    <n v="0"/>
    <x v="2"/>
    <n v="1"/>
    <n v="0"/>
    <n v="0"/>
    <n v="0"/>
    <n v="0"/>
  </r>
  <r>
    <n v="629"/>
    <x v="0"/>
    <n v="3"/>
    <s v="Bostandyeff, Mr. Guentcho"/>
    <n v="0"/>
    <x v="2"/>
    <n v="0"/>
    <n v="0"/>
    <s v="349224"/>
    <n v="7.8958000000000004"/>
    <s v=""/>
    <x v="0"/>
    <n v="1"/>
    <n v="0"/>
    <n v="0"/>
    <x v="0"/>
    <n v="0"/>
    <n v="0"/>
    <n v="1"/>
    <n v="0"/>
    <n v="0"/>
  </r>
  <r>
    <n v="630"/>
    <x v="0"/>
    <n v="3"/>
    <s v="O'Connell, Mr. Patrick D"/>
    <n v="0"/>
    <x v="4"/>
    <n v="0"/>
    <n v="0"/>
    <s v="334912"/>
    <n v="7.7332999999999998"/>
    <s v=""/>
    <x v="2"/>
    <n v="0"/>
    <n v="0"/>
    <n v="1"/>
    <x v="0"/>
    <n v="0"/>
    <n v="0"/>
    <n v="1"/>
    <n v="0"/>
    <n v="0"/>
  </r>
  <r>
    <n v="631"/>
    <x v="1"/>
    <n v="1"/>
    <s v="Barkworth, Mr. Algernon Henry Wilson"/>
    <n v="0"/>
    <x v="67"/>
    <n v="0"/>
    <n v="0"/>
    <s v="27042"/>
    <n v="30"/>
    <s v="A23"/>
    <x v="0"/>
    <n v="1"/>
    <n v="0"/>
    <n v="0"/>
    <x v="0"/>
    <n v="0"/>
    <n v="0"/>
    <n v="1"/>
    <n v="0"/>
    <n v="0"/>
  </r>
  <r>
    <n v="632"/>
    <x v="0"/>
    <n v="3"/>
    <s v="Lundahl, Mr. Johan Svensson"/>
    <n v="0"/>
    <x v="48"/>
    <n v="0"/>
    <n v="0"/>
    <s v="347743"/>
    <n v="7.0541999999999998"/>
    <s v=""/>
    <x v="0"/>
    <n v="1"/>
    <n v="0"/>
    <n v="0"/>
    <x v="0"/>
    <n v="0"/>
    <n v="0"/>
    <n v="1"/>
    <n v="0"/>
    <n v="0"/>
  </r>
  <r>
    <n v="633"/>
    <x v="1"/>
    <n v="1"/>
    <s v="Stahelin-Maeglin, Dr. Max"/>
    <n v="0"/>
    <x v="34"/>
    <n v="0"/>
    <n v="0"/>
    <s v="13214"/>
    <n v="30.5"/>
    <s v="B50"/>
    <x v="1"/>
    <n v="0"/>
    <n v="1"/>
    <n v="0"/>
    <x v="6"/>
    <n v="0"/>
    <n v="0"/>
    <n v="0"/>
    <n v="0"/>
    <n v="1"/>
  </r>
  <r>
    <n v="634"/>
    <x v="0"/>
    <n v="1"/>
    <s v="Parr, Mr. William Henry Marsh"/>
    <n v="0"/>
    <x v="4"/>
    <n v="0"/>
    <n v="0"/>
    <s v="112052"/>
    <n v="0"/>
    <s v=""/>
    <x v="0"/>
    <n v="1"/>
    <n v="0"/>
    <n v="0"/>
    <x v="0"/>
    <n v="0"/>
    <n v="0"/>
    <n v="1"/>
    <n v="0"/>
    <n v="0"/>
  </r>
  <r>
    <n v="635"/>
    <x v="0"/>
    <n v="3"/>
    <s v="Skoog, Miss. Mabel"/>
    <n v="1"/>
    <x v="47"/>
    <n v="3"/>
    <n v="2"/>
    <s v="347088"/>
    <n v="27.9"/>
    <s v=""/>
    <x v="0"/>
    <n v="1"/>
    <n v="0"/>
    <n v="0"/>
    <x v="2"/>
    <n v="1"/>
    <n v="0"/>
    <n v="0"/>
    <n v="0"/>
    <n v="0"/>
  </r>
  <r>
    <n v="636"/>
    <x v="1"/>
    <n v="2"/>
    <s v="Davis, Miss. Mary"/>
    <n v="1"/>
    <x v="17"/>
    <n v="0"/>
    <n v="0"/>
    <s v="237668"/>
    <n v="13"/>
    <s v=""/>
    <x v="0"/>
    <n v="1"/>
    <n v="0"/>
    <n v="0"/>
    <x v="2"/>
    <n v="1"/>
    <n v="0"/>
    <n v="0"/>
    <n v="0"/>
    <n v="0"/>
  </r>
  <r>
    <n v="637"/>
    <x v="0"/>
    <n v="3"/>
    <s v="Leinonen, Mr. Antti Gustaf"/>
    <n v="0"/>
    <x v="34"/>
    <n v="0"/>
    <n v="0"/>
    <s v="STON/O 2. 3101292"/>
    <n v="7.9249999999999998"/>
    <s v=""/>
    <x v="0"/>
    <n v="1"/>
    <n v="0"/>
    <n v="0"/>
    <x v="0"/>
    <n v="0"/>
    <n v="0"/>
    <n v="1"/>
    <n v="0"/>
    <n v="0"/>
  </r>
  <r>
    <n v="638"/>
    <x v="0"/>
    <n v="2"/>
    <s v="Collyer, Mr. Harvey"/>
    <n v="0"/>
    <x v="14"/>
    <n v="1"/>
    <n v="1"/>
    <s v="C.A. 31921"/>
    <n v="26.25"/>
    <s v=""/>
    <x v="0"/>
    <n v="1"/>
    <n v="0"/>
    <n v="0"/>
    <x v="0"/>
    <n v="0"/>
    <n v="0"/>
    <n v="1"/>
    <n v="0"/>
    <n v="0"/>
  </r>
  <r>
    <n v="639"/>
    <x v="0"/>
    <n v="3"/>
    <s v="Panula, Mrs. Juha (Maria Emilia Ojala)"/>
    <n v="1"/>
    <x v="56"/>
    <n v="0"/>
    <n v="5"/>
    <s v="3101295"/>
    <n v="39.6875"/>
    <s v=""/>
    <x v="0"/>
    <n v="1"/>
    <n v="0"/>
    <n v="0"/>
    <x v="1"/>
    <n v="0"/>
    <n v="1"/>
    <n v="0"/>
    <n v="0"/>
    <n v="0"/>
  </r>
  <r>
    <n v="640"/>
    <x v="0"/>
    <n v="3"/>
    <s v="Thorneycroft, Mr. Percival"/>
    <n v="0"/>
    <x v="4"/>
    <n v="1"/>
    <n v="0"/>
    <s v="376564"/>
    <n v="16.100000000000001"/>
    <s v=""/>
    <x v="0"/>
    <n v="1"/>
    <n v="0"/>
    <n v="0"/>
    <x v="0"/>
    <n v="0"/>
    <n v="0"/>
    <n v="1"/>
    <n v="0"/>
    <n v="0"/>
  </r>
  <r>
    <n v="641"/>
    <x v="0"/>
    <n v="3"/>
    <s v="Jensen, Mr. Hans Peder"/>
    <n v="0"/>
    <x v="11"/>
    <n v="0"/>
    <n v="0"/>
    <s v="350050"/>
    <n v="7.8541999999999996"/>
    <s v=""/>
    <x v="0"/>
    <n v="1"/>
    <n v="0"/>
    <n v="0"/>
    <x v="0"/>
    <n v="0"/>
    <n v="0"/>
    <n v="1"/>
    <n v="0"/>
    <n v="0"/>
  </r>
  <r>
    <n v="642"/>
    <x v="1"/>
    <n v="1"/>
    <s v="Sagesser, Mlle. Emma"/>
    <n v="1"/>
    <x v="40"/>
    <n v="0"/>
    <n v="0"/>
    <s v="PC 17477"/>
    <n v="69.3"/>
    <s v="B35"/>
    <x v="1"/>
    <n v="0"/>
    <n v="1"/>
    <n v="0"/>
    <x v="12"/>
    <n v="1"/>
    <n v="0"/>
    <n v="0"/>
    <n v="0"/>
    <n v="0"/>
  </r>
  <r>
    <n v="643"/>
    <x v="0"/>
    <n v="3"/>
    <s v="Skoog, Miss. Margit Elizabeth"/>
    <n v="1"/>
    <x v="6"/>
    <n v="3"/>
    <n v="2"/>
    <s v="347088"/>
    <n v="27.9"/>
    <s v=""/>
    <x v="0"/>
    <n v="1"/>
    <n v="0"/>
    <n v="0"/>
    <x v="2"/>
    <n v="1"/>
    <n v="0"/>
    <n v="0"/>
    <n v="0"/>
    <n v="0"/>
  </r>
  <r>
    <n v="644"/>
    <x v="1"/>
    <n v="3"/>
    <s v="Foo, Mr. Choong"/>
    <n v="0"/>
    <x v="4"/>
    <n v="0"/>
    <n v="0"/>
    <s v="1601"/>
    <n v="56.495800000000003"/>
    <s v=""/>
    <x v="0"/>
    <n v="1"/>
    <n v="0"/>
    <n v="0"/>
    <x v="0"/>
    <n v="0"/>
    <n v="0"/>
    <n v="1"/>
    <n v="0"/>
    <n v="0"/>
  </r>
  <r>
    <n v="645"/>
    <x v="1"/>
    <n v="3"/>
    <s v="Baclini, Miss. Eugenie"/>
    <n v="1"/>
    <x v="4"/>
    <n v="2"/>
    <n v="1"/>
    <s v="2666"/>
    <n v="19.258299999999998"/>
    <s v=""/>
    <x v="1"/>
    <n v="0"/>
    <n v="1"/>
    <n v="0"/>
    <x v="2"/>
    <n v="1"/>
    <n v="0"/>
    <n v="0"/>
    <n v="0"/>
    <n v="0"/>
  </r>
  <r>
    <n v="646"/>
    <x v="1"/>
    <n v="1"/>
    <s v="Harper, Mr. Henry Sleeper"/>
    <n v="0"/>
    <x v="64"/>
    <n v="1"/>
    <n v="0"/>
    <s v="PC 17572"/>
    <n v="76.729200000000006"/>
    <s v="D33"/>
    <x v="1"/>
    <n v="0"/>
    <n v="1"/>
    <n v="0"/>
    <x v="0"/>
    <n v="0"/>
    <n v="0"/>
    <n v="1"/>
    <n v="0"/>
    <n v="0"/>
  </r>
  <r>
    <n v="647"/>
    <x v="0"/>
    <n v="3"/>
    <s v="Cor, Mr. Liudevit"/>
    <n v="0"/>
    <x v="19"/>
    <n v="0"/>
    <n v="0"/>
    <s v="349231"/>
    <n v="7.8958000000000004"/>
    <s v=""/>
    <x v="0"/>
    <n v="1"/>
    <n v="0"/>
    <n v="0"/>
    <x v="0"/>
    <n v="0"/>
    <n v="0"/>
    <n v="1"/>
    <n v="0"/>
    <n v="0"/>
  </r>
  <r>
    <n v="648"/>
    <x v="1"/>
    <n v="1"/>
    <s v="Simonius-Blumer, Col. Oberst Alfons"/>
    <n v="0"/>
    <x v="52"/>
    <n v="0"/>
    <n v="0"/>
    <s v="13213"/>
    <n v="35.5"/>
    <s v="A26"/>
    <x v="1"/>
    <n v="0"/>
    <n v="1"/>
    <n v="0"/>
    <x v="13"/>
    <n v="0"/>
    <n v="0"/>
    <n v="0"/>
    <n v="0"/>
    <n v="1"/>
  </r>
  <r>
    <n v="649"/>
    <x v="0"/>
    <n v="3"/>
    <s v="Willey, Mr. Edward"/>
    <n v="0"/>
    <x v="4"/>
    <n v="0"/>
    <n v="0"/>
    <s v="S.O./P.P. 751"/>
    <n v="7.55"/>
    <s v=""/>
    <x v="0"/>
    <n v="1"/>
    <n v="0"/>
    <n v="0"/>
    <x v="0"/>
    <n v="0"/>
    <n v="0"/>
    <n v="1"/>
    <n v="0"/>
    <n v="0"/>
  </r>
  <r>
    <n v="650"/>
    <x v="1"/>
    <n v="3"/>
    <s v="Stanley, Miss. Amy Zillah Elsie"/>
    <n v="1"/>
    <x v="39"/>
    <n v="0"/>
    <n v="0"/>
    <s v="CA. 2314"/>
    <n v="7.55"/>
    <s v=""/>
    <x v="0"/>
    <n v="1"/>
    <n v="0"/>
    <n v="0"/>
    <x v="2"/>
    <n v="1"/>
    <n v="0"/>
    <n v="0"/>
    <n v="0"/>
    <n v="0"/>
  </r>
  <r>
    <n v="651"/>
    <x v="0"/>
    <n v="3"/>
    <s v="Mitkoff, Mr. Mito"/>
    <n v="0"/>
    <x v="4"/>
    <n v="0"/>
    <n v="0"/>
    <s v="349221"/>
    <n v="7.8958000000000004"/>
    <s v=""/>
    <x v="0"/>
    <n v="1"/>
    <n v="0"/>
    <n v="0"/>
    <x v="0"/>
    <n v="0"/>
    <n v="0"/>
    <n v="1"/>
    <n v="0"/>
    <n v="0"/>
  </r>
  <r>
    <n v="652"/>
    <x v="1"/>
    <n v="2"/>
    <s v="Doling, Miss. Elsie"/>
    <n v="1"/>
    <x v="24"/>
    <n v="0"/>
    <n v="1"/>
    <s v="231919"/>
    <n v="23"/>
    <s v=""/>
    <x v="0"/>
    <n v="1"/>
    <n v="0"/>
    <n v="0"/>
    <x v="2"/>
    <n v="1"/>
    <n v="0"/>
    <n v="0"/>
    <n v="0"/>
    <n v="0"/>
  </r>
  <r>
    <n v="653"/>
    <x v="0"/>
    <n v="3"/>
    <s v="Kalvik, Mr. Johannes Halvorsen"/>
    <n v="0"/>
    <x v="23"/>
    <n v="0"/>
    <n v="0"/>
    <s v="8475"/>
    <n v="8.4332999999999991"/>
    <s v=""/>
    <x v="0"/>
    <n v="1"/>
    <n v="0"/>
    <n v="0"/>
    <x v="0"/>
    <n v="0"/>
    <n v="0"/>
    <n v="1"/>
    <n v="0"/>
    <n v="0"/>
  </r>
  <r>
    <n v="654"/>
    <x v="1"/>
    <n v="3"/>
    <s v="O'Leary, Miss. Hanora &quot;Norah&quot;"/>
    <n v="1"/>
    <x v="4"/>
    <n v="0"/>
    <n v="0"/>
    <s v="330919"/>
    <n v="7.8292000000000002"/>
    <s v=""/>
    <x v="2"/>
    <n v="0"/>
    <n v="0"/>
    <n v="1"/>
    <x v="2"/>
    <n v="1"/>
    <n v="0"/>
    <n v="0"/>
    <n v="0"/>
    <n v="0"/>
  </r>
  <r>
    <n v="655"/>
    <x v="0"/>
    <n v="3"/>
    <s v="Hegarty, Miss. Hanora &quot;Nora&quot;"/>
    <n v="1"/>
    <x v="24"/>
    <n v="0"/>
    <n v="0"/>
    <s v="365226"/>
    <n v="6.75"/>
    <s v=""/>
    <x v="2"/>
    <n v="0"/>
    <n v="0"/>
    <n v="1"/>
    <x v="2"/>
    <n v="1"/>
    <n v="0"/>
    <n v="0"/>
    <n v="0"/>
    <n v="0"/>
  </r>
  <r>
    <n v="656"/>
    <x v="0"/>
    <n v="2"/>
    <s v="Hickman, Mr. Leonard Mark"/>
    <n v="0"/>
    <x v="40"/>
    <n v="2"/>
    <n v="0"/>
    <s v="S.O.C. 14879"/>
    <n v="73.5"/>
    <s v=""/>
    <x v="0"/>
    <n v="1"/>
    <n v="0"/>
    <n v="0"/>
    <x v="0"/>
    <n v="0"/>
    <n v="0"/>
    <n v="1"/>
    <n v="0"/>
    <n v="0"/>
  </r>
  <r>
    <n v="657"/>
    <x v="0"/>
    <n v="3"/>
    <s v="Radeff, Mr. Alexander"/>
    <n v="0"/>
    <x v="4"/>
    <n v="0"/>
    <n v="0"/>
    <s v="349223"/>
    <n v="7.8958000000000004"/>
    <s v=""/>
    <x v="0"/>
    <n v="1"/>
    <n v="0"/>
    <n v="0"/>
    <x v="0"/>
    <n v="0"/>
    <n v="0"/>
    <n v="1"/>
    <n v="0"/>
    <n v="0"/>
  </r>
  <r>
    <n v="658"/>
    <x v="0"/>
    <n v="3"/>
    <s v="Bourke, Mrs. John (Catherine)"/>
    <n v="1"/>
    <x v="34"/>
    <n v="1"/>
    <n v="1"/>
    <s v="364849"/>
    <n v="15.5"/>
    <s v=""/>
    <x v="2"/>
    <n v="0"/>
    <n v="0"/>
    <n v="1"/>
    <x v="1"/>
    <n v="0"/>
    <n v="1"/>
    <n v="0"/>
    <n v="0"/>
    <n v="0"/>
  </r>
  <r>
    <n v="659"/>
    <x v="0"/>
    <n v="2"/>
    <s v="Eitemiller, Mr. George Floyd"/>
    <n v="0"/>
    <x v="39"/>
    <n v="0"/>
    <n v="0"/>
    <s v="29751"/>
    <n v="13"/>
    <s v=""/>
    <x v="0"/>
    <n v="1"/>
    <n v="0"/>
    <n v="0"/>
    <x v="0"/>
    <n v="0"/>
    <n v="0"/>
    <n v="1"/>
    <n v="0"/>
    <n v="0"/>
  </r>
  <r>
    <n v="660"/>
    <x v="0"/>
    <n v="1"/>
    <s v="Newell, Mr. Arthur Webster"/>
    <n v="0"/>
    <x v="10"/>
    <n v="0"/>
    <n v="2"/>
    <s v="35273"/>
    <n v="113.27500000000001"/>
    <s v="D48"/>
    <x v="1"/>
    <n v="0"/>
    <n v="1"/>
    <n v="0"/>
    <x v="0"/>
    <n v="0"/>
    <n v="0"/>
    <n v="1"/>
    <n v="0"/>
    <n v="0"/>
  </r>
  <r>
    <n v="661"/>
    <x v="1"/>
    <n v="1"/>
    <s v="Frauenthal, Dr. Henry William"/>
    <n v="0"/>
    <x v="53"/>
    <n v="2"/>
    <n v="0"/>
    <s v="PC 17611"/>
    <n v="133.65"/>
    <s v=""/>
    <x v="0"/>
    <n v="1"/>
    <n v="0"/>
    <n v="0"/>
    <x v="6"/>
    <n v="0"/>
    <n v="0"/>
    <n v="0"/>
    <n v="0"/>
    <n v="1"/>
  </r>
  <r>
    <n v="662"/>
    <x v="0"/>
    <n v="3"/>
    <s v="Badt, Mr. Mohamed"/>
    <n v="0"/>
    <x v="20"/>
    <n v="0"/>
    <n v="0"/>
    <s v="2623"/>
    <n v="7.2249999999999996"/>
    <s v=""/>
    <x v="1"/>
    <n v="0"/>
    <n v="1"/>
    <n v="0"/>
    <x v="0"/>
    <n v="0"/>
    <n v="0"/>
    <n v="1"/>
    <n v="0"/>
    <n v="0"/>
  </r>
  <r>
    <n v="663"/>
    <x v="0"/>
    <n v="1"/>
    <s v="Colley, Mr. Edward Pomeroy"/>
    <n v="0"/>
    <x v="45"/>
    <n v="0"/>
    <n v="0"/>
    <s v="5727"/>
    <n v="25.587499999999999"/>
    <s v="E58"/>
    <x v="0"/>
    <n v="1"/>
    <n v="0"/>
    <n v="0"/>
    <x v="0"/>
    <n v="0"/>
    <n v="0"/>
    <n v="1"/>
    <n v="0"/>
    <n v="0"/>
  </r>
  <r>
    <n v="664"/>
    <x v="0"/>
    <n v="3"/>
    <s v="Coleff, Mr. Peju"/>
    <n v="0"/>
    <x v="54"/>
    <n v="0"/>
    <n v="0"/>
    <s v="349210"/>
    <n v="7.4958"/>
    <s v=""/>
    <x v="0"/>
    <n v="1"/>
    <n v="0"/>
    <n v="0"/>
    <x v="0"/>
    <n v="0"/>
    <n v="0"/>
    <n v="1"/>
    <n v="0"/>
    <n v="0"/>
  </r>
  <r>
    <n v="665"/>
    <x v="1"/>
    <n v="3"/>
    <s v="Lindqvist, Mr. Eino William"/>
    <n v="0"/>
    <x v="11"/>
    <n v="1"/>
    <n v="0"/>
    <s v="STON/O 2. 3101285"/>
    <n v="7.9249999999999998"/>
    <s v=""/>
    <x v="0"/>
    <n v="1"/>
    <n v="0"/>
    <n v="0"/>
    <x v="0"/>
    <n v="0"/>
    <n v="0"/>
    <n v="1"/>
    <n v="0"/>
    <n v="0"/>
  </r>
  <r>
    <n v="666"/>
    <x v="0"/>
    <n v="2"/>
    <s v="Hickman, Mr. Lewis"/>
    <n v="0"/>
    <x v="34"/>
    <n v="2"/>
    <n v="0"/>
    <s v="S.O.C. 14879"/>
    <n v="73.5"/>
    <s v=""/>
    <x v="0"/>
    <n v="1"/>
    <n v="0"/>
    <n v="0"/>
    <x v="0"/>
    <n v="0"/>
    <n v="0"/>
    <n v="1"/>
    <n v="0"/>
    <n v="0"/>
  </r>
  <r>
    <n v="667"/>
    <x v="0"/>
    <n v="2"/>
    <s v="Butler, Mr. Reginald Fenton"/>
    <n v="0"/>
    <x v="36"/>
    <n v="0"/>
    <n v="0"/>
    <s v="234686"/>
    <n v="13"/>
    <s v=""/>
    <x v="0"/>
    <n v="1"/>
    <n v="0"/>
    <n v="0"/>
    <x v="0"/>
    <n v="0"/>
    <n v="0"/>
    <n v="1"/>
    <n v="0"/>
    <n v="0"/>
  </r>
  <r>
    <n v="668"/>
    <x v="0"/>
    <n v="3"/>
    <s v="Rommetvedt, Mr. Knud Paust"/>
    <n v="0"/>
    <x v="4"/>
    <n v="0"/>
    <n v="0"/>
    <s v="312993"/>
    <n v="7.7750000000000004"/>
    <s v=""/>
    <x v="0"/>
    <n v="1"/>
    <n v="0"/>
    <n v="0"/>
    <x v="0"/>
    <n v="0"/>
    <n v="0"/>
    <n v="1"/>
    <n v="0"/>
    <n v="0"/>
  </r>
  <r>
    <n v="669"/>
    <x v="0"/>
    <n v="3"/>
    <s v="Cook, Mr. Jacob"/>
    <n v="0"/>
    <x v="59"/>
    <n v="0"/>
    <n v="0"/>
    <s v="A/5 3536"/>
    <n v="8.0500000000000007"/>
    <s v=""/>
    <x v="0"/>
    <n v="1"/>
    <n v="0"/>
    <n v="0"/>
    <x v="0"/>
    <n v="0"/>
    <n v="0"/>
    <n v="1"/>
    <n v="0"/>
    <n v="0"/>
  </r>
  <r>
    <n v="670"/>
    <x v="1"/>
    <n v="1"/>
    <s v="Taylor, Mrs. Elmer Zebley (Juliet Cummins Wright)"/>
    <n v="1"/>
    <x v="4"/>
    <n v="1"/>
    <n v="0"/>
    <s v="19996"/>
    <n v="52"/>
    <s v="C126"/>
    <x v="0"/>
    <n v="1"/>
    <n v="0"/>
    <n v="0"/>
    <x v="1"/>
    <n v="0"/>
    <n v="1"/>
    <n v="0"/>
    <n v="0"/>
    <n v="0"/>
  </r>
  <r>
    <n v="671"/>
    <x v="1"/>
    <n v="2"/>
    <s v="Brown, Mrs. Thomas William Solomon (Elizabeth Catherine Ford)"/>
    <n v="1"/>
    <x v="20"/>
    <n v="1"/>
    <n v="1"/>
    <s v="29750"/>
    <n v="39"/>
    <s v=""/>
    <x v="0"/>
    <n v="1"/>
    <n v="0"/>
    <n v="0"/>
    <x v="1"/>
    <n v="0"/>
    <n v="1"/>
    <n v="0"/>
    <n v="0"/>
    <n v="0"/>
  </r>
  <r>
    <n v="672"/>
    <x v="0"/>
    <n v="1"/>
    <s v="Davidson, Mr. Thornton"/>
    <n v="0"/>
    <x v="14"/>
    <n v="1"/>
    <n v="0"/>
    <s v="F.C. 12750"/>
    <n v="52"/>
    <s v="B71"/>
    <x v="0"/>
    <n v="1"/>
    <n v="0"/>
    <n v="0"/>
    <x v="0"/>
    <n v="0"/>
    <n v="0"/>
    <n v="1"/>
    <n v="0"/>
    <n v="0"/>
  </r>
  <r>
    <n v="673"/>
    <x v="0"/>
    <n v="2"/>
    <s v="Mitchell, Mr. Henry Michael"/>
    <n v="0"/>
    <x v="68"/>
    <n v="0"/>
    <n v="0"/>
    <s v="C.A. 24580"/>
    <n v="10.5"/>
    <s v=""/>
    <x v="0"/>
    <n v="1"/>
    <n v="0"/>
    <n v="0"/>
    <x v="0"/>
    <n v="0"/>
    <n v="0"/>
    <n v="1"/>
    <n v="0"/>
    <n v="0"/>
  </r>
  <r>
    <n v="674"/>
    <x v="1"/>
    <n v="2"/>
    <s v="Wilhelms, Mr. Charles"/>
    <n v="0"/>
    <x v="14"/>
    <n v="0"/>
    <n v="0"/>
    <s v="244270"/>
    <n v="13"/>
    <s v=""/>
    <x v="0"/>
    <n v="1"/>
    <n v="0"/>
    <n v="0"/>
    <x v="0"/>
    <n v="0"/>
    <n v="0"/>
    <n v="1"/>
    <n v="0"/>
    <n v="0"/>
  </r>
  <r>
    <n v="675"/>
    <x v="0"/>
    <n v="2"/>
    <s v="Watson, Mr. Ennis Hastings"/>
    <n v="0"/>
    <x v="4"/>
    <n v="0"/>
    <n v="0"/>
    <s v="239856"/>
    <n v="0"/>
    <s v=""/>
    <x v="0"/>
    <n v="1"/>
    <n v="0"/>
    <n v="0"/>
    <x v="0"/>
    <n v="0"/>
    <n v="0"/>
    <n v="1"/>
    <n v="0"/>
    <n v="0"/>
  </r>
  <r>
    <n v="676"/>
    <x v="0"/>
    <n v="3"/>
    <s v="Edvardsson, Mr. Gustaf Hjalmar"/>
    <n v="0"/>
    <x v="24"/>
    <n v="0"/>
    <n v="0"/>
    <s v="349912"/>
    <n v="7.7750000000000004"/>
    <s v=""/>
    <x v="0"/>
    <n v="1"/>
    <n v="0"/>
    <n v="0"/>
    <x v="0"/>
    <n v="0"/>
    <n v="0"/>
    <n v="1"/>
    <n v="0"/>
    <n v="0"/>
  </r>
  <r>
    <n v="677"/>
    <x v="0"/>
    <n v="3"/>
    <s v="Sawyer, Mr. Frederick Charles"/>
    <n v="0"/>
    <x v="4"/>
    <n v="0"/>
    <n v="0"/>
    <s v="342826"/>
    <n v="8.0500000000000007"/>
    <s v=""/>
    <x v="0"/>
    <n v="1"/>
    <n v="0"/>
    <n v="0"/>
    <x v="0"/>
    <n v="0"/>
    <n v="0"/>
    <n v="1"/>
    <n v="0"/>
    <n v="0"/>
  </r>
  <r>
    <n v="678"/>
    <x v="1"/>
    <n v="3"/>
    <s v="Turja, Miss. Anna Sofia"/>
    <n v="1"/>
    <x v="24"/>
    <n v="0"/>
    <n v="0"/>
    <s v="4138"/>
    <n v="9.8416999999999994"/>
    <s v=""/>
    <x v="0"/>
    <n v="1"/>
    <n v="0"/>
    <n v="0"/>
    <x v="2"/>
    <n v="1"/>
    <n v="0"/>
    <n v="0"/>
    <n v="0"/>
    <n v="0"/>
  </r>
  <r>
    <n v="679"/>
    <x v="0"/>
    <n v="3"/>
    <s v="Goodwin, Mrs. Frederick (Augusta Tyler)"/>
    <n v="1"/>
    <x v="59"/>
    <n v="1"/>
    <n v="6"/>
    <s v="CA 2144"/>
    <n v="46.9"/>
    <s v=""/>
    <x v="0"/>
    <n v="1"/>
    <n v="0"/>
    <n v="0"/>
    <x v="1"/>
    <n v="0"/>
    <n v="1"/>
    <n v="0"/>
    <n v="0"/>
    <n v="0"/>
  </r>
  <r>
    <n v="680"/>
    <x v="1"/>
    <n v="1"/>
    <s v="Cardeza, Mr. Thomas Drake Martinez"/>
    <n v="0"/>
    <x v="54"/>
    <n v="0"/>
    <n v="1"/>
    <s v="PC 17755"/>
    <n v="512.32920000000001"/>
    <s v="B51 B53 B55"/>
    <x v="1"/>
    <n v="0"/>
    <n v="1"/>
    <n v="0"/>
    <x v="0"/>
    <n v="0"/>
    <n v="0"/>
    <n v="1"/>
    <n v="0"/>
    <n v="0"/>
  </r>
  <r>
    <n v="681"/>
    <x v="0"/>
    <n v="3"/>
    <s v="Peters, Miss. Katie"/>
    <n v="1"/>
    <x v="4"/>
    <n v="0"/>
    <n v="0"/>
    <s v="330935"/>
    <n v="8.1374999999999993"/>
    <s v=""/>
    <x v="2"/>
    <n v="0"/>
    <n v="0"/>
    <n v="1"/>
    <x v="2"/>
    <n v="1"/>
    <n v="0"/>
    <n v="0"/>
    <n v="0"/>
    <n v="0"/>
  </r>
  <r>
    <n v="682"/>
    <x v="1"/>
    <n v="1"/>
    <s v="Hassab, Mr. Hammad"/>
    <n v="0"/>
    <x v="7"/>
    <n v="0"/>
    <n v="0"/>
    <s v="PC 17572"/>
    <n v="76.729200000000006"/>
    <s v="D49"/>
    <x v="1"/>
    <n v="0"/>
    <n v="1"/>
    <n v="0"/>
    <x v="0"/>
    <n v="0"/>
    <n v="0"/>
    <n v="1"/>
    <n v="0"/>
    <n v="0"/>
  </r>
  <r>
    <n v="683"/>
    <x v="0"/>
    <n v="3"/>
    <s v="Olsvigen, Mr. Thor Anderson"/>
    <n v="0"/>
    <x v="11"/>
    <n v="0"/>
    <n v="0"/>
    <s v="6563"/>
    <n v="9.2249999999999996"/>
    <s v=""/>
    <x v="0"/>
    <n v="1"/>
    <n v="0"/>
    <n v="0"/>
    <x v="0"/>
    <n v="0"/>
    <n v="0"/>
    <n v="1"/>
    <n v="0"/>
    <n v="0"/>
  </r>
  <r>
    <n v="684"/>
    <x v="0"/>
    <n v="3"/>
    <s v="Goodwin, Mr. Charles Edward"/>
    <n v="0"/>
    <x v="8"/>
    <n v="5"/>
    <n v="2"/>
    <s v="CA 2144"/>
    <n v="46.9"/>
    <s v=""/>
    <x v="0"/>
    <n v="1"/>
    <n v="0"/>
    <n v="0"/>
    <x v="0"/>
    <n v="0"/>
    <n v="0"/>
    <n v="1"/>
    <n v="0"/>
    <n v="0"/>
  </r>
  <r>
    <n v="685"/>
    <x v="0"/>
    <n v="2"/>
    <s v="Brown, Mr. Thomas William Solomon"/>
    <n v="0"/>
    <x v="60"/>
    <n v="1"/>
    <n v="1"/>
    <s v="29750"/>
    <n v="39"/>
    <s v=""/>
    <x v="0"/>
    <n v="1"/>
    <n v="0"/>
    <n v="0"/>
    <x v="0"/>
    <n v="0"/>
    <n v="0"/>
    <n v="1"/>
    <n v="0"/>
    <n v="0"/>
  </r>
  <r>
    <n v="686"/>
    <x v="0"/>
    <n v="2"/>
    <s v="Laroche, Mr. Joseph Philippe Lemercier"/>
    <n v="0"/>
    <x v="36"/>
    <n v="1"/>
    <n v="2"/>
    <s v="SC/Paris 2123"/>
    <n v="41.5792"/>
    <s v=""/>
    <x v="1"/>
    <n v="0"/>
    <n v="1"/>
    <n v="0"/>
    <x v="0"/>
    <n v="0"/>
    <n v="0"/>
    <n v="1"/>
    <n v="0"/>
    <n v="0"/>
  </r>
  <r>
    <n v="687"/>
    <x v="0"/>
    <n v="3"/>
    <s v="Panula, Mr. Jaako Arnold"/>
    <n v="0"/>
    <x v="8"/>
    <n v="4"/>
    <n v="1"/>
    <s v="3101295"/>
    <n v="39.6875"/>
    <s v=""/>
    <x v="0"/>
    <n v="1"/>
    <n v="0"/>
    <n v="0"/>
    <x v="0"/>
    <n v="0"/>
    <n v="0"/>
    <n v="1"/>
    <n v="0"/>
    <n v="0"/>
  </r>
  <r>
    <n v="688"/>
    <x v="0"/>
    <n v="3"/>
    <s v="Dakic, Mr. Branko"/>
    <n v="0"/>
    <x v="19"/>
    <n v="0"/>
    <n v="0"/>
    <s v="349228"/>
    <n v="10.1708"/>
    <s v=""/>
    <x v="0"/>
    <n v="1"/>
    <n v="0"/>
    <n v="0"/>
    <x v="0"/>
    <n v="0"/>
    <n v="0"/>
    <n v="1"/>
    <n v="0"/>
    <n v="0"/>
  </r>
  <r>
    <n v="689"/>
    <x v="0"/>
    <n v="3"/>
    <s v="Fischer, Mr. Eberhard Thelander"/>
    <n v="0"/>
    <x v="24"/>
    <n v="0"/>
    <n v="0"/>
    <s v="350036"/>
    <n v="7.7957999999999998"/>
    <s v=""/>
    <x v="0"/>
    <n v="1"/>
    <n v="0"/>
    <n v="0"/>
    <x v="0"/>
    <n v="0"/>
    <n v="0"/>
    <n v="1"/>
    <n v="0"/>
    <n v="0"/>
  </r>
  <r>
    <n v="690"/>
    <x v="1"/>
    <n v="1"/>
    <s v="Madill, Miss. Georgette Alexandra"/>
    <n v="1"/>
    <x v="16"/>
    <n v="0"/>
    <n v="1"/>
    <s v="24160"/>
    <n v="211.33750000000001"/>
    <s v="B5"/>
    <x v="0"/>
    <n v="1"/>
    <n v="0"/>
    <n v="0"/>
    <x v="2"/>
    <n v="1"/>
    <n v="0"/>
    <n v="0"/>
    <n v="0"/>
    <n v="0"/>
  </r>
  <r>
    <n v="691"/>
    <x v="1"/>
    <n v="1"/>
    <s v="Dick, Mr. Albert Adrian"/>
    <n v="0"/>
    <x v="14"/>
    <n v="1"/>
    <n v="0"/>
    <s v="17474"/>
    <n v="57"/>
    <s v="B20"/>
    <x v="0"/>
    <n v="1"/>
    <n v="0"/>
    <n v="0"/>
    <x v="0"/>
    <n v="0"/>
    <n v="0"/>
    <n v="1"/>
    <n v="0"/>
    <n v="0"/>
  </r>
  <r>
    <n v="692"/>
    <x v="1"/>
    <n v="3"/>
    <s v="Karun, Miss. Manca"/>
    <n v="1"/>
    <x v="9"/>
    <n v="0"/>
    <n v="1"/>
    <s v="349256"/>
    <n v="13.416700000000001"/>
    <s v=""/>
    <x v="1"/>
    <n v="0"/>
    <n v="1"/>
    <n v="0"/>
    <x v="2"/>
    <n v="1"/>
    <n v="0"/>
    <n v="0"/>
    <n v="0"/>
    <n v="0"/>
  </r>
  <r>
    <n v="693"/>
    <x v="1"/>
    <n v="3"/>
    <s v="Lam, Mr. Ali"/>
    <n v="0"/>
    <x v="4"/>
    <n v="0"/>
    <n v="0"/>
    <s v="1601"/>
    <n v="56.495800000000003"/>
    <s v=""/>
    <x v="0"/>
    <n v="1"/>
    <n v="0"/>
    <n v="0"/>
    <x v="0"/>
    <n v="0"/>
    <n v="0"/>
    <n v="1"/>
    <n v="0"/>
    <n v="0"/>
  </r>
  <r>
    <n v="694"/>
    <x v="0"/>
    <n v="3"/>
    <s v="Saad, Mr. Khalil"/>
    <n v="0"/>
    <x v="36"/>
    <n v="0"/>
    <n v="0"/>
    <s v="2672"/>
    <n v="7.2249999999999996"/>
    <s v=""/>
    <x v="1"/>
    <n v="0"/>
    <n v="1"/>
    <n v="0"/>
    <x v="0"/>
    <n v="0"/>
    <n v="0"/>
    <n v="1"/>
    <n v="0"/>
    <n v="0"/>
  </r>
  <r>
    <n v="695"/>
    <x v="0"/>
    <n v="1"/>
    <s v="Weir, Col. John"/>
    <n v="0"/>
    <x v="60"/>
    <n v="0"/>
    <n v="0"/>
    <s v="113800"/>
    <n v="26.55"/>
    <s v=""/>
    <x v="0"/>
    <n v="1"/>
    <n v="0"/>
    <n v="0"/>
    <x v="13"/>
    <n v="0"/>
    <n v="0"/>
    <n v="0"/>
    <n v="0"/>
    <n v="1"/>
  </r>
  <r>
    <n v="696"/>
    <x v="0"/>
    <n v="2"/>
    <s v="Chapman, Mr. Charles Henry"/>
    <n v="0"/>
    <x v="57"/>
    <n v="0"/>
    <n v="0"/>
    <s v="248731"/>
    <n v="13.5"/>
    <s v=""/>
    <x v="0"/>
    <n v="1"/>
    <n v="0"/>
    <n v="0"/>
    <x v="0"/>
    <n v="0"/>
    <n v="0"/>
    <n v="1"/>
    <n v="0"/>
    <n v="0"/>
  </r>
  <r>
    <n v="697"/>
    <x v="0"/>
    <n v="3"/>
    <s v="Kelly, Mr. James"/>
    <n v="0"/>
    <x v="49"/>
    <n v="0"/>
    <n v="0"/>
    <s v="363592"/>
    <n v="8.0500000000000007"/>
    <s v=""/>
    <x v="0"/>
    <n v="1"/>
    <n v="0"/>
    <n v="0"/>
    <x v="0"/>
    <n v="0"/>
    <n v="0"/>
    <n v="1"/>
    <n v="0"/>
    <n v="0"/>
  </r>
  <r>
    <n v="698"/>
    <x v="1"/>
    <n v="3"/>
    <s v="Mullens, Miss. Katherine &quot;Katie&quot;"/>
    <n v="1"/>
    <x v="4"/>
    <n v="0"/>
    <n v="0"/>
    <s v="35852"/>
    <n v="7.7332999999999998"/>
    <s v=""/>
    <x v="2"/>
    <n v="0"/>
    <n v="0"/>
    <n v="1"/>
    <x v="2"/>
    <n v="1"/>
    <n v="0"/>
    <n v="0"/>
    <n v="0"/>
    <n v="0"/>
  </r>
  <r>
    <n v="699"/>
    <x v="0"/>
    <n v="1"/>
    <s v="Thayer, Mr. John Borland"/>
    <n v="0"/>
    <x v="27"/>
    <n v="1"/>
    <n v="1"/>
    <s v="17421"/>
    <n v="110.88330000000001"/>
    <s v="C68"/>
    <x v="1"/>
    <n v="0"/>
    <n v="1"/>
    <n v="0"/>
    <x v="0"/>
    <n v="0"/>
    <n v="0"/>
    <n v="1"/>
    <n v="0"/>
    <n v="0"/>
  </r>
  <r>
    <n v="700"/>
    <x v="0"/>
    <n v="3"/>
    <s v="Humblen, Mr. Adolf Mathias Nicolai Olsen"/>
    <n v="0"/>
    <x v="22"/>
    <n v="0"/>
    <n v="0"/>
    <s v="348121"/>
    <n v="7.65"/>
    <s v="F G63"/>
    <x v="0"/>
    <n v="1"/>
    <n v="0"/>
    <n v="0"/>
    <x v="0"/>
    <n v="0"/>
    <n v="0"/>
    <n v="1"/>
    <n v="0"/>
    <n v="0"/>
  </r>
  <r>
    <n v="701"/>
    <x v="1"/>
    <n v="1"/>
    <s v="Astor, Mrs. John Jacob (Madeleine Talmadge Force)"/>
    <n v="1"/>
    <x v="24"/>
    <n v="1"/>
    <n v="0"/>
    <s v="PC 17757"/>
    <n v="227.52500000000001"/>
    <s v="C62 C64"/>
    <x v="1"/>
    <n v="0"/>
    <n v="1"/>
    <n v="0"/>
    <x v="1"/>
    <n v="0"/>
    <n v="1"/>
    <n v="0"/>
    <n v="0"/>
    <n v="0"/>
  </r>
  <r>
    <n v="702"/>
    <x v="1"/>
    <n v="1"/>
    <s v="Silverthorne, Mr. Spencer Victor"/>
    <n v="0"/>
    <x v="3"/>
    <n v="0"/>
    <n v="0"/>
    <s v="PC 17475"/>
    <n v="26.287500000000001"/>
    <s v="E24"/>
    <x v="0"/>
    <n v="1"/>
    <n v="0"/>
    <n v="0"/>
    <x v="0"/>
    <n v="0"/>
    <n v="0"/>
    <n v="1"/>
    <n v="0"/>
    <n v="0"/>
  </r>
  <r>
    <n v="703"/>
    <x v="0"/>
    <n v="3"/>
    <s v="Barbara, Miss. Saiide"/>
    <n v="1"/>
    <x v="24"/>
    <n v="0"/>
    <n v="1"/>
    <s v="2691"/>
    <n v="14.4542"/>
    <s v=""/>
    <x v="1"/>
    <n v="0"/>
    <n v="1"/>
    <n v="0"/>
    <x v="2"/>
    <n v="1"/>
    <n v="0"/>
    <n v="0"/>
    <n v="0"/>
    <n v="0"/>
  </r>
  <r>
    <n v="704"/>
    <x v="0"/>
    <n v="3"/>
    <s v="Gallagher, Mr. Martin"/>
    <n v="0"/>
    <x v="36"/>
    <n v="0"/>
    <n v="0"/>
    <s v="36864"/>
    <n v="7.7416999999999998"/>
    <s v=""/>
    <x v="2"/>
    <n v="0"/>
    <n v="0"/>
    <n v="1"/>
    <x v="0"/>
    <n v="0"/>
    <n v="0"/>
    <n v="1"/>
    <n v="0"/>
    <n v="0"/>
  </r>
  <r>
    <n v="705"/>
    <x v="0"/>
    <n v="3"/>
    <s v="Hansen, Mr. Henrik Juul"/>
    <n v="0"/>
    <x v="2"/>
    <n v="1"/>
    <n v="0"/>
    <s v="350025"/>
    <n v="7.8541999999999996"/>
    <s v=""/>
    <x v="0"/>
    <n v="1"/>
    <n v="0"/>
    <n v="0"/>
    <x v="0"/>
    <n v="0"/>
    <n v="0"/>
    <n v="1"/>
    <n v="0"/>
    <n v="0"/>
  </r>
  <r>
    <n v="706"/>
    <x v="0"/>
    <n v="2"/>
    <s v="Morley, Mr. Henry Samuel (&quot;Mr Henry Marshall&quot;)"/>
    <n v="0"/>
    <x v="12"/>
    <n v="0"/>
    <n v="0"/>
    <s v="250655"/>
    <n v="26"/>
    <s v=""/>
    <x v="0"/>
    <n v="1"/>
    <n v="0"/>
    <n v="0"/>
    <x v="0"/>
    <n v="0"/>
    <n v="0"/>
    <n v="1"/>
    <n v="0"/>
    <n v="0"/>
  </r>
  <r>
    <n v="707"/>
    <x v="1"/>
    <n v="2"/>
    <s v="Kelly, Mrs. Florence &quot;Fannie&quot;"/>
    <n v="1"/>
    <x v="32"/>
    <n v="0"/>
    <n v="0"/>
    <s v="223596"/>
    <n v="13.5"/>
    <s v=""/>
    <x v="0"/>
    <n v="1"/>
    <n v="0"/>
    <n v="0"/>
    <x v="1"/>
    <n v="0"/>
    <n v="1"/>
    <n v="0"/>
    <n v="0"/>
    <n v="0"/>
  </r>
  <r>
    <n v="708"/>
    <x v="1"/>
    <n v="1"/>
    <s v="Calderhead, Mr. Edward Pennington"/>
    <n v="0"/>
    <x v="22"/>
    <n v="0"/>
    <n v="0"/>
    <s v="PC 17476"/>
    <n v="26.287500000000001"/>
    <s v="E24"/>
    <x v="0"/>
    <n v="1"/>
    <n v="0"/>
    <n v="0"/>
    <x v="0"/>
    <n v="0"/>
    <n v="0"/>
    <n v="1"/>
    <n v="0"/>
    <n v="0"/>
  </r>
  <r>
    <n v="709"/>
    <x v="1"/>
    <n v="1"/>
    <s v="Cleaver, Miss. Alice"/>
    <n v="1"/>
    <x v="0"/>
    <n v="0"/>
    <n v="0"/>
    <s v="113781"/>
    <n v="151.55000000000001"/>
    <s v=""/>
    <x v="0"/>
    <n v="1"/>
    <n v="0"/>
    <n v="0"/>
    <x v="2"/>
    <n v="1"/>
    <n v="0"/>
    <n v="0"/>
    <n v="0"/>
    <n v="0"/>
  </r>
  <r>
    <n v="710"/>
    <x v="1"/>
    <n v="3"/>
    <s v="Moubarek, Master. Halim Gonios (&quot;William George&quot;)"/>
    <n v="0"/>
    <x v="4"/>
    <n v="1"/>
    <n v="1"/>
    <s v="2661"/>
    <n v="15.245799999999999"/>
    <s v=""/>
    <x v="1"/>
    <n v="0"/>
    <n v="1"/>
    <n v="0"/>
    <x v="3"/>
    <n v="0"/>
    <n v="0"/>
    <n v="0"/>
    <n v="1"/>
    <n v="0"/>
  </r>
  <r>
    <n v="711"/>
    <x v="1"/>
    <n v="1"/>
    <s v="Mayne, Mlle. Berthe Antonine (&quot;Mrs de Villiers&quot;)"/>
    <n v="1"/>
    <x v="40"/>
    <n v="0"/>
    <n v="0"/>
    <s v="PC 17482"/>
    <n v="49.504199999999997"/>
    <s v="C90"/>
    <x v="1"/>
    <n v="0"/>
    <n v="1"/>
    <n v="0"/>
    <x v="12"/>
    <n v="1"/>
    <n v="0"/>
    <n v="0"/>
    <n v="0"/>
    <n v="0"/>
  </r>
  <r>
    <n v="712"/>
    <x v="0"/>
    <n v="1"/>
    <s v="Klaber, Mr. Herman"/>
    <n v="0"/>
    <x v="4"/>
    <n v="0"/>
    <n v="0"/>
    <s v="113028"/>
    <n v="26.55"/>
    <s v="C124"/>
    <x v="0"/>
    <n v="1"/>
    <n v="0"/>
    <n v="0"/>
    <x v="0"/>
    <n v="0"/>
    <n v="0"/>
    <n v="1"/>
    <n v="0"/>
    <n v="0"/>
  </r>
  <r>
    <n v="713"/>
    <x v="1"/>
    <n v="1"/>
    <s v="Taylor, Mr. Elmer Zebley"/>
    <n v="0"/>
    <x v="64"/>
    <n v="1"/>
    <n v="0"/>
    <s v="19996"/>
    <n v="52"/>
    <s v="C126"/>
    <x v="0"/>
    <n v="1"/>
    <n v="0"/>
    <n v="0"/>
    <x v="0"/>
    <n v="0"/>
    <n v="0"/>
    <n v="1"/>
    <n v="0"/>
    <n v="0"/>
  </r>
  <r>
    <n v="714"/>
    <x v="0"/>
    <n v="3"/>
    <s v="Larsson, Mr. August Viktor"/>
    <n v="0"/>
    <x v="28"/>
    <n v="0"/>
    <n v="0"/>
    <s v="7545"/>
    <n v="9.4832999999999998"/>
    <s v=""/>
    <x v="0"/>
    <n v="1"/>
    <n v="0"/>
    <n v="0"/>
    <x v="0"/>
    <n v="0"/>
    <n v="0"/>
    <n v="1"/>
    <n v="0"/>
    <n v="0"/>
  </r>
  <r>
    <n v="715"/>
    <x v="0"/>
    <n v="2"/>
    <s v="Greenberg, Mr. Samuel"/>
    <n v="0"/>
    <x v="57"/>
    <n v="0"/>
    <n v="0"/>
    <s v="250647"/>
    <n v="13"/>
    <s v=""/>
    <x v="0"/>
    <n v="1"/>
    <n v="0"/>
    <n v="0"/>
    <x v="0"/>
    <n v="0"/>
    <n v="0"/>
    <n v="1"/>
    <n v="0"/>
    <n v="0"/>
  </r>
  <r>
    <n v="716"/>
    <x v="0"/>
    <n v="3"/>
    <s v="Soholt, Mr. Peter Andreas Lauritz Andersen"/>
    <n v="0"/>
    <x v="19"/>
    <n v="0"/>
    <n v="0"/>
    <s v="348124"/>
    <n v="7.65"/>
    <s v="F G73"/>
    <x v="0"/>
    <n v="1"/>
    <n v="0"/>
    <n v="0"/>
    <x v="0"/>
    <n v="0"/>
    <n v="0"/>
    <n v="1"/>
    <n v="0"/>
    <n v="0"/>
  </r>
  <r>
    <n v="717"/>
    <x v="1"/>
    <n v="1"/>
    <s v="Endres, Miss. Caroline Louise"/>
    <n v="1"/>
    <x v="1"/>
    <n v="0"/>
    <n v="0"/>
    <s v="PC 17757"/>
    <n v="227.52500000000001"/>
    <s v="C45"/>
    <x v="1"/>
    <n v="0"/>
    <n v="1"/>
    <n v="0"/>
    <x v="2"/>
    <n v="1"/>
    <n v="0"/>
    <n v="0"/>
    <n v="0"/>
    <n v="0"/>
  </r>
  <r>
    <n v="718"/>
    <x v="1"/>
    <n v="2"/>
    <s v="Troutt, Miss. Edwina Celia &quot;Winnie&quot;"/>
    <n v="1"/>
    <x v="7"/>
    <n v="0"/>
    <n v="0"/>
    <s v="34218"/>
    <n v="10.5"/>
    <s v="E101"/>
    <x v="0"/>
    <n v="1"/>
    <n v="0"/>
    <n v="0"/>
    <x v="2"/>
    <n v="1"/>
    <n v="0"/>
    <n v="0"/>
    <n v="0"/>
    <n v="0"/>
  </r>
  <r>
    <n v="719"/>
    <x v="0"/>
    <n v="3"/>
    <s v="McEvoy, Mr. Michael"/>
    <n v="0"/>
    <x v="4"/>
    <n v="0"/>
    <n v="0"/>
    <s v="36568"/>
    <n v="15.5"/>
    <s v=""/>
    <x v="2"/>
    <n v="0"/>
    <n v="0"/>
    <n v="1"/>
    <x v="0"/>
    <n v="0"/>
    <n v="0"/>
    <n v="1"/>
    <n v="0"/>
    <n v="0"/>
  </r>
  <r>
    <n v="720"/>
    <x v="0"/>
    <n v="3"/>
    <s v="Johnson, Mr. Malkolm Joackim"/>
    <n v="0"/>
    <x v="38"/>
    <n v="0"/>
    <n v="0"/>
    <s v="347062"/>
    <n v="7.7750000000000004"/>
    <s v=""/>
    <x v="0"/>
    <n v="1"/>
    <n v="0"/>
    <n v="0"/>
    <x v="0"/>
    <n v="0"/>
    <n v="0"/>
    <n v="1"/>
    <n v="0"/>
    <n v="0"/>
  </r>
  <r>
    <n v="721"/>
    <x v="1"/>
    <n v="2"/>
    <s v="Harper, Miss. Annie Jessie &quot;Nina&quot;"/>
    <n v="1"/>
    <x v="69"/>
    <n v="0"/>
    <n v="1"/>
    <s v="248727"/>
    <n v="33"/>
    <s v=""/>
    <x v="0"/>
    <n v="1"/>
    <n v="0"/>
    <n v="0"/>
    <x v="2"/>
    <n v="1"/>
    <n v="0"/>
    <n v="0"/>
    <n v="0"/>
    <n v="0"/>
  </r>
  <r>
    <n v="722"/>
    <x v="0"/>
    <n v="3"/>
    <s v="Jensen, Mr. Svend Lauritz"/>
    <n v="0"/>
    <x v="33"/>
    <n v="1"/>
    <n v="0"/>
    <s v="350048"/>
    <n v="7.0541999999999998"/>
    <s v=""/>
    <x v="0"/>
    <n v="1"/>
    <n v="0"/>
    <n v="0"/>
    <x v="0"/>
    <n v="0"/>
    <n v="0"/>
    <n v="1"/>
    <n v="0"/>
    <n v="0"/>
  </r>
  <r>
    <n v="723"/>
    <x v="0"/>
    <n v="2"/>
    <s v="Gillespie, Mr. William Henry"/>
    <n v="0"/>
    <x v="15"/>
    <n v="0"/>
    <n v="0"/>
    <s v="12233"/>
    <n v="13"/>
    <s v=""/>
    <x v="0"/>
    <n v="1"/>
    <n v="0"/>
    <n v="0"/>
    <x v="0"/>
    <n v="0"/>
    <n v="0"/>
    <n v="1"/>
    <n v="0"/>
    <n v="0"/>
  </r>
  <r>
    <n v="724"/>
    <x v="0"/>
    <n v="2"/>
    <s v="Hodges, Mr. Henry Price"/>
    <n v="0"/>
    <x v="53"/>
    <n v="0"/>
    <n v="0"/>
    <s v="250643"/>
    <n v="13"/>
    <s v=""/>
    <x v="0"/>
    <n v="1"/>
    <n v="0"/>
    <n v="0"/>
    <x v="0"/>
    <n v="0"/>
    <n v="0"/>
    <n v="1"/>
    <n v="0"/>
    <n v="0"/>
  </r>
  <r>
    <n v="725"/>
    <x v="1"/>
    <n v="1"/>
    <s v="Chambers, Mr. Norman Campbell"/>
    <n v="0"/>
    <x v="7"/>
    <n v="1"/>
    <n v="0"/>
    <s v="113806"/>
    <n v="53.1"/>
    <s v="E8"/>
    <x v="0"/>
    <n v="1"/>
    <n v="0"/>
    <n v="0"/>
    <x v="0"/>
    <n v="0"/>
    <n v="0"/>
    <n v="1"/>
    <n v="0"/>
    <n v="0"/>
  </r>
  <r>
    <n v="726"/>
    <x v="0"/>
    <n v="3"/>
    <s v="Oreskovic, Mr. Luka"/>
    <n v="0"/>
    <x v="11"/>
    <n v="0"/>
    <n v="0"/>
    <s v="315094"/>
    <n v="8.6624999999999996"/>
    <s v=""/>
    <x v="0"/>
    <n v="1"/>
    <n v="0"/>
    <n v="0"/>
    <x v="0"/>
    <n v="0"/>
    <n v="0"/>
    <n v="1"/>
    <n v="0"/>
    <n v="0"/>
  </r>
  <r>
    <n v="727"/>
    <x v="1"/>
    <n v="2"/>
    <s v="Renouf, Mrs. Peter Henry (Lillian Jefferys)"/>
    <n v="1"/>
    <x v="37"/>
    <n v="3"/>
    <n v="0"/>
    <s v="31027"/>
    <n v="21"/>
    <s v=""/>
    <x v="0"/>
    <n v="1"/>
    <n v="0"/>
    <n v="0"/>
    <x v="1"/>
    <n v="0"/>
    <n v="1"/>
    <n v="0"/>
    <n v="0"/>
    <n v="0"/>
  </r>
  <r>
    <n v="728"/>
    <x v="1"/>
    <n v="3"/>
    <s v="Mannion, Miss. Margareth"/>
    <n v="1"/>
    <x v="4"/>
    <n v="0"/>
    <n v="0"/>
    <s v="36866"/>
    <n v="7.7374999999999998"/>
    <s v=""/>
    <x v="2"/>
    <n v="0"/>
    <n v="0"/>
    <n v="1"/>
    <x v="2"/>
    <n v="1"/>
    <n v="0"/>
    <n v="0"/>
    <n v="0"/>
    <n v="0"/>
  </r>
  <r>
    <n v="729"/>
    <x v="0"/>
    <n v="2"/>
    <s v="Bryhl, Mr. Kurt Arnold Gottfrid"/>
    <n v="0"/>
    <x v="36"/>
    <n v="1"/>
    <n v="0"/>
    <s v="236853"/>
    <n v="26"/>
    <s v=""/>
    <x v="0"/>
    <n v="1"/>
    <n v="0"/>
    <n v="0"/>
    <x v="0"/>
    <n v="0"/>
    <n v="0"/>
    <n v="1"/>
    <n v="0"/>
    <n v="0"/>
  </r>
  <r>
    <n v="730"/>
    <x v="0"/>
    <n v="3"/>
    <s v="Ilmakangas, Miss. Pieta Sofia"/>
    <n v="1"/>
    <x v="36"/>
    <n v="1"/>
    <n v="0"/>
    <s v="STON/O2. 3101271"/>
    <n v="7.9249999999999998"/>
    <s v=""/>
    <x v="0"/>
    <n v="1"/>
    <n v="0"/>
    <n v="0"/>
    <x v="2"/>
    <n v="1"/>
    <n v="0"/>
    <n v="0"/>
    <n v="0"/>
    <n v="0"/>
  </r>
  <r>
    <n v="731"/>
    <x v="1"/>
    <n v="1"/>
    <s v="Allen, Miss. Elisabeth Walton"/>
    <n v="1"/>
    <x v="28"/>
    <n v="0"/>
    <n v="0"/>
    <s v="24160"/>
    <n v="211.33750000000001"/>
    <s v="B5"/>
    <x v="0"/>
    <n v="1"/>
    <n v="0"/>
    <n v="0"/>
    <x v="2"/>
    <n v="1"/>
    <n v="0"/>
    <n v="0"/>
    <n v="0"/>
    <n v="0"/>
  </r>
  <r>
    <n v="732"/>
    <x v="0"/>
    <n v="3"/>
    <s v="Hassan, Mr. Houssein G N"/>
    <n v="0"/>
    <x v="31"/>
    <n v="0"/>
    <n v="0"/>
    <s v="2699"/>
    <n v="18.787500000000001"/>
    <s v=""/>
    <x v="1"/>
    <n v="0"/>
    <n v="1"/>
    <n v="0"/>
    <x v="0"/>
    <n v="0"/>
    <n v="0"/>
    <n v="1"/>
    <n v="0"/>
    <n v="0"/>
  </r>
  <r>
    <n v="733"/>
    <x v="0"/>
    <n v="2"/>
    <s v="Knight, Mr. Robert J"/>
    <n v="0"/>
    <x v="4"/>
    <n v="0"/>
    <n v="0"/>
    <s v="239855"/>
    <n v="0"/>
    <s v=""/>
    <x v="0"/>
    <n v="1"/>
    <n v="0"/>
    <n v="0"/>
    <x v="0"/>
    <n v="0"/>
    <n v="0"/>
    <n v="1"/>
    <n v="0"/>
    <n v="0"/>
  </r>
  <r>
    <n v="734"/>
    <x v="0"/>
    <n v="2"/>
    <s v="Berriman, Mr. William John"/>
    <n v="0"/>
    <x v="39"/>
    <n v="0"/>
    <n v="0"/>
    <s v="28425"/>
    <n v="13"/>
    <s v=""/>
    <x v="0"/>
    <n v="1"/>
    <n v="0"/>
    <n v="0"/>
    <x v="0"/>
    <n v="0"/>
    <n v="0"/>
    <n v="1"/>
    <n v="0"/>
    <n v="0"/>
  </r>
  <r>
    <n v="735"/>
    <x v="0"/>
    <n v="2"/>
    <s v="Troupiansky, Mr. Moses Aaron"/>
    <n v="0"/>
    <x v="39"/>
    <n v="0"/>
    <n v="0"/>
    <s v="233639"/>
    <n v="13"/>
    <s v=""/>
    <x v="0"/>
    <n v="1"/>
    <n v="0"/>
    <n v="0"/>
    <x v="0"/>
    <n v="0"/>
    <n v="0"/>
    <n v="1"/>
    <n v="0"/>
    <n v="0"/>
  </r>
  <r>
    <n v="736"/>
    <x v="0"/>
    <n v="3"/>
    <s v="Williams, Mr. Leslie"/>
    <n v="0"/>
    <x v="4"/>
    <n v="0"/>
    <n v="0"/>
    <s v="54636"/>
    <n v="16.100000000000001"/>
    <s v=""/>
    <x v="0"/>
    <n v="1"/>
    <n v="0"/>
    <n v="0"/>
    <x v="0"/>
    <n v="0"/>
    <n v="0"/>
    <n v="1"/>
    <n v="0"/>
    <n v="0"/>
  </r>
  <r>
    <n v="737"/>
    <x v="0"/>
    <n v="3"/>
    <s v="Ford, Mrs. Edward (Margaret Ann Watson)"/>
    <n v="1"/>
    <x v="64"/>
    <n v="1"/>
    <n v="3"/>
    <s v="W./C. 6608"/>
    <n v="34.375"/>
    <s v=""/>
    <x v="0"/>
    <n v="1"/>
    <n v="0"/>
    <n v="0"/>
    <x v="1"/>
    <n v="0"/>
    <n v="1"/>
    <n v="0"/>
    <n v="0"/>
    <n v="0"/>
  </r>
  <r>
    <n v="738"/>
    <x v="1"/>
    <n v="1"/>
    <s v="Lesurer, Mr. Gustave J"/>
    <n v="0"/>
    <x v="3"/>
    <n v="0"/>
    <n v="0"/>
    <s v="PC 17755"/>
    <n v="512.32920000000001"/>
    <s v="B101"/>
    <x v="1"/>
    <n v="0"/>
    <n v="1"/>
    <n v="0"/>
    <x v="0"/>
    <n v="0"/>
    <n v="0"/>
    <n v="1"/>
    <n v="0"/>
    <n v="0"/>
  </r>
  <r>
    <n v="739"/>
    <x v="0"/>
    <n v="3"/>
    <s v="Ivanoff, Mr. Kanio"/>
    <n v="0"/>
    <x v="4"/>
    <n v="0"/>
    <n v="0"/>
    <s v="349201"/>
    <n v="7.8958000000000004"/>
    <s v=""/>
    <x v="0"/>
    <n v="1"/>
    <n v="0"/>
    <n v="0"/>
    <x v="0"/>
    <n v="0"/>
    <n v="0"/>
    <n v="1"/>
    <n v="0"/>
    <n v="0"/>
  </r>
  <r>
    <n v="740"/>
    <x v="0"/>
    <n v="3"/>
    <s v="Nankoff, Mr. Minko"/>
    <n v="0"/>
    <x v="4"/>
    <n v="0"/>
    <n v="0"/>
    <s v="349218"/>
    <n v="7.8958000000000004"/>
    <s v=""/>
    <x v="0"/>
    <n v="1"/>
    <n v="0"/>
    <n v="0"/>
    <x v="0"/>
    <n v="0"/>
    <n v="0"/>
    <n v="1"/>
    <n v="0"/>
    <n v="0"/>
  </r>
  <r>
    <n v="741"/>
    <x v="1"/>
    <n v="1"/>
    <s v="Hawksford, Mr. Walter James"/>
    <n v="0"/>
    <x v="4"/>
    <n v="0"/>
    <n v="0"/>
    <s v="16988"/>
    <n v="30"/>
    <s v="D45"/>
    <x v="0"/>
    <n v="1"/>
    <n v="0"/>
    <n v="0"/>
    <x v="0"/>
    <n v="0"/>
    <n v="0"/>
    <n v="1"/>
    <n v="0"/>
    <n v="0"/>
  </r>
  <r>
    <n v="742"/>
    <x v="0"/>
    <n v="1"/>
    <s v="Cavendish, Mr. Tyrell William"/>
    <n v="0"/>
    <x v="54"/>
    <n v="1"/>
    <n v="0"/>
    <s v="19877"/>
    <n v="78.849999999999994"/>
    <s v="C46"/>
    <x v="0"/>
    <n v="1"/>
    <n v="0"/>
    <n v="0"/>
    <x v="0"/>
    <n v="0"/>
    <n v="0"/>
    <n v="1"/>
    <n v="0"/>
    <n v="0"/>
  </r>
  <r>
    <n v="743"/>
    <x v="1"/>
    <n v="1"/>
    <s v="Ryerson, Miss. Susan Parker &quot;Suzette&quot;"/>
    <n v="1"/>
    <x v="23"/>
    <n v="2"/>
    <n v="2"/>
    <s v="PC 17608"/>
    <n v="262.375"/>
    <s v="B57 B59 B63 B66"/>
    <x v="1"/>
    <n v="0"/>
    <n v="1"/>
    <n v="0"/>
    <x v="2"/>
    <n v="1"/>
    <n v="0"/>
    <n v="0"/>
    <n v="0"/>
    <n v="0"/>
  </r>
  <r>
    <n v="744"/>
    <x v="0"/>
    <n v="3"/>
    <s v="McNamee, Mr. Neal"/>
    <n v="0"/>
    <x v="40"/>
    <n v="1"/>
    <n v="0"/>
    <s v="376566"/>
    <n v="16.100000000000001"/>
    <s v=""/>
    <x v="0"/>
    <n v="1"/>
    <n v="0"/>
    <n v="0"/>
    <x v="0"/>
    <n v="0"/>
    <n v="0"/>
    <n v="1"/>
    <n v="0"/>
    <n v="0"/>
  </r>
  <r>
    <n v="745"/>
    <x v="1"/>
    <n v="3"/>
    <s v="Stranden, Mr. Juho"/>
    <n v="0"/>
    <x v="14"/>
    <n v="0"/>
    <n v="0"/>
    <s v="STON/O 2. 3101288"/>
    <n v="7.9249999999999998"/>
    <s v=""/>
    <x v="0"/>
    <n v="1"/>
    <n v="0"/>
    <n v="0"/>
    <x v="0"/>
    <n v="0"/>
    <n v="0"/>
    <n v="1"/>
    <n v="0"/>
    <n v="0"/>
  </r>
  <r>
    <n v="746"/>
    <x v="0"/>
    <n v="1"/>
    <s v="Crosby, Capt. Edward Gifford"/>
    <n v="0"/>
    <x v="68"/>
    <n v="1"/>
    <n v="1"/>
    <s v="WE/P 5735"/>
    <n v="71"/>
    <s v="B22"/>
    <x v="0"/>
    <n v="1"/>
    <n v="0"/>
    <n v="0"/>
    <x v="14"/>
    <n v="0"/>
    <n v="0"/>
    <n v="0"/>
    <n v="0"/>
    <n v="1"/>
  </r>
  <r>
    <n v="747"/>
    <x v="0"/>
    <n v="3"/>
    <s v="Abbott, Mr. Rossmore Edward"/>
    <n v="0"/>
    <x v="35"/>
    <n v="1"/>
    <n v="1"/>
    <s v="C.A. 2673"/>
    <n v="20.25"/>
    <s v=""/>
    <x v="0"/>
    <n v="1"/>
    <n v="0"/>
    <n v="0"/>
    <x v="0"/>
    <n v="0"/>
    <n v="0"/>
    <n v="1"/>
    <n v="0"/>
    <n v="0"/>
  </r>
  <r>
    <n v="748"/>
    <x v="1"/>
    <n v="2"/>
    <s v="Sinkkonen, Miss. Anna"/>
    <n v="1"/>
    <x v="37"/>
    <n v="0"/>
    <n v="0"/>
    <s v="250648"/>
    <n v="13"/>
    <s v=""/>
    <x v="0"/>
    <n v="1"/>
    <n v="0"/>
    <n v="0"/>
    <x v="2"/>
    <n v="1"/>
    <n v="0"/>
    <n v="0"/>
    <n v="0"/>
    <n v="0"/>
  </r>
  <r>
    <n v="749"/>
    <x v="0"/>
    <n v="1"/>
    <s v="Marvin, Mr. Daniel Warner"/>
    <n v="0"/>
    <x v="19"/>
    <n v="1"/>
    <n v="0"/>
    <s v="113773"/>
    <n v="53.1"/>
    <s v="D30"/>
    <x v="0"/>
    <n v="1"/>
    <n v="0"/>
    <n v="0"/>
    <x v="0"/>
    <n v="0"/>
    <n v="0"/>
    <n v="1"/>
    <n v="0"/>
    <n v="0"/>
  </r>
  <r>
    <n v="750"/>
    <x v="0"/>
    <n v="3"/>
    <s v="Connaghton, Mr. Michael"/>
    <n v="0"/>
    <x v="14"/>
    <n v="0"/>
    <n v="0"/>
    <s v="335097"/>
    <n v="7.75"/>
    <s v=""/>
    <x v="2"/>
    <n v="0"/>
    <n v="0"/>
    <n v="1"/>
    <x v="0"/>
    <n v="0"/>
    <n v="0"/>
    <n v="1"/>
    <n v="0"/>
    <n v="0"/>
  </r>
  <r>
    <n v="751"/>
    <x v="1"/>
    <n v="2"/>
    <s v="Wells, Miss. Joan"/>
    <n v="1"/>
    <x v="9"/>
    <n v="1"/>
    <n v="1"/>
    <s v="29103"/>
    <n v="23"/>
    <s v=""/>
    <x v="0"/>
    <n v="1"/>
    <n v="0"/>
    <n v="0"/>
    <x v="2"/>
    <n v="1"/>
    <n v="0"/>
    <n v="0"/>
    <n v="0"/>
    <n v="0"/>
  </r>
  <r>
    <n v="752"/>
    <x v="1"/>
    <n v="3"/>
    <s v="Moor, Master. Meier"/>
    <n v="0"/>
    <x v="69"/>
    <n v="0"/>
    <n v="1"/>
    <s v="392096"/>
    <n v="12.475"/>
    <s v="E121"/>
    <x v="0"/>
    <n v="1"/>
    <n v="0"/>
    <n v="0"/>
    <x v="3"/>
    <n v="0"/>
    <n v="0"/>
    <n v="0"/>
    <n v="1"/>
    <n v="0"/>
  </r>
  <r>
    <n v="753"/>
    <x v="0"/>
    <n v="3"/>
    <s v="Vande Velde, Mr. Johannes Joseph"/>
    <n v="0"/>
    <x v="38"/>
    <n v="0"/>
    <n v="0"/>
    <s v="345780"/>
    <n v="9.5"/>
    <s v=""/>
    <x v="0"/>
    <n v="1"/>
    <n v="0"/>
    <n v="0"/>
    <x v="0"/>
    <n v="0"/>
    <n v="0"/>
    <n v="1"/>
    <n v="0"/>
    <n v="0"/>
  </r>
  <r>
    <n v="754"/>
    <x v="0"/>
    <n v="3"/>
    <s v="Jonkoff, Mr. Lalio"/>
    <n v="0"/>
    <x v="39"/>
    <n v="0"/>
    <n v="0"/>
    <s v="349204"/>
    <n v="7.8958000000000004"/>
    <s v=""/>
    <x v="0"/>
    <n v="1"/>
    <n v="0"/>
    <n v="0"/>
    <x v="0"/>
    <n v="0"/>
    <n v="0"/>
    <n v="1"/>
    <n v="0"/>
    <n v="0"/>
  </r>
  <r>
    <n v="755"/>
    <x v="1"/>
    <n v="2"/>
    <s v="Herman, Mrs. Samuel (Jane Laver)"/>
    <n v="1"/>
    <x v="64"/>
    <n v="1"/>
    <n v="2"/>
    <s v="220845"/>
    <n v="65"/>
    <s v=""/>
    <x v="0"/>
    <n v="1"/>
    <n v="0"/>
    <n v="0"/>
    <x v="1"/>
    <n v="0"/>
    <n v="1"/>
    <n v="0"/>
    <n v="0"/>
    <n v="0"/>
  </r>
  <r>
    <n v="756"/>
    <x v="1"/>
    <n v="2"/>
    <s v="Hamalainen, Master. Viljo"/>
    <n v="0"/>
    <x v="4"/>
    <n v="1"/>
    <n v="1"/>
    <s v="250649"/>
    <n v="14.5"/>
    <s v=""/>
    <x v="0"/>
    <n v="1"/>
    <n v="0"/>
    <n v="0"/>
    <x v="3"/>
    <n v="0"/>
    <n v="0"/>
    <n v="0"/>
    <n v="1"/>
    <n v="0"/>
  </r>
  <r>
    <n v="757"/>
    <x v="0"/>
    <n v="3"/>
    <s v="Carlsson, Mr. August Sigfrid"/>
    <n v="0"/>
    <x v="17"/>
    <n v="0"/>
    <n v="0"/>
    <s v="350042"/>
    <n v="7.7957999999999998"/>
    <s v=""/>
    <x v="0"/>
    <n v="1"/>
    <n v="0"/>
    <n v="0"/>
    <x v="0"/>
    <n v="0"/>
    <n v="0"/>
    <n v="1"/>
    <n v="0"/>
    <n v="0"/>
  </r>
  <r>
    <n v="758"/>
    <x v="0"/>
    <n v="2"/>
    <s v="Bailey, Mr. Percy Andrew"/>
    <n v="0"/>
    <x v="24"/>
    <n v="0"/>
    <n v="0"/>
    <s v="29108"/>
    <n v="11.5"/>
    <s v=""/>
    <x v="0"/>
    <n v="1"/>
    <n v="0"/>
    <n v="0"/>
    <x v="0"/>
    <n v="0"/>
    <n v="0"/>
    <n v="1"/>
    <n v="0"/>
    <n v="0"/>
  </r>
  <r>
    <n v="759"/>
    <x v="0"/>
    <n v="3"/>
    <s v="Theobald, Mr. Thomas Leonard"/>
    <n v="0"/>
    <x v="15"/>
    <n v="0"/>
    <n v="0"/>
    <s v="363294"/>
    <n v="8.0500000000000007"/>
    <s v=""/>
    <x v="0"/>
    <n v="1"/>
    <n v="0"/>
    <n v="0"/>
    <x v="0"/>
    <n v="0"/>
    <n v="0"/>
    <n v="1"/>
    <n v="0"/>
    <n v="0"/>
  </r>
  <r>
    <n v="760"/>
    <x v="1"/>
    <n v="1"/>
    <s v="Rothes, the Countess. of (Lucy Noel Martha Dyer-Edwards)"/>
    <n v="1"/>
    <x v="38"/>
    <n v="0"/>
    <n v="0"/>
    <s v="110152"/>
    <n v="86.5"/>
    <s v="B77"/>
    <x v="0"/>
    <n v="1"/>
    <n v="0"/>
    <n v="0"/>
    <x v="15"/>
    <n v="0"/>
    <n v="0"/>
    <n v="0"/>
    <n v="0"/>
    <n v="0"/>
  </r>
  <r>
    <n v="761"/>
    <x v="0"/>
    <n v="3"/>
    <s v="Garfirth, Mr. John"/>
    <n v="0"/>
    <x v="4"/>
    <n v="0"/>
    <n v="0"/>
    <s v="358585"/>
    <n v="14.5"/>
    <s v=""/>
    <x v="0"/>
    <n v="1"/>
    <n v="0"/>
    <n v="0"/>
    <x v="0"/>
    <n v="0"/>
    <n v="0"/>
    <n v="1"/>
    <n v="0"/>
    <n v="0"/>
  </r>
  <r>
    <n v="762"/>
    <x v="0"/>
    <n v="3"/>
    <s v="Nirva, Mr. Iisakki Antino Aijo"/>
    <n v="0"/>
    <x v="56"/>
    <n v="0"/>
    <n v="0"/>
    <s v="SOTON/O2 3101272"/>
    <n v="7.125"/>
    <s v=""/>
    <x v="0"/>
    <n v="1"/>
    <n v="0"/>
    <n v="0"/>
    <x v="0"/>
    <n v="0"/>
    <n v="0"/>
    <n v="1"/>
    <n v="0"/>
    <n v="0"/>
  </r>
  <r>
    <n v="763"/>
    <x v="1"/>
    <n v="3"/>
    <s v="Barah, Mr. Hanna Assi"/>
    <n v="0"/>
    <x v="11"/>
    <n v="0"/>
    <n v="0"/>
    <s v="2663"/>
    <n v="7.2291999999999996"/>
    <s v=""/>
    <x v="1"/>
    <n v="0"/>
    <n v="1"/>
    <n v="0"/>
    <x v="0"/>
    <n v="0"/>
    <n v="0"/>
    <n v="1"/>
    <n v="0"/>
    <n v="0"/>
  </r>
  <r>
    <n v="764"/>
    <x v="1"/>
    <n v="1"/>
    <s v="Carter, Mrs. William Ernest (Lucile Polk)"/>
    <n v="1"/>
    <x v="54"/>
    <n v="1"/>
    <n v="2"/>
    <s v="113760"/>
    <n v="120"/>
    <s v="B96 B98"/>
    <x v="0"/>
    <n v="1"/>
    <n v="0"/>
    <n v="0"/>
    <x v="1"/>
    <n v="0"/>
    <n v="1"/>
    <n v="0"/>
    <n v="0"/>
    <n v="0"/>
  </r>
  <r>
    <n v="765"/>
    <x v="0"/>
    <n v="3"/>
    <s v="Eklund, Mr. Hans Linus"/>
    <n v="0"/>
    <x v="35"/>
    <n v="0"/>
    <n v="0"/>
    <s v="347074"/>
    <n v="7.7750000000000004"/>
    <s v=""/>
    <x v="0"/>
    <n v="1"/>
    <n v="0"/>
    <n v="0"/>
    <x v="0"/>
    <n v="0"/>
    <n v="0"/>
    <n v="1"/>
    <n v="0"/>
    <n v="0"/>
  </r>
  <r>
    <n v="766"/>
    <x v="1"/>
    <n v="1"/>
    <s v="Hogeboom, Mrs. John C (Anna Andrews)"/>
    <n v="1"/>
    <x v="48"/>
    <n v="1"/>
    <n v="0"/>
    <s v="13502"/>
    <n v="77.958299999999994"/>
    <s v="D11"/>
    <x v="0"/>
    <n v="1"/>
    <n v="0"/>
    <n v="0"/>
    <x v="1"/>
    <n v="0"/>
    <n v="1"/>
    <n v="0"/>
    <n v="0"/>
    <n v="0"/>
  </r>
  <r>
    <n v="767"/>
    <x v="0"/>
    <n v="1"/>
    <s v="Brewe, Dr. Arthur Jackson"/>
    <n v="0"/>
    <x v="4"/>
    <n v="0"/>
    <n v="0"/>
    <s v="112379"/>
    <n v="39.6"/>
    <s v=""/>
    <x v="1"/>
    <n v="0"/>
    <n v="1"/>
    <n v="0"/>
    <x v="6"/>
    <n v="0"/>
    <n v="0"/>
    <n v="0"/>
    <n v="0"/>
    <n v="1"/>
  </r>
  <r>
    <n v="768"/>
    <x v="0"/>
    <n v="3"/>
    <s v="Mangan, Miss. Mary"/>
    <n v="1"/>
    <x v="4"/>
    <n v="0"/>
    <n v="0"/>
    <s v="364850"/>
    <n v="7.75"/>
    <s v=""/>
    <x v="2"/>
    <n v="0"/>
    <n v="0"/>
    <n v="1"/>
    <x v="2"/>
    <n v="1"/>
    <n v="0"/>
    <n v="0"/>
    <n v="0"/>
    <n v="0"/>
  </r>
  <r>
    <n v="769"/>
    <x v="0"/>
    <n v="3"/>
    <s v="Moran, Mr. Daniel J"/>
    <n v="0"/>
    <x v="4"/>
    <n v="1"/>
    <n v="0"/>
    <s v="371110"/>
    <n v="24.15"/>
    <s v=""/>
    <x v="2"/>
    <n v="0"/>
    <n v="0"/>
    <n v="1"/>
    <x v="0"/>
    <n v="0"/>
    <n v="0"/>
    <n v="1"/>
    <n v="0"/>
    <n v="0"/>
  </r>
  <r>
    <n v="770"/>
    <x v="0"/>
    <n v="3"/>
    <s v="Gronnestad, Mr. Daniel Danielsen"/>
    <n v="0"/>
    <x v="34"/>
    <n v="0"/>
    <n v="0"/>
    <s v="8471"/>
    <n v="8.3625000000000007"/>
    <s v=""/>
    <x v="0"/>
    <n v="1"/>
    <n v="0"/>
    <n v="0"/>
    <x v="0"/>
    <n v="0"/>
    <n v="0"/>
    <n v="1"/>
    <n v="0"/>
    <n v="0"/>
  </r>
  <r>
    <n v="771"/>
    <x v="0"/>
    <n v="3"/>
    <s v="Lievens, Mr. Rene Aime"/>
    <n v="0"/>
    <x v="40"/>
    <n v="0"/>
    <n v="0"/>
    <s v="345781"/>
    <n v="9.5"/>
    <s v=""/>
    <x v="0"/>
    <n v="1"/>
    <n v="0"/>
    <n v="0"/>
    <x v="0"/>
    <n v="0"/>
    <n v="0"/>
    <n v="1"/>
    <n v="0"/>
    <n v="0"/>
  </r>
  <r>
    <n v="772"/>
    <x v="0"/>
    <n v="3"/>
    <s v="Jensen, Mr. Niels Peder"/>
    <n v="0"/>
    <x v="64"/>
    <n v="0"/>
    <n v="0"/>
    <s v="350047"/>
    <n v="7.8541999999999996"/>
    <s v=""/>
    <x v="0"/>
    <n v="1"/>
    <n v="0"/>
    <n v="0"/>
    <x v="0"/>
    <n v="0"/>
    <n v="0"/>
    <n v="1"/>
    <n v="0"/>
    <n v="0"/>
  </r>
  <r>
    <n v="773"/>
    <x v="0"/>
    <n v="2"/>
    <s v="Mack, Mrs. (Mary)"/>
    <n v="1"/>
    <x v="66"/>
    <n v="0"/>
    <n v="0"/>
    <s v="S.O./P.P. 3"/>
    <n v="10.5"/>
    <s v="E77"/>
    <x v="0"/>
    <n v="1"/>
    <n v="0"/>
    <n v="0"/>
    <x v="1"/>
    <n v="0"/>
    <n v="1"/>
    <n v="0"/>
    <n v="0"/>
    <n v="0"/>
  </r>
  <r>
    <n v="774"/>
    <x v="0"/>
    <n v="3"/>
    <s v="Elias, Mr. Dibo"/>
    <n v="0"/>
    <x v="4"/>
    <n v="0"/>
    <n v="0"/>
    <s v="2674"/>
    <n v="7.2249999999999996"/>
    <s v=""/>
    <x v="1"/>
    <n v="0"/>
    <n v="1"/>
    <n v="0"/>
    <x v="0"/>
    <n v="0"/>
    <n v="0"/>
    <n v="1"/>
    <n v="0"/>
    <n v="0"/>
  </r>
  <r>
    <n v="775"/>
    <x v="1"/>
    <n v="2"/>
    <s v="Hocking, Mrs. Elizabeth (Eliza Needs)"/>
    <n v="1"/>
    <x v="5"/>
    <n v="1"/>
    <n v="3"/>
    <s v="29105"/>
    <n v="23"/>
    <s v=""/>
    <x v="0"/>
    <n v="1"/>
    <n v="0"/>
    <n v="0"/>
    <x v="1"/>
    <n v="0"/>
    <n v="1"/>
    <n v="0"/>
    <n v="0"/>
    <n v="0"/>
  </r>
  <r>
    <n v="776"/>
    <x v="0"/>
    <n v="3"/>
    <s v="Myhrman, Mr. Pehr Fabian Oliver Malkolm"/>
    <n v="0"/>
    <x v="24"/>
    <n v="0"/>
    <n v="0"/>
    <s v="347078"/>
    <n v="7.75"/>
    <s v=""/>
    <x v="0"/>
    <n v="1"/>
    <n v="0"/>
    <n v="0"/>
    <x v="0"/>
    <n v="0"/>
    <n v="0"/>
    <n v="1"/>
    <n v="0"/>
    <n v="0"/>
  </r>
  <r>
    <n v="777"/>
    <x v="0"/>
    <n v="3"/>
    <s v="Tobin, Mr. Roger"/>
    <n v="0"/>
    <x v="4"/>
    <n v="0"/>
    <n v="0"/>
    <s v="383121"/>
    <n v="7.75"/>
    <s v="F38"/>
    <x v="2"/>
    <n v="0"/>
    <n v="0"/>
    <n v="1"/>
    <x v="0"/>
    <n v="0"/>
    <n v="0"/>
    <n v="1"/>
    <n v="0"/>
    <n v="0"/>
  </r>
  <r>
    <n v="778"/>
    <x v="1"/>
    <n v="3"/>
    <s v="Emanuel, Miss. Virginia Ethel"/>
    <n v="1"/>
    <x v="30"/>
    <n v="0"/>
    <n v="0"/>
    <s v="364516"/>
    <n v="12.475"/>
    <s v=""/>
    <x v="0"/>
    <n v="1"/>
    <n v="0"/>
    <n v="0"/>
    <x v="2"/>
    <n v="1"/>
    <n v="0"/>
    <n v="0"/>
    <n v="0"/>
    <n v="0"/>
  </r>
  <r>
    <n v="779"/>
    <x v="0"/>
    <n v="3"/>
    <s v="Kilgannon, Mr. Thomas J"/>
    <n v="0"/>
    <x v="4"/>
    <n v="0"/>
    <n v="0"/>
    <s v="36865"/>
    <n v="7.7374999999999998"/>
    <s v=""/>
    <x v="2"/>
    <n v="0"/>
    <n v="0"/>
    <n v="1"/>
    <x v="0"/>
    <n v="0"/>
    <n v="0"/>
    <n v="1"/>
    <n v="0"/>
    <n v="0"/>
  </r>
  <r>
    <n v="780"/>
    <x v="1"/>
    <n v="1"/>
    <s v="Robert, Mrs. Edward Scott (Elisabeth Walton McMillan)"/>
    <n v="1"/>
    <x v="59"/>
    <n v="0"/>
    <n v="1"/>
    <s v="24160"/>
    <n v="211.33750000000001"/>
    <s v="B3"/>
    <x v="0"/>
    <n v="1"/>
    <n v="0"/>
    <n v="0"/>
    <x v="1"/>
    <n v="0"/>
    <n v="1"/>
    <n v="0"/>
    <n v="0"/>
    <n v="0"/>
  </r>
  <r>
    <n v="781"/>
    <x v="1"/>
    <n v="3"/>
    <s v="Ayoub, Miss. Banoura"/>
    <n v="1"/>
    <x v="63"/>
    <n v="0"/>
    <n v="0"/>
    <s v="2687"/>
    <n v="7.2291999999999996"/>
    <s v=""/>
    <x v="1"/>
    <n v="0"/>
    <n v="1"/>
    <n v="0"/>
    <x v="2"/>
    <n v="1"/>
    <n v="0"/>
    <n v="0"/>
    <n v="0"/>
    <n v="0"/>
  </r>
  <r>
    <n v="782"/>
    <x v="1"/>
    <n v="1"/>
    <s v="Dick, Mrs. Albert Adrian (Vera Gillespie)"/>
    <n v="1"/>
    <x v="33"/>
    <n v="1"/>
    <n v="0"/>
    <s v="17474"/>
    <n v="57"/>
    <s v="B20"/>
    <x v="0"/>
    <n v="1"/>
    <n v="0"/>
    <n v="0"/>
    <x v="1"/>
    <n v="0"/>
    <n v="1"/>
    <n v="0"/>
    <n v="0"/>
    <n v="0"/>
  </r>
  <r>
    <n v="783"/>
    <x v="0"/>
    <n v="1"/>
    <s v="Long, Mr. Milton Clyde"/>
    <n v="0"/>
    <x v="28"/>
    <n v="0"/>
    <n v="0"/>
    <s v="113501"/>
    <n v="30"/>
    <s v="D6"/>
    <x v="0"/>
    <n v="1"/>
    <n v="0"/>
    <n v="0"/>
    <x v="0"/>
    <n v="0"/>
    <n v="0"/>
    <n v="1"/>
    <n v="0"/>
    <n v="0"/>
  </r>
  <r>
    <n v="784"/>
    <x v="0"/>
    <n v="3"/>
    <s v="Johnston, Mr. Andrew G"/>
    <n v="0"/>
    <x v="4"/>
    <n v="1"/>
    <n v="2"/>
    <s v="W./C. 6607"/>
    <n v="23.45"/>
    <s v=""/>
    <x v="0"/>
    <n v="1"/>
    <n v="0"/>
    <n v="0"/>
    <x v="0"/>
    <n v="0"/>
    <n v="0"/>
    <n v="1"/>
    <n v="0"/>
    <n v="0"/>
  </r>
  <r>
    <n v="785"/>
    <x v="0"/>
    <n v="3"/>
    <s v="Ali, Mr. William"/>
    <n v="0"/>
    <x v="36"/>
    <n v="0"/>
    <n v="0"/>
    <s v="SOTON/O.Q. 3101312"/>
    <n v="7.05"/>
    <s v=""/>
    <x v="0"/>
    <n v="1"/>
    <n v="0"/>
    <n v="0"/>
    <x v="0"/>
    <n v="0"/>
    <n v="0"/>
    <n v="1"/>
    <n v="0"/>
    <n v="0"/>
  </r>
  <r>
    <n v="786"/>
    <x v="0"/>
    <n v="3"/>
    <s v="Harmer, Mr. Abraham (David Lishin)"/>
    <n v="0"/>
    <x v="36"/>
    <n v="0"/>
    <n v="0"/>
    <s v="374887"/>
    <n v="7.25"/>
    <s v=""/>
    <x v="0"/>
    <n v="1"/>
    <n v="0"/>
    <n v="0"/>
    <x v="0"/>
    <n v="0"/>
    <n v="0"/>
    <n v="1"/>
    <n v="0"/>
    <n v="0"/>
  </r>
  <r>
    <n v="787"/>
    <x v="1"/>
    <n v="3"/>
    <s v="Sjoblom, Miss. Anna Sofia"/>
    <n v="1"/>
    <x v="24"/>
    <n v="0"/>
    <n v="0"/>
    <s v="3101265"/>
    <n v="7.4958"/>
    <s v=""/>
    <x v="0"/>
    <n v="1"/>
    <n v="0"/>
    <n v="0"/>
    <x v="2"/>
    <n v="1"/>
    <n v="0"/>
    <n v="0"/>
    <n v="0"/>
    <n v="0"/>
  </r>
  <r>
    <n v="788"/>
    <x v="0"/>
    <n v="3"/>
    <s v="Rice, Master. George Hugh"/>
    <n v="0"/>
    <x v="18"/>
    <n v="4"/>
    <n v="1"/>
    <s v="382652"/>
    <n v="29.125"/>
    <s v=""/>
    <x v="2"/>
    <n v="0"/>
    <n v="0"/>
    <n v="1"/>
    <x v="3"/>
    <n v="0"/>
    <n v="0"/>
    <n v="0"/>
    <n v="1"/>
    <n v="0"/>
  </r>
  <r>
    <n v="789"/>
    <x v="1"/>
    <n v="3"/>
    <s v="Dean, Master. Bertram Vere"/>
    <n v="0"/>
    <x v="50"/>
    <n v="1"/>
    <n v="2"/>
    <s v="C.A. 2315"/>
    <n v="20.574999999999999"/>
    <s v=""/>
    <x v="0"/>
    <n v="1"/>
    <n v="0"/>
    <n v="0"/>
    <x v="3"/>
    <n v="0"/>
    <n v="0"/>
    <n v="0"/>
    <n v="1"/>
    <n v="0"/>
  </r>
  <r>
    <n v="790"/>
    <x v="0"/>
    <n v="1"/>
    <s v="Guggenheim, Mr. Benjamin"/>
    <n v="0"/>
    <x v="41"/>
    <n v="0"/>
    <n v="0"/>
    <s v="PC 17593"/>
    <n v="79.2"/>
    <s v="B82 B84"/>
    <x v="1"/>
    <n v="0"/>
    <n v="1"/>
    <n v="0"/>
    <x v="0"/>
    <n v="0"/>
    <n v="0"/>
    <n v="1"/>
    <n v="0"/>
    <n v="0"/>
  </r>
  <r>
    <n v="791"/>
    <x v="0"/>
    <n v="3"/>
    <s v="Keane, Mr. Andrew &quot;Andy&quot;"/>
    <n v="0"/>
    <x v="4"/>
    <n v="0"/>
    <n v="0"/>
    <s v="12460"/>
    <n v="7.75"/>
    <s v=""/>
    <x v="2"/>
    <n v="0"/>
    <n v="0"/>
    <n v="1"/>
    <x v="0"/>
    <n v="0"/>
    <n v="0"/>
    <n v="1"/>
    <n v="0"/>
    <n v="0"/>
  </r>
  <r>
    <n v="792"/>
    <x v="0"/>
    <n v="2"/>
    <s v="Gaskell, Mr. Alfred"/>
    <n v="0"/>
    <x v="35"/>
    <n v="0"/>
    <n v="0"/>
    <s v="239865"/>
    <n v="26"/>
    <s v=""/>
    <x v="0"/>
    <n v="1"/>
    <n v="0"/>
    <n v="0"/>
    <x v="0"/>
    <n v="0"/>
    <n v="0"/>
    <n v="1"/>
    <n v="0"/>
    <n v="0"/>
  </r>
  <r>
    <n v="793"/>
    <x v="0"/>
    <n v="3"/>
    <s v="Sage, Miss. Stella Anna"/>
    <n v="1"/>
    <x v="4"/>
    <n v="8"/>
    <n v="2"/>
    <s v="CA. 2343"/>
    <n v="69.55"/>
    <s v=""/>
    <x v="0"/>
    <n v="1"/>
    <n v="0"/>
    <n v="0"/>
    <x v="2"/>
    <n v="1"/>
    <n v="0"/>
    <n v="0"/>
    <n v="0"/>
    <n v="0"/>
  </r>
  <r>
    <n v="794"/>
    <x v="0"/>
    <n v="1"/>
    <s v="Hoyt, Mr. William Fisher"/>
    <n v="0"/>
    <x v="4"/>
    <n v="0"/>
    <n v="0"/>
    <s v="PC 17600"/>
    <n v="30.695799999999998"/>
    <s v=""/>
    <x v="1"/>
    <n v="0"/>
    <n v="1"/>
    <n v="0"/>
    <x v="0"/>
    <n v="0"/>
    <n v="0"/>
    <n v="1"/>
    <n v="0"/>
    <n v="0"/>
  </r>
  <r>
    <n v="795"/>
    <x v="0"/>
    <n v="3"/>
    <s v="Dantcheff, Mr. Ristiu"/>
    <n v="0"/>
    <x v="36"/>
    <n v="0"/>
    <n v="0"/>
    <s v="349203"/>
    <n v="7.8958000000000004"/>
    <s v=""/>
    <x v="0"/>
    <n v="1"/>
    <n v="0"/>
    <n v="0"/>
    <x v="0"/>
    <n v="0"/>
    <n v="0"/>
    <n v="1"/>
    <n v="0"/>
    <n v="0"/>
  </r>
  <r>
    <n v="796"/>
    <x v="0"/>
    <n v="2"/>
    <s v="Otter, Mr. Richard"/>
    <n v="0"/>
    <x v="12"/>
    <n v="0"/>
    <n v="0"/>
    <s v="28213"/>
    <n v="13"/>
    <s v=""/>
    <x v="0"/>
    <n v="1"/>
    <n v="0"/>
    <n v="0"/>
    <x v="0"/>
    <n v="0"/>
    <n v="0"/>
    <n v="1"/>
    <n v="0"/>
    <n v="0"/>
  </r>
  <r>
    <n v="797"/>
    <x v="1"/>
    <n v="1"/>
    <s v="Leader, Dr. Alice (Farnham)"/>
    <n v="1"/>
    <x v="27"/>
    <n v="0"/>
    <n v="0"/>
    <s v="17465"/>
    <n v="25.929200000000002"/>
    <s v="D17"/>
    <x v="0"/>
    <n v="1"/>
    <n v="0"/>
    <n v="0"/>
    <x v="6"/>
    <n v="0"/>
    <n v="0"/>
    <n v="0"/>
    <n v="0"/>
    <n v="1"/>
  </r>
  <r>
    <n v="798"/>
    <x v="1"/>
    <n v="3"/>
    <s v="Osman, Mrs. Mara"/>
    <n v="1"/>
    <x v="14"/>
    <n v="0"/>
    <n v="0"/>
    <s v="349244"/>
    <n v="8.6832999999999991"/>
    <s v=""/>
    <x v="0"/>
    <n v="1"/>
    <n v="0"/>
    <n v="0"/>
    <x v="1"/>
    <n v="0"/>
    <n v="1"/>
    <n v="0"/>
    <n v="0"/>
    <n v="0"/>
  </r>
  <r>
    <n v="799"/>
    <x v="0"/>
    <n v="3"/>
    <s v="Ibrahim Shawah, Mr. Yousseff"/>
    <n v="0"/>
    <x v="37"/>
    <n v="0"/>
    <n v="0"/>
    <s v="2685"/>
    <n v="7.2291999999999996"/>
    <s v=""/>
    <x v="1"/>
    <n v="0"/>
    <n v="1"/>
    <n v="0"/>
    <x v="0"/>
    <n v="0"/>
    <n v="0"/>
    <n v="1"/>
    <n v="0"/>
    <n v="0"/>
  </r>
  <r>
    <n v="800"/>
    <x v="0"/>
    <n v="3"/>
    <s v="Van Impe, Mrs. Jean Baptiste (Rosalie Paula Govaert)"/>
    <n v="1"/>
    <x v="37"/>
    <n v="1"/>
    <n v="1"/>
    <s v="345773"/>
    <n v="24.15"/>
    <s v=""/>
    <x v="0"/>
    <n v="1"/>
    <n v="0"/>
    <n v="0"/>
    <x v="1"/>
    <n v="0"/>
    <n v="1"/>
    <n v="0"/>
    <n v="0"/>
    <n v="0"/>
  </r>
  <r>
    <n v="801"/>
    <x v="0"/>
    <n v="2"/>
    <s v="Ponesell, Mr. Martin"/>
    <n v="0"/>
    <x v="15"/>
    <n v="0"/>
    <n v="0"/>
    <s v="250647"/>
    <n v="13"/>
    <s v=""/>
    <x v="0"/>
    <n v="1"/>
    <n v="0"/>
    <n v="0"/>
    <x v="0"/>
    <n v="0"/>
    <n v="0"/>
    <n v="1"/>
    <n v="0"/>
    <n v="0"/>
  </r>
  <r>
    <n v="802"/>
    <x v="1"/>
    <n v="2"/>
    <s v="Collyer, Mrs. Harvey (Charlotte Annie Tate)"/>
    <n v="1"/>
    <x v="14"/>
    <n v="1"/>
    <n v="1"/>
    <s v="C.A. 31921"/>
    <n v="26.25"/>
    <s v=""/>
    <x v="0"/>
    <n v="1"/>
    <n v="0"/>
    <n v="0"/>
    <x v="1"/>
    <n v="0"/>
    <n v="1"/>
    <n v="0"/>
    <n v="0"/>
    <n v="0"/>
  </r>
  <r>
    <n v="803"/>
    <x v="1"/>
    <n v="1"/>
    <s v="Carter, Master. William Thornton II"/>
    <n v="0"/>
    <x v="31"/>
    <n v="1"/>
    <n v="2"/>
    <s v="113760"/>
    <n v="120"/>
    <s v="B96 B98"/>
    <x v="0"/>
    <n v="1"/>
    <n v="0"/>
    <n v="0"/>
    <x v="3"/>
    <n v="0"/>
    <n v="0"/>
    <n v="0"/>
    <n v="1"/>
    <n v="0"/>
  </r>
  <r>
    <n v="804"/>
    <x v="1"/>
    <n v="3"/>
    <s v="Thomas, Master. Assad Alexander"/>
    <n v="0"/>
    <x v="4"/>
    <n v="0"/>
    <n v="1"/>
    <s v="2625"/>
    <n v="8.5167000000000002"/>
    <s v=""/>
    <x v="1"/>
    <n v="0"/>
    <n v="1"/>
    <n v="0"/>
    <x v="3"/>
    <n v="0"/>
    <n v="0"/>
    <n v="0"/>
    <n v="1"/>
    <n v="0"/>
  </r>
  <r>
    <n v="805"/>
    <x v="1"/>
    <n v="3"/>
    <s v="Hedman, Mr. Oskar Arvid"/>
    <n v="0"/>
    <x v="7"/>
    <n v="0"/>
    <n v="0"/>
    <s v="347089"/>
    <n v="6.9749999999999996"/>
    <s v=""/>
    <x v="0"/>
    <n v="1"/>
    <n v="0"/>
    <n v="0"/>
    <x v="0"/>
    <n v="0"/>
    <n v="0"/>
    <n v="1"/>
    <n v="0"/>
    <n v="0"/>
  </r>
  <r>
    <n v="806"/>
    <x v="0"/>
    <n v="3"/>
    <s v="Johansson, Mr. Karl Johan"/>
    <n v="0"/>
    <x v="14"/>
    <n v="0"/>
    <n v="0"/>
    <s v="347063"/>
    <n v="7.7750000000000004"/>
    <s v=""/>
    <x v="0"/>
    <n v="1"/>
    <n v="0"/>
    <n v="0"/>
    <x v="0"/>
    <n v="0"/>
    <n v="0"/>
    <n v="1"/>
    <n v="0"/>
    <n v="0"/>
  </r>
  <r>
    <n v="807"/>
    <x v="0"/>
    <n v="1"/>
    <s v="Andrews, Mr. Thomas Jr"/>
    <n v="0"/>
    <x v="12"/>
    <n v="0"/>
    <n v="0"/>
    <s v="112050"/>
    <n v="0"/>
    <s v="A36"/>
    <x v="0"/>
    <n v="1"/>
    <n v="0"/>
    <n v="0"/>
    <x v="0"/>
    <n v="0"/>
    <n v="0"/>
    <n v="1"/>
    <n v="0"/>
    <n v="0"/>
  </r>
  <r>
    <n v="808"/>
    <x v="0"/>
    <n v="3"/>
    <s v="Pettersson, Miss. Ellen Natalia"/>
    <n v="1"/>
    <x v="24"/>
    <n v="0"/>
    <n v="0"/>
    <s v="347087"/>
    <n v="7.7750000000000004"/>
    <s v=""/>
    <x v="0"/>
    <n v="1"/>
    <n v="0"/>
    <n v="0"/>
    <x v="2"/>
    <n v="1"/>
    <n v="0"/>
    <n v="0"/>
    <n v="0"/>
    <n v="0"/>
  </r>
  <r>
    <n v="809"/>
    <x v="0"/>
    <n v="2"/>
    <s v="Meyer, Mr. August"/>
    <n v="0"/>
    <x v="12"/>
    <n v="0"/>
    <n v="0"/>
    <s v="248723"/>
    <n v="13"/>
    <s v=""/>
    <x v="0"/>
    <n v="1"/>
    <n v="0"/>
    <n v="0"/>
    <x v="0"/>
    <n v="0"/>
    <n v="0"/>
    <n v="1"/>
    <n v="0"/>
    <n v="0"/>
  </r>
  <r>
    <n v="810"/>
    <x v="1"/>
    <n v="1"/>
    <s v="Chambers, Mrs. Norman Campbell (Bertha Griggs)"/>
    <n v="1"/>
    <x v="38"/>
    <n v="1"/>
    <n v="0"/>
    <s v="113806"/>
    <n v="53.1"/>
    <s v="E8"/>
    <x v="0"/>
    <n v="1"/>
    <n v="0"/>
    <n v="0"/>
    <x v="1"/>
    <n v="0"/>
    <n v="1"/>
    <n v="0"/>
    <n v="0"/>
    <n v="0"/>
  </r>
  <r>
    <n v="811"/>
    <x v="0"/>
    <n v="3"/>
    <s v="Alexander, Mr. William"/>
    <n v="0"/>
    <x v="2"/>
    <n v="0"/>
    <n v="0"/>
    <s v="3474"/>
    <n v="7.8875000000000002"/>
    <s v=""/>
    <x v="0"/>
    <n v="1"/>
    <n v="0"/>
    <n v="0"/>
    <x v="0"/>
    <n v="0"/>
    <n v="0"/>
    <n v="1"/>
    <n v="0"/>
    <n v="0"/>
  </r>
  <r>
    <n v="812"/>
    <x v="0"/>
    <n v="3"/>
    <s v="Lester, Mr. James"/>
    <n v="0"/>
    <x v="12"/>
    <n v="0"/>
    <n v="0"/>
    <s v="A/4 48871"/>
    <n v="24.15"/>
    <s v=""/>
    <x v="0"/>
    <n v="1"/>
    <n v="0"/>
    <n v="0"/>
    <x v="0"/>
    <n v="0"/>
    <n v="0"/>
    <n v="1"/>
    <n v="0"/>
    <n v="0"/>
  </r>
  <r>
    <n v="813"/>
    <x v="0"/>
    <n v="2"/>
    <s v="Slemen, Mr. Richard James"/>
    <n v="0"/>
    <x v="3"/>
    <n v="0"/>
    <n v="0"/>
    <s v="28206"/>
    <n v="10.5"/>
    <s v=""/>
    <x v="0"/>
    <n v="1"/>
    <n v="0"/>
    <n v="0"/>
    <x v="0"/>
    <n v="0"/>
    <n v="0"/>
    <n v="1"/>
    <n v="0"/>
    <n v="0"/>
  </r>
  <r>
    <n v="814"/>
    <x v="0"/>
    <n v="3"/>
    <s v="Andersson, Miss. Ebba Iris Alfrida"/>
    <n v="1"/>
    <x v="69"/>
    <n v="4"/>
    <n v="2"/>
    <s v="347082"/>
    <n v="31.274999999999999"/>
    <s v=""/>
    <x v="0"/>
    <n v="1"/>
    <n v="0"/>
    <n v="0"/>
    <x v="2"/>
    <n v="1"/>
    <n v="0"/>
    <n v="0"/>
    <n v="0"/>
    <n v="0"/>
  </r>
  <r>
    <n v="815"/>
    <x v="0"/>
    <n v="3"/>
    <s v="Tomlin, Mr. Ernest Portage"/>
    <n v="0"/>
    <x v="4"/>
    <n v="0"/>
    <n v="0"/>
    <s v="364499"/>
    <n v="8.0500000000000007"/>
    <s v=""/>
    <x v="0"/>
    <n v="1"/>
    <n v="0"/>
    <n v="0"/>
    <x v="0"/>
    <n v="0"/>
    <n v="0"/>
    <n v="1"/>
    <n v="0"/>
    <n v="0"/>
  </r>
  <r>
    <n v="816"/>
    <x v="0"/>
    <n v="1"/>
    <s v="Fry, Mr. Richard"/>
    <n v="0"/>
    <x v="4"/>
    <n v="0"/>
    <n v="0"/>
    <s v="112058"/>
    <n v="0"/>
    <s v="B102"/>
    <x v="0"/>
    <n v="1"/>
    <n v="0"/>
    <n v="0"/>
    <x v="0"/>
    <n v="0"/>
    <n v="0"/>
    <n v="1"/>
    <n v="0"/>
    <n v="0"/>
  </r>
  <r>
    <n v="817"/>
    <x v="0"/>
    <n v="3"/>
    <s v="Heininen, Miss. Wendla Maria"/>
    <n v="1"/>
    <x v="39"/>
    <n v="0"/>
    <n v="0"/>
    <s v="STON/O2. 3101290"/>
    <n v="7.9249999999999998"/>
    <s v=""/>
    <x v="0"/>
    <n v="1"/>
    <n v="0"/>
    <n v="0"/>
    <x v="2"/>
    <n v="1"/>
    <n v="0"/>
    <n v="0"/>
    <n v="0"/>
    <n v="0"/>
  </r>
  <r>
    <n v="818"/>
    <x v="0"/>
    <n v="2"/>
    <s v="Mallet, Mr. Albert"/>
    <n v="0"/>
    <x v="14"/>
    <n v="1"/>
    <n v="1"/>
    <s v="S.C./PARIS 2079"/>
    <n v="37.004199999999997"/>
    <s v=""/>
    <x v="1"/>
    <n v="0"/>
    <n v="1"/>
    <n v="0"/>
    <x v="0"/>
    <n v="0"/>
    <n v="0"/>
    <n v="1"/>
    <n v="0"/>
    <n v="0"/>
  </r>
  <r>
    <n v="819"/>
    <x v="0"/>
    <n v="3"/>
    <s v="Holm, Mr. John Fredrik Alexander"/>
    <n v="0"/>
    <x v="59"/>
    <n v="0"/>
    <n v="0"/>
    <s v="C 7075"/>
    <n v="6.45"/>
    <s v=""/>
    <x v="0"/>
    <n v="1"/>
    <n v="0"/>
    <n v="0"/>
    <x v="0"/>
    <n v="0"/>
    <n v="0"/>
    <n v="1"/>
    <n v="0"/>
    <n v="0"/>
  </r>
  <r>
    <n v="820"/>
    <x v="0"/>
    <n v="3"/>
    <s v="Skoog, Master. Karl Thorsten"/>
    <n v="0"/>
    <x v="61"/>
    <n v="3"/>
    <n v="2"/>
    <s v="347088"/>
    <n v="27.9"/>
    <s v=""/>
    <x v="0"/>
    <n v="1"/>
    <n v="0"/>
    <n v="0"/>
    <x v="3"/>
    <n v="0"/>
    <n v="0"/>
    <n v="0"/>
    <n v="1"/>
    <n v="0"/>
  </r>
  <r>
    <n v="821"/>
    <x v="1"/>
    <n v="1"/>
    <s v="Hays, Mrs. Charles Melville (Clara Jennings Gregg)"/>
    <n v="1"/>
    <x v="57"/>
    <n v="1"/>
    <n v="1"/>
    <s v="12749"/>
    <n v="93.5"/>
    <s v="B69"/>
    <x v="0"/>
    <n v="1"/>
    <n v="0"/>
    <n v="0"/>
    <x v="1"/>
    <n v="0"/>
    <n v="1"/>
    <n v="0"/>
    <n v="0"/>
    <n v="0"/>
  </r>
  <r>
    <n v="822"/>
    <x v="1"/>
    <n v="3"/>
    <s v="Lulic, Mr. Nikola"/>
    <n v="0"/>
    <x v="7"/>
    <n v="0"/>
    <n v="0"/>
    <s v="315098"/>
    <n v="8.6624999999999996"/>
    <s v=""/>
    <x v="0"/>
    <n v="1"/>
    <n v="0"/>
    <n v="0"/>
    <x v="0"/>
    <n v="0"/>
    <n v="0"/>
    <n v="1"/>
    <n v="0"/>
    <n v="0"/>
  </r>
  <r>
    <n v="823"/>
    <x v="0"/>
    <n v="1"/>
    <s v="Reuchlin, Jonkheer. John George"/>
    <n v="0"/>
    <x v="1"/>
    <n v="0"/>
    <n v="0"/>
    <s v="19972"/>
    <n v="0"/>
    <s v=""/>
    <x v="0"/>
    <n v="1"/>
    <n v="0"/>
    <n v="0"/>
    <x v="16"/>
    <n v="0"/>
    <n v="0"/>
    <n v="0"/>
    <n v="0"/>
    <n v="1"/>
  </r>
  <r>
    <n v="824"/>
    <x v="1"/>
    <n v="3"/>
    <s v="Moor, Mrs. (Beila)"/>
    <n v="1"/>
    <x v="7"/>
    <n v="0"/>
    <n v="1"/>
    <s v="392096"/>
    <n v="12.475"/>
    <s v="E121"/>
    <x v="0"/>
    <n v="1"/>
    <n v="0"/>
    <n v="0"/>
    <x v="1"/>
    <n v="0"/>
    <n v="1"/>
    <n v="0"/>
    <n v="0"/>
    <n v="0"/>
  </r>
  <r>
    <n v="825"/>
    <x v="0"/>
    <n v="3"/>
    <s v="Panula, Master. Urho Abraham"/>
    <n v="0"/>
    <x v="6"/>
    <n v="4"/>
    <n v="1"/>
    <s v="3101295"/>
    <n v="39.6875"/>
    <s v=""/>
    <x v="0"/>
    <n v="1"/>
    <n v="0"/>
    <n v="0"/>
    <x v="3"/>
    <n v="0"/>
    <n v="0"/>
    <n v="0"/>
    <n v="1"/>
    <n v="0"/>
  </r>
  <r>
    <n v="826"/>
    <x v="0"/>
    <n v="3"/>
    <s v="Flynn, Mr. John"/>
    <n v="0"/>
    <x v="4"/>
    <n v="0"/>
    <n v="0"/>
    <s v="368323"/>
    <n v="6.95"/>
    <s v=""/>
    <x v="2"/>
    <n v="0"/>
    <n v="0"/>
    <n v="1"/>
    <x v="0"/>
    <n v="0"/>
    <n v="0"/>
    <n v="1"/>
    <n v="0"/>
    <n v="0"/>
  </r>
  <r>
    <n v="827"/>
    <x v="0"/>
    <n v="3"/>
    <s v="Lam, Mr. Len"/>
    <n v="0"/>
    <x v="4"/>
    <n v="0"/>
    <n v="0"/>
    <s v="1601"/>
    <n v="56.495800000000003"/>
    <s v=""/>
    <x v="0"/>
    <n v="1"/>
    <n v="0"/>
    <n v="0"/>
    <x v="0"/>
    <n v="0"/>
    <n v="0"/>
    <n v="1"/>
    <n v="0"/>
    <n v="0"/>
  </r>
  <r>
    <n v="828"/>
    <x v="1"/>
    <n v="2"/>
    <s v="Mallet, Master. Andre"/>
    <n v="0"/>
    <x v="50"/>
    <n v="0"/>
    <n v="2"/>
    <s v="S.C./PARIS 2079"/>
    <n v="37.004199999999997"/>
    <s v=""/>
    <x v="1"/>
    <n v="0"/>
    <n v="1"/>
    <n v="0"/>
    <x v="3"/>
    <n v="0"/>
    <n v="0"/>
    <n v="0"/>
    <n v="1"/>
    <n v="0"/>
  </r>
  <r>
    <n v="829"/>
    <x v="1"/>
    <n v="3"/>
    <s v="McCormack, Mr. Thomas Joseph"/>
    <n v="0"/>
    <x v="4"/>
    <n v="0"/>
    <n v="0"/>
    <s v="367228"/>
    <n v="7.75"/>
    <s v=""/>
    <x v="2"/>
    <n v="0"/>
    <n v="0"/>
    <n v="1"/>
    <x v="0"/>
    <n v="0"/>
    <n v="0"/>
    <n v="1"/>
    <n v="0"/>
    <n v="0"/>
  </r>
  <r>
    <n v="830"/>
    <x v="1"/>
    <n v="1"/>
    <s v="Stone, Mrs. George Nelson (Martha Evelyn)"/>
    <n v="1"/>
    <x v="55"/>
    <n v="0"/>
    <n v="0"/>
    <s v="113572"/>
    <n v="80"/>
    <s v="B28"/>
    <x v="3"/>
    <n v="0"/>
    <n v="0"/>
    <n v="0"/>
    <x v="1"/>
    <n v="0"/>
    <n v="1"/>
    <n v="0"/>
    <n v="0"/>
    <n v="0"/>
  </r>
  <r>
    <n v="831"/>
    <x v="1"/>
    <n v="3"/>
    <s v="Yasbeck, Mrs. Antoni (Selini Alexander)"/>
    <n v="1"/>
    <x v="16"/>
    <n v="1"/>
    <n v="0"/>
    <s v="2659"/>
    <n v="14.4542"/>
    <s v=""/>
    <x v="1"/>
    <n v="0"/>
    <n v="1"/>
    <n v="0"/>
    <x v="1"/>
    <n v="0"/>
    <n v="1"/>
    <n v="0"/>
    <n v="0"/>
    <n v="0"/>
  </r>
  <r>
    <n v="832"/>
    <x v="1"/>
    <n v="2"/>
    <s v="Richards, Master. George Sibley"/>
    <n v="0"/>
    <x v="4"/>
    <n v="1"/>
    <n v="1"/>
    <s v="29106"/>
    <n v="18.75"/>
    <s v=""/>
    <x v="0"/>
    <n v="1"/>
    <n v="0"/>
    <n v="0"/>
    <x v="3"/>
    <n v="0"/>
    <n v="0"/>
    <n v="0"/>
    <n v="1"/>
    <n v="0"/>
  </r>
  <r>
    <n v="833"/>
    <x v="0"/>
    <n v="3"/>
    <s v="Saad, Mr. Amin"/>
    <n v="0"/>
    <x v="4"/>
    <n v="0"/>
    <n v="0"/>
    <s v="2671"/>
    <n v="7.2291999999999996"/>
    <s v=""/>
    <x v="1"/>
    <n v="0"/>
    <n v="1"/>
    <n v="0"/>
    <x v="0"/>
    <n v="0"/>
    <n v="0"/>
    <n v="1"/>
    <n v="0"/>
    <n v="0"/>
  </r>
  <r>
    <n v="834"/>
    <x v="0"/>
    <n v="3"/>
    <s v="Augustsson, Mr. Albert"/>
    <n v="0"/>
    <x v="39"/>
    <n v="0"/>
    <n v="0"/>
    <s v="347468"/>
    <n v="7.8541999999999996"/>
    <s v=""/>
    <x v="0"/>
    <n v="1"/>
    <n v="0"/>
    <n v="0"/>
    <x v="0"/>
    <n v="0"/>
    <n v="0"/>
    <n v="1"/>
    <n v="0"/>
    <n v="0"/>
  </r>
  <r>
    <n v="835"/>
    <x v="0"/>
    <n v="3"/>
    <s v="Allum, Mr. Owen George"/>
    <n v="0"/>
    <x v="24"/>
    <n v="0"/>
    <n v="0"/>
    <s v="2223"/>
    <n v="8.3000000000000007"/>
    <s v=""/>
    <x v="0"/>
    <n v="1"/>
    <n v="0"/>
    <n v="0"/>
    <x v="0"/>
    <n v="0"/>
    <n v="0"/>
    <n v="1"/>
    <n v="0"/>
    <n v="0"/>
  </r>
  <r>
    <n v="836"/>
    <x v="1"/>
    <n v="1"/>
    <s v="Compton, Miss. Sara Rebecca"/>
    <n v="1"/>
    <x v="12"/>
    <n v="1"/>
    <n v="1"/>
    <s v="PC 17756"/>
    <n v="83.158299999999997"/>
    <s v="E49"/>
    <x v="1"/>
    <n v="0"/>
    <n v="1"/>
    <n v="0"/>
    <x v="2"/>
    <n v="1"/>
    <n v="0"/>
    <n v="0"/>
    <n v="0"/>
    <n v="0"/>
  </r>
  <r>
    <n v="837"/>
    <x v="0"/>
    <n v="3"/>
    <s v="Pasic, Mr. Jakob"/>
    <n v="0"/>
    <x v="23"/>
    <n v="0"/>
    <n v="0"/>
    <s v="315097"/>
    <n v="8.6624999999999996"/>
    <s v=""/>
    <x v="0"/>
    <n v="1"/>
    <n v="0"/>
    <n v="0"/>
    <x v="0"/>
    <n v="0"/>
    <n v="0"/>
    <n v="1"/>
    <n v="0"/>
    <n v="0"/>
  </r>
  <r>
    <n v="838"/>
    <x v="0"/>
    <n v="3"/>
    <s v="Sirota, Mr. Maurice"/>
    <n v="0"/>
    <x v="4"/>
    <n v="0"/>
    <n v="0"/>
    <s v="392092"/>
    <n v="8.0500000000000007"/>
    <s v=""/>
    <x v="0"/>
    <n v="1"/>
    <n v="0"/>
    <n v="0"/>
    <x v="0"/>
    <n v="0"/>
    <n v="0"/>
    <n v="1"/>
    <n v="0"/>
    <n v="0"/>
  </r>
  <r>
    <n v="839"/>
    <x v="1"/>
    <n v="3"/>
    <s v="Chip, Mr. Chang"/>
    <n v="0"/>
    <x v="34"/>
    <n v="0"/>
    <n v="0"/>
    <s v="1601"/>
    <n v="56.495800000000003"/>
    <s v=""/>
    <x v="0"/>
    <n v="1"/>
    <n v="0"/>
    <n v="0"/>
    <x v="0"/>
    <n v="0"/>
    <n v="0"/>
    <n v="1"/>
    <n v="0"/>
    <n v="0"/>
  </r>
  <r>
    <n v="840"/>
    <x v="1"/>
    <n v="1"/>
    <s v="Marechal, Mr. Pierre"/>
    <n v="0"/>
    <x v="4"/>
    <n v="0"/>
    <n v="0"/>
    <s v="11774"/>
    <n v="29.7"/>
    <s v="C47"/>
    <x v="1"/>
    <n v="0"/>
    <n v="1"/>
    <n v="0"/>
    <x v="0"/>
    <n v="0"/>
    <n v="0"/>
    <n v="1"/>
    <n v="0"/>
    <n v="0"/>
  </r>
  <r>
    <n v="841"/>
    <x v="0"/>
    <n v="3"/>
    <s v="Alhomaki, Mr. Ilmari Rudolf"/>
    <n v="0"/>
    <x v="11"/>
    <n v="0"/>
    <n v="0"/>
    <s v="SOTON/O2 3101287"/>
    <n v="7.9249999999999998"/>
    <s v=""/>
    <x v="0"/>
    <n v="1"/>
    <n v="0"/>
    <n v="0"/>
    <x v="0"/>
    <n v="0"/>
    <n v="0"/>
    <n v="1"/>
    <n v="0"/>
    <n v="0"/>
  </r>
  <r>
    <n v="842"/>
    <x v="0"/>
    <n v="2"/>
    <s v="Mudd, Mr. Thomas Charles"/>
    <n v="0"/>
    <x v="35"/>
    <n v="0"/>
    <n v="0"/>
    <s v="S.O./P.P. 3"/>
    <n v="10.5"/>
    <s v=""/>
    <x v="0"/>
    <n v="1"/>
    <n v="0"/>
    <n v="0"/>
    <x v="0"/>
    <n v="0"/>
    <n v="0"/>
    <n v="1"/>
    <n v="0"/>
    <n v="0"/>
  </r>
  <r>
    <n v="843"/>
    <x v="1"/>
    <n v="1"/>
    <s v="Serepeca, Miss. Augusta"/>
    <n v="1"/>
    <x v="37"/>
    <n v="0"/>
    <n v="0"/>
    <s v="113798"/>
    <n v="31"/>
    <s v=""/>
    <x v="1"/>
    <n v="0"/>
    <n v="1"/>
    <n v="0"/>
    <x v="2"/>
    <n v="1"/>
    <n v="0"/>
    <n v="0"/>
    <n v="0"/>
    <n v="0"/>
  </r>
  <r>
    <n v="844"/>
    <x v="0"/>
    <n v="3"/>
    <s v="Lemberopolous, Mr. Peter L"/>
    <n v="0"/>
    <x v="4"/>
    <n v="0"/>
    <n v="0"/>
    <s v="2683"/>
    <n v="6.4375"/>
    <s v=""/>
    <x v="1"/>
    <n v="0"/>
    <n v="1"/>
    <n v="0"/>
    <x v="0"/>
    <n v="0"/>
    <n v="0"/>
    <n v="1"/>
    <n v="0"/>
    <n v="0"/>
  </r>
  <r>
    <n v="845"/>
    <x v="0"/>
    <n v="3"/>
    <s v="Culumovic, Mr. Jeso"/>
    <n v="0"/>
    <x v="33"/>
    <n v="0"/>
    <n v="0"/>
    <s v="315090"/>
    <n v="8.6624999999999996"/>
    <s v=""/>
    <x v="0"/>
    <n v="1"/>
    <n v="0"/>
    <n v="0"/>
    <x v="0"/>
    <n v="0"/>
    <n v="0"/>
    <n v="1"/>
    <n v="0"/>
    <n v="0"/>
  </r>
  <r>
    <n v="846"/>
    <x v="0"/>
    <n v="3"/>
    <s v="Abbing, Mr. Anthony"/>
    <n v="0"/>
    <x v="22"/>
    <n v="0"/>
    <n v="0"/>
    <s v="C.A. 5547"/>
    <n v="7.55"/>
    <s v=""/>
    <x v="0"/>
    <n v="1"/>
    <n v="0"/>
    <n v="0"/>
    <x v="0"/>
    <n v="0"/>
    <n v="0"/>
    <n v="1"/>
    <n v="0"/>
    <n v="0"/>
  </r>
  <r>
    <n v="847"/>
    <x v="0"/>
    <n v="3"/>
    <s v="Sage, Mr. Douglas Bullen"/>
    <n v="0"/>
    <x v="4"/>
    <n v="8"/>
    <n v="2"/>
    <s v="CA. 2343"/>
    <n v="69.55"/>
    <s v=""/>
    <x v="0"/>
    <n v="1"/>
    <n v="0"/>
    <n v="0"/>
    <x v="0"/>
    <n v="0"/>
    <n v="0"/>
    <n v="1"/>
    <n v="0"/>
    <n v="0"/>
  </r>
  <r>
    <n v="848"/>
    <x v="0"/>
    <n v="3"/>
    <s v="Markoff, Mr. Marin"/>
    <n v="0"/>
    <x v="3"/>
    <n v="0"/>
    <n v="0"/>
    <s v="349213"/>
    <n v="7.8958000000000004"/>
    <s v=""/>
    <x v="1"/>
    <n v="0"/>
    <n v="1"/>
    <n v="0"/>
    <x v="0"/>
    <n v="0"/>
    <n v="0"/>
    <n v="1"/>
    <n v="0"/>
    <n v="0"/>
  </r>
  <r>
    <n v="849"/>
    <x v="0"/>
    <n v="2"/>
    <s v="Harper, Rev. John"/>
    <n v="0"/>
    <x v="17"/>
    <n v="0"/>
    <n v="1"/>
    <s v="248727"/>
    <n v="33"/>
    <s v=""/>
    <x v="0"/>
    <n v="1"/>
    <n v="0"/>
    <n v="0"/>
    <x v="5"/>
    <n v="0"/>
    <n v="0"/>
    <n v="0"/>
    <n v="0"/>
    <n v="1"/>
  </r>
  <r>
    <n v="850"/>
    <x v="1"/>
    <n v="1"/>
    <s v="Goldenberg, Mrs. Samuel L (Edwiga Grabowska)"/>
    <n v="1"/>
    <x v="4"/>
    <n v="1"/>
    <n v="0"/>
    <s v="17453"/>
    <n v="89.104200000000006"/>
    <s v="C92"/>
    <x v="1"/>
    <n v="0"/>
    <n v="1"/>
    <n v="0"/>
    <x v="1"/>
    <n v="0"/>
    <n v="1"/>
    <n v="0"/>
    <n v="0"/>
    <n v="0"/>
  </r>
  <r>
    <n v="851"/>
    <x v="0"/>
    <n v="3"/>
    <s v="Andersson, Master. Sigvard Harald Elias"/>
    <n v="0"/>
    <x v="9"/>
    <n v="4"/>
    <n v="2"/>
    <s v="347082"/>
    <n v="31.274999999999999"/>
    <s v=""/>
    <x v="0"/>
    <n v="1"/>
    <n v="0"/>
    <n v="0"/>
    <x v="3"/>
    <n v="0"/>
    <n v="0"/>
    <n v="0"/>
    <n v="1"/>
    <n v="0"/>
  </r>
  <r>
    <n v="852"/>
    <x v="0"/>
    <n v="3"/>
    <s v="Svensson, Mr. Johan"/>
    <n v="0"/>
    <x v="70"/>
    <n v="0"/>
    <n v="0"/>
    <s v="347060"/>
    <n v="7.7750000000000004"/>
    <s v=""/>
    <x v="0"/>
    <n v="1"/>
    <n v="0"/>
    <n v="0"/>
    <x v="0"/>
    <n v="0"/>
    <n v="0"/>
    <n v="1"/>
    <n v="0"/>
    <n v="0"/>
  </r>
  <r>
    <n v="853"/>
    <x v="0"/>
    <n v="3"/>
    <s v="Boulos, Miss. Nourelain"/>
    <n v="1"/>
    <x v="47"/>
    <n v="1"/>
    <n v="1"/>
    <s v="2678"/>
    <n v="15.245799999999999"/>
    <s v=""/>
    <x v="1"/>
    <n v="0"/>
    <n v="1"/>
    <n v="0"/>
    <x v="2"/>
    <n v="1"/>
    <n v="0"/>
    <n v="0"/>
    <n v="0"/>
    <n v="0"/>
  </r>
  <r>
    <n v="854"/>
    <x v="1"/>
    <n v="1"/>
    <s v="Lines, Miss. Mary Conover"/>
    <n v="1"/>
    <x v="35"/>
    <n v="0"/>
    <n v="1"/>
    <s v="PC 17592"/>
    <n v="39.4"/>
    <s v="D28"/>
    <x v="0"/>
    <n v="1"/>
    <n v="0"/>
    <n v="0"/>
    <x v="2"/>
    <n v="1"/>
    <n v="0"/>
    <n v="0"/>
    <n v="0"/>
    <n v="0"/>
  </r>
  <r>
    <n v="855"/>
    <x v="0"/>
    <n v="2"/>
    <s v="Carter, Mrs. Ernest Courtenay (Lilian Hughes)"/>
    <n v="1"/>
    <x v="49"/>
    <n v="1"/>
    <n v="0"/>
    <s v="244252"/>
    <n v="26"/>
    <s v=""/>
    <x v="0"/>
    <n v="1"/>
    <n v="0"/>
    <n v="0"/>
    <x v="1"/>
    <n v="0"/>
    <n v="1"/>
    <n v="0"/>
    <n v="0"/>
    <n v="0"/>
  </r>
  <r>
    <n v="856"/>
    <x v="1"/>
    <n v="3"/>
    <s v="Aks, Mrs. Sam (Leah Rosen)"/>
    <n v="1"/>
    <x v="24"/>
    <n v="0"/>
    <n v="1"/>
    <s v="392091"/>
    <n v="9.35"/>
    <s v=""/>
    <x v="0"/>
    <n v="1"/>
    <n v="0"/>
    <n v="0"/>
    <x v="1"/>
    <n v="0"/>
    <n v="1"/>
    <n v="0"/>
    <n v="0"/>
    <n v="0"/>
  </r>
  <r>
    <n v="857"/>
    <x v="1"/>
    <n v="1"/>
    <s v="Wick, Mrs. George Dennick (Mary Hitchcock)"/>
    <n v="1"/>
    <x v="32"/>
    <n v="1"/>
    <n v="1"/>
    <s v="36928"/>
    <n v="164.86670000000001"/>
    <s v=""/>
    <x v="0"/>
    <n v="1"/>
    <n v="0"/>
    <n v="0"/>
    <x v="1"/>
    <n v="0"/>
    <n v="1"/>
    <n v="0"/>
    <n v="0"/>
    <n v="0"/>
  </r>
  <r>
    <n v="858"/>
    <x v="1"/>
    <n v="1"/>
    <s v="Daly, Mr. Peter Denis "/>
    <n v="0"/>
    <x v="48"/>
    <n v="0"/>
    <n v="0"/>
    <s v="113055"/>
    <n v="26.55"/>
    <s v="E17"/>
    <x v="0"/>
    <n v="1"/>
    <n v="0"/>
    <n v="0"/>
    <x v="0"/>
    <n v="0"/>
    <n v="0"/>
    <n v="1"/>
    <n v="0"/>
    <n v="0"/>
  </r>
  <r>
    <n v="859"/>
    <x v="1"/>
    <n v="3"/>
    <s v="Baclini, Mrs. Solomon (Latifa Qurban)"/>
    <n v="1"/>
    <x v="40"/>
    <n v="0"/>
    <n v="3"/>
    <s v="2666"/>
    <n v="19.258299999999998"/>
    <s v=""/>
    <x v="1"/>
    <n v="0"/>
    <n v="1"/>
    <n v="0"/>
    <x v="1"/>
    <n v="0"/>
    <n v="1"/>
    <n v="0"/>
    <n v="0"/>
    <n v="0"/>
  </r>
  <r>
    <n v="860"/>
    <x v="0"/>
    <n v="3"/>
    <s v="Razi, Mr. Raihed"/>
    <n v="0"/>
    <x v="4"/>
    <n v="0"/>
    <n v="0"/>
    <s v="2629"/>
    <n v="7.2291999999999996"/>
    <s v=""/>
    <x v="1"/>
    <n v="0"/>
    <n v="1"/>
    <n v="0"/>
    <x v="0"/>
    <n v="0"/>
    <n v="0"/>
    <n v="1"/>
    <n v="0"/>
    <n v="0"/>
  </r>
  <r>
    <n v="861"/>
    <x v="0"/>
    <n v="3"/>
    <s v="Hansen, Mr. Claus Peter"/>
    <n v="0"/>
    <x v="56"/>
    <n v="2"/>
    <n v="0"/>
    <s v="350026"/>
    <n v="14.1083"/>
    <s v=""/>
    <x v="0"/>
    <n v="1"/>
    <n v="0"/>
    <n v="0"/>
    <x v="0"/>
    <n v="0"/>
    <n v="0"/>
    <n v="1"/>
    <n v="0"/>
    <n v="0"/>
  </r>
  <r>
    <n v="862"/>
    <x v="0"/>
    <n v="2"/>
    <s v="Giles, Mr. Frederick Edward"/>
    <n v="0"/>
    <x v="23"/>
    <n v="1"/>
    <n v="0"/>
    <s v="28134"/>
    <n v="11.5"/>
    <s v=""/>
    <x v="0"/>
    <n v="1"/>
    <n v="0"/>
    <n v="0"/>
    <x v="0"/>
    <n v="0"/>
    <n v="0"/>
    <n v="1"/>
    <n v="0"/>
    <n v="0"/>
  </r>
  <r>
    <n v="863"/>
    <x v="1"/>
    <n v="1"/>
    <s v="Swift, Mrs. Frederick Joel (Margaret Welles Barron)"/>
    <n v="1"/>
    <x v="64"/>
    <n v="0"/>
    <n v="0"/>
    <s v="17466"/>
    <n v="25.929200000000002"/>
    <s v="D17"/>
    <x v="0"/>
    <n v="1"/>
    <n v="0"/>
    <n v="0"/>
    <x v="1"/>
    <n v="0"/>
    <n v="1"/>
    <n v="0"/>
    <n v="0"/>
    <n v="0"/>
  </r>
  <r>
    <n v="864"/>
    <x v="0"/>
    <n v="3"/>
    <s v="Sage, Miss. Dorothy Edith &quot;Dolly&quot;"/>
    <n v="1"/>
    <x v="4"/>
    <n v="8"/>
    <n v="2"/>
    <s v="CA. 2343"/>
    <n v="69.55"/>
    <s v=""/>
    <x v="0"/>
    <n v="1"/>
    <n v="0"/>
    <n v="0"/>
    <x v="2"/>
    <n v="1"/>
    <n v="0"/>
    <n v="0"/>
    <n v="0"/>
    <n v="0"/>
  </r>
  <r>
    <n v="865"/>
    <x v="0"/>
    <n v="2"/>
    <s v="Gill, Mr. John William"/>
    <n v="0"/>
    <x v="40"/>
    <n v="0"/>
    <n v="0"/>
    <s v="233866"/>
    <n v="13"/>
    <s v=""/>
    <x v="0"/>
    <n v="1"/>
    <n v="0"/>
    <n v="0"/>
    <x v="0"/>
    <n v="0"/>
    <n v="0"/>
    <n v="1"/>
    <n v="0"/>
    <n v="0"/>
  </r>
  <r>
    <n v="866"/>
    <x v="1"/>
    <n v="2"/>
    <s v="Bystrom, Mrs. (Karolina)"/>
    <n v="1"/>
    <x v="22"/>
    <n v="0"/>
    <n v="0"/>
    <s v="236852"/>
    <n v="13"/>
    <s v=""/>
    <x v="0"/>
    <n v="1"/>
    <n v="0"/>
    <n v="0"/>
    <x v="1"/>
    <n v="0"/>
    <n v="1"/>
    <n v="0"/>
    <n v="0"/>
    <n v="0"/>
  </r>
  <r>
    <n v="867"/>
    <x v="1"/>
    <n v="2"/>
    <s v="Duran y More, Miss. Asuncion"/>
    <n v="1"/>
    <x v="7"/>
    <n v="1"/>
    <n v="0"/>
    <s v="SC/PARIS 2149"/>
    <n v="13.8583"/>
    <s v=""/>
    <x v="1"/>
    <n v="0"/>
    <n v="1"/>
    <n v="0"/>
    <x v="2"/>
    <n v="1"/>
    <n v="0"/>
    <n v="0"/>
    <n v="0"/>
    <n v="0"/>
  </r>
  <r>
    <n v="868"/>
    <x v="0"/>
    <n v="1"/>
    <s v="Roebling, Mr. Washington Augustus II"/>
    <n v="0"/>
    <x v="14"/>
    <n v="0"/>
    <n v="0"/>
    <s v="PC 17590"/>
    <n v="50.495800000000003"/>
    <s v="A24"/>
    <x v="0"/>
    <n v="1"/>
    <n v="0"/>
    <n v="0"/>
    <x v="0"/>
    <n v="0"/>
    <n v="0"/>
    <n v="1"/>
    <n v="0"/>
    <n v="0"/>
  </r>
  <r>
    <n v="869"/>
    <x v="0"/>
    <n v="3"/>
    <s v="van Melkebeke, Mr. Philemon"/>
    <n v="0"/>
    <x v="4"/>
    <n v="0"/>
    <n v="0"/>
    <s v="345777"/>
    <n v="9.5"/>
    <s v=""/>
    <x v="0"/>
    <n v="1"/>
    <n v="0"/>
    <n v="0"/>
    <x v="0"/>
    <n v="0"/>
    <n v="0"/>
    <n v="1"/>
    <n v="0"/>
    <n v="0"/>
  </r>
  <r>
    <n v="870"/>
    <x v="1"/>
    <n v="3"/>
    <s v="Johnson, Master. Harold Theodor"/>
    <n v="0"/>
    <x v="9"/>
    <n v="1"/>
    <n v="1"/>
    <s v="347742"/>
    <n v="11.1333"/>
    <s v=""/>
    <x v="0"/>
    <n v="1"/>
    <n v="0"/>
    <n v="0"/>
    <x v="3"/>
    <n v="0"/>
    <n v="0"/>
    <n v="0"/>
    <n v="1"/>
    <n v="0"/>
  </r>
  <r>
    <n v="871"/>
    <x v="0"/>
    <n v="3"/>
    <s v="Balkic, Mr. Cerin"/>
    <n v="0"/>
    <x v="2"/>
    <n v="0"/>
    <n v="0"/>
    <s v="349248"/>
    <n v="7.8958000000000004"/>
    <s v=""/>
    <x v="0"/>
    <n v="1"/>
    <n v="0"/>
    <n v="0"/>
    <x v="0"/>
    <n v="0"/>
    <n v="0"/>
    <n v="1"/>
    <n v="0"/>
    <n v="0"/>
  </r>
  <r>
    <n v="872"/>
    <x v="1"/>
    <n v="1"/>
    <s v="Beckwith, Mrs. Richard Leonard (Sallie Monypeny)"/>
    <n v="1"/>
    <x v="45"/>
    <n v="1"/>
    <n v="1"/>
    <s v="11751"/>
    <n v="52.554200000000002"/>
    <s v="D35"/>
    <x v="0"/>
    <n v="1"/>
    <n v="0"/>
    <n v="0"/>
    <x v="1"/>
    <n v="0"/>
    <n v="1"/>
    <n v="0"/>
    <n v="0"/>
    <n v="0"/>
  </r>
  <r>
    <n v="873"/>
    <x v="0"/>
    <n v="1"/>
    <s v="Carlsson, Mr. Frans Olof"/>
    <n v="0"/>
    <x v="38"/>
    <n v="0"/>
    <n v="0"/>
    <s v="695"/>
    <n v="5"/>
    <s v="B51 B53 B55"/>
    <x v="0"/>
    <n v="1"/>
    <n v="0"/>
    <n v="0"/>
    <x v="0"/>
    <n v="0"/>
    <n v="0"/>
    <n v="1"/>
    <n v="0"/>
    <n v="0"/>
  </r>
  <r>
    <n v="874"/>
    <x v="0"/>
    <n v="3"/>
    <s v="Vander Cruyssen, Mr. Victor"/>
    <n v="0"/>
    <x v="45"/>
    <n v="0"/>
    <n v="0"/>
    <s v="345765"/>
    <n v="9"/>
    <s v=""/>
    <x v="0"/>
    <n v="1"/>
    <n v="0"/>
    <n v="0"/>
    <x v="0"/>
    <n v="0"/>
    <n v="0"/>
    <n v="1"/>
    <n v="0"/>
    <n v="0"/>
  </r>
  <r>
    <n v="875"/>
    <x v="1"/>
    <n v="2"/>
    <s v="Abelson, Mrs. Samuel (Hannah Wizosky)"/>
    <n v="1"/>
    <x v="17"/>
    <n v="1"/>
    <n v="0"/>
    <s v="P/PP 3381"/>
    <n v="24"/>
    <s v=""/>
    <x v="1"/>
    <n v="0"/>
    <n v="1"/>
    <n v="0"/>
    <x v="1"/>
    <n v="0"/>
    <n v="1"/>
    <n v="0"/>
    <n v="0"/>
    <n v="0"/>
  </r>
  <r>
    <n v="876"/>
    <x v="1"/>
    <n v="3"/>
    <s v="Najib, Miss. Adele Kiamie &quot;Jane&quot;"/>
    <n v="1"/>
    <x v="16"/>
    <n v="0"/>
    <n v="0"/>
    <s v="2667"/>
    <n v="7.2249999999999996"/>
    <s v=""/>
    <x v="1"/>
    <n v="0"/>
    <n v="1"/>
    <n v="0"/>
    <x v="2"/>
    <n v="1"/>
    <n v="0"/>
    <n v="0"/>
    <n v="0"/>
    <n v="0"/>
  </r>
  <r>
    <n v="877"/>
    <x v="0"/>
    <n v="3"/>
    <s v="Gustafsson, Mr. Alfred Ossian"/>
    <n v="0"/>
    <x v="11"/>
    <n v="0"/>
    <n v="0"/>
    <s v="7534"/>
    <n v="9.8458000000000006"/>
    <s v=""/>
    <x v="0"/>
    <n v="1"/>
    <n v="0"/>
    <n v="0"/>
    <x v="0"/>
    <n v="0"/>
    <n v="0"/>
    <n v="1"/>
    <n v="0"/>
    <n v="0"/>
  </r>
  <r>
    <n v="878"/>
    <x v="0"/>
    <n v="3"/>
    <s v="Petroff, Mr. Nedelio"/>
    <n v="0"/>
    <x v="19"/>
    <n v="0"/>
    <n v="0"/>
    <s v="349212"/>
    <n v="7.8958000000000004"/>
    <s v=""/>
    <x v="0"/>
    <n v="1"/>
    <n v="0"/>
    <n v="0"/>
    <x v="0"/>
    <n v="0"/>
    <n v="0"/>
    <n v="1"/>
    <n v="0"/>
    <n v="0"/>
  </r>
  <r>
    <n v="879"/>
    <x v="0"/>
    <n v="3"/>
    <s v="Laleff, Mr. Kristo"/>
    <n v="0"/>
    <x v="4"/>
    <n v="0"/>
    <n v="0"/>
    <s v="349217"/>
    <n v="7.8958000000000004"/>
    <s v=""/>
    <x v="0"/>
    <n v="1"/>
    <n v="0"/>
    <n v="0"/>
    <x v="0"/>
    <n v="0"/>
    <n v="0"/>
    <n v="1"/>
    <n v="0"/>
    <n v="0"/>
  </r>
  <r>
    <n v="880"/>
    <x v="1"/>
    <n v="1"/>
    <s v="Potter, Mrs. Thomas Jr (Lily Alexenia Wilson)"/>
    <n v="1"/>
    <x v="52"/>
    <n v="0"/>
    <n v="1"/>
    <s v="11767"/>
    <n v="83.158299999999997"/>
    <s v="C50"/>
    <x v="1"/>
    <n v="0"/>
    <n v="1"/>
    <n v="0"/>
    <x v="1"/>
    <n v="0"/>
    <n v="1"/>
    <n v="0"/>
    <n v="0"/>
    <n v="0"/>
  </r>
  <r>
    <n v="881"/>
    <x v="1"/>
    <n v="2"/>
    <s v="Shelley, Mrs. William (Imanita Parrish Hall)"/>
    <n v="1"/>
    <x v="36"/>
    <n v="0"/>
    <n v="1"/>
    <s v="230433"/>
    <n v="26"/>
    <s v=""/>
    <x v="0"/>
    <n v="1"/>
    <n v="0"/>
    <n v="0"/>
    <x v="1"/>
    <n v="0"/>
    <n v="1"/>
    <n v="0"/>
    <n v="0"/>
    <n v="0"/>
  </r>
  <r>
    <n v="882"/>
    <x v="0"/>
    <n v="3"/>
    <s v="Markun, Mr. Johann"/>
    <n v="0"/>
    <x v="38"/>
    <n v="0"/>
    <n v="0"/>
    <s v="349257"/>
    <n v="7.8958000000000004"/>
    <s v=""/>
    <x v="0"/>
    <n v="1"/>
    <n v="0"/>
    <n v="0"/>
    <x v="0"/>
    <n v="0"/>
    <n v="0"/>
    <n v="1"/>
    <n v="0"/>
    <n v="0"/>
  </r>
  <r>
    <n v="883"/>
    <x v="0"/>
    <n v="3"/>
    <s v="Dahlberg, Miss. Gerda Ulrika"/>
    <n v="1"/>
    <x v="0"/>
    <n v="0"/>
    <n v="0"/>
    <s v="7552"/>
    <n v="10.5167"/>
    <s v=""/>
    <x v="0"/>
    <n v="1"/>
    <n v="0"/>
    <n v="0"/>
    <x v="2"/>
    <n v="1"/>
    <n v="0"/>
    <n v="0"/>
    <n v="0"/>
    <n v="0"/>
  </r>
  <r>
    <n v="884"/>
    <x v="0"/>
    <n v="2"/>
    <s v="Banfield, Mr. Frederick James"/>
    <n v="0"/>
    <x v="17"/>
    <n v="0"/>
    <n v="0"/>
    <s v="C.A./SOTON 34068"/>
    <n v="10.5"/>
    <s v=""/>
    <x v="0"/>
    <n v="1"/>
    <n v="0"/>
    <n v="0"/>
    <x v="0"/>
    <n v="0"/>
    <n v="0"/>
    <n v="1"/>
    <n v="0"/>
    <n v="0"/>
  </r>
  <r>
    <n v="885"/>
    <x v="0"/>
    <n v="3"/>
    <s v="Sutehall, Mr. Henry Jr"/>
    <n v="0"/>
    <x v="36"/>
    <n v="0"/>
    <n v="0"/>
    <s v="SOTON/OQ 392076"/>
    <n v="7.05"/>
    <s v=""/>
    <x v="0"/>
    <n v="1"/>
    <n v="0"/>
    <n v="0"/>
    <x v="0"/>
    <n v="0"/>
    <n v="0"/>
    <n v="1"/>
    <n v="0"/>
    <n v="0"/>
  </r>
  <r>
    <n v="886"/>
    <x v="0"/>
    <n v="3"/>
    <s v="Rice, Mrs. William (Margaret Norton)"/>
    <n v="1"/>
    <x v="12"/>
    <n v="0"/>
    <n v="5"/>
    <s v="382652"/>
    <n v="29.125"/>
    <s v=""/>
    <x v="2"/>
    <n v="0"/>
    <n v="0"/>
    <n v="1"/>
    <x v="1"/>
    <n v="0"/>
    <n v="1"/>
    <n v="0"/>
    <n v="0"/>
    <n v="0"/>
  </r>
  <r>
    <n v="887"/>
    <x v="0"/>
    <n v="2"/>
    <s v="Montvila, Rev. Juozas"/>
    <n v="0"/>
    <x v="7"/>
    <n v="0"/>
    <n v="0"/>
    <s v="211536"/>
    <n v="13"/>
    <s v=""/>
    <x v="0"/>
    <n v="1"/>
    <n v="0"/>
    <n v="0"/>
    <x v="5"/>
    <n v="0"/>
    <n v="0"/>
    <n v="0"/>
    <n v="0"/>
    <n v="1"/>
  </r>
  <r>
    <n v="888"/>
    <x v="1"/>
    <n v="1"/>
    <s v="Graham, Miss. Margaret Edith"/>
    <n v="1"/>
    <x v="19"/>
    <n v="0"/>
    <n v="0"/>
    <s v="112053"/>
    <n v="30"/>
    <s v="B42"/>
    <x v="0"/>
    <n v="1"/>
    <n v="0"/>
    <n v="0"/>
    <x v="2"/>
    <n v="1"/>
    <n v="0"/>
    <n v="0"/>
    <n v="0"/>
    <n v="0"/>
  </r>
  <r>
    <n v="889"/>
    <x v="0"/>
    <n v="3"/>
    <s v="Johnston, Miss. Catherine Helen &quot;Carrie&quot;"/>
    <n v="1"/>
    <x v="4"/>
    <n v="1"/>
    <n v="2"/>
    <s v="W./C. 6607"/>
    <n v="23.45"/>
    <s v=""/>
    <x v="0"/>
    <n v="1"/>
    <n v="0"/>
    <n v="0"/>
    <x v="2"/>
    <n v="1"/>
    <n v="0"/>
    <n v="0"/>
    <n v="0"/>
    <n v="0"/>
  </r>
  <r>
    <n v="890"/>
    <x v="1"/>
    <n v="1"/>
    <s v="Behr, Mr. Karl Howell"/>
    <n v="0"/>
    <x v="2"/>
    <n v="0"/>
    <n v="0"/>
    <s v="111369"/>
    <n v="30"/>
    <s v="C148"/>
    <x v="1"/>
    <n v="0"/>
    <n v="1"/>
    <n v="0"/>
    <x v="0"/>
    <n v="0"/>
    <n v="0"/>
    <n v="1"/>
    <n v="0"/>
    <n v="0"/>
  </r>
  <r>
    <n v="891"/>
    <x v="0"/>
    <n v="3"/>
    <s v="Dooley, Mr. Patrick"/>
    <n v="0"/>
    <x v="34"/>
    <n v="0"/>
    <n v="0"/>
    <s v="370376"/>
    <n v="7.75"/>
    <s v=""/>
    <x v="2"/>
    <n v="0"/>
    <n v="0"/>
    <n v="1"/>
    <x v="0"/>
    <n v="0"/>
    <n v="0"/>
    <n v="1"/>
    <n v="0"/>
    <n v="0"/>
  </r>
  <r>
    <m/>
    <x v="2"/>
    <m/>
    <m/>
    <m/>
    <x v="4"/>
    <m/>
    <m/>
    <m/>
    <m/>
    <m/>
    <x v="4"/>
    <m/>
    <m/>
    <m/>
    <x v="1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Зведена таблиця2" cacheId="5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21">
    <pivotField dataField="1" showAll="0"/>
    <pivotField showAll="0"/>
    <pivotField showAll="0"/>
    <pivotField showAll="0"/>
    <pivotField showAll="0"/>
    <pivotField axis="axisPage" multipleItemSelectionAllowed="1" showAll="0">
      <items count="72">
        <item h="1" x="50"/>
        <item h="1" x="6"/>
        <item h="1" x="25"/>
        <item h="1" x="9"/>
        <item h="1" x="30"/>
        <item h="1" x="69"/>
        <item h="1" x="26"/>
        <item h="1" x="18"/>
        <item h="1" x="47"/>
        <item h="1" x="61"/>
        <item h="1" x="31"/>
        <item h="1" x="46"/>
        <item h="1" x="63"/>
        <item h="1" x="8"/>
        <item h="1" x="16"/>
        <item h="1" x="35"/>
        <item h="1" x="33"/>
        <item h="1" x="24"/>
        <item h="1" x="19"/>
        <item h="1" x="11"/>
        <item h="1" x="23"/>
        <item h="1" x="0"/>
        <item h="1" x="39"/>
        <item h="1" x="40"/>
        <item h="1" x="36"/>
        <item h="1" x="2"/>
        <item h="1" x="7"/>
        <item h="1" x="17"/>
        <item h="1" x="28"/>
        <item h="1" x="37"/>
        <item h="1" x="14"/>
        <item h="1" x="34"/>
        <item h="1" x="38"/>
        <item h="1" x="15"/>
        <item h="1" x="3"/>
        <item h="1" x="54"/>
        <item h="1" x="44"/>
        <item h="1" x="1"/>
        <item h="1" x="12"/>
        <item h="1" x="20"/>
        <item h="1" x="56"/>
        <item h="1" x="22"/>
        <item h="1" x="59"/>
        <item h="1" x="49"/>
        <item h="1" x="32"/>
        <item h="1" x="41"/>
        <item h="1" x="45"/>
        <item h="1" x="64"/>
        <item h="1" x="27"/>
        <item h="1" x="53"/>
        <item h="1" x="48"/>
        <item h="1" x="57"/>
        <item h="1" x="65"/>
        <item h="1" x="5"/>
        <item h="1" x="13"/>
        <item h="1" x="52"/>
        <item h="1" x="66"/>
        <item h="1" x="10"/>
        <item h="1" x="42"/>
        <item h="1" x="60"/>
        <item h="1" x="51"/>
        <item h="1" x="55"/>
        <item h="1" x="58"/>
        <item h="1" x="62"/>
        <item h="1" x="29"/>
        <item h="1" x="21"/>
        <item h="1" x="68"/>
        <item h="1" x="43"/>
        <item h="1" x="70"/>
        <item h="1" x="67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5" hier="-1"/>
  </pageFields>
  <dataFields count="1">
    <dataField name="Кількість з PassengerId" fld="0" subtotal="count" baseField="5" baseItem="70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Зведена таблиця3" cacheId="4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G1:H19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Середнє з Age" fld="5" subtotal="average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2"/>
  <sheetViews>
    <sheetView tabSelected="1" zoomScale="90" zoomScaleNormal="90" workbookViewId="0">
      <selection activeCell="S21" sqref="S21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.28515625" bestFit="1" customWidth="1"/>
    <col min="4" max="4" width="74.85546875" hidden="1" customWidth="1"/>
    <col min="5" max="5" width="6.42578125" bestFit="1" customWidth="1"/>
    <col min="6" max="6" width="13.28515625" bestFit="1" customWidth="1"/>
    <col min="7" max="7" width="8.42578125" bestFit="1" customWidth="1"/>
    <col min="8" max="8" width="8.7109375" bestFit="1" customWidth="1"/>
    <col min="9" max="9" width="20.28515625" hidden="1" customWidth="1"/>
    <col min="10" max="10" width="10" bestFit="1" customWidth="1"/>
    <col min="11" max="11" width="16" hidden="1" customWidth="1"/>
    <col min="12" max="12" width="12.140625" hidden="1" customWidth="1"/>
    <col min="13" max="13" width="14.140625" bestFit="1" customWidth="1"/>
    <col min="14" max="14" width="14.28515625" bestFit="1" customWidth="1"/>
    <col min="15" max="15" width="14.5703125" bestFit="1" customWidth="1"/>
    <col min="16" max="16" width="12.5703125" hidden="1" customWidth="1"/>
    <col min="17" max="17" width="7.85546875" bestFit="1" customWidth="1"/>
    <col min="18" max="18" width="7.140625" bestFit="1" customWidth="1"/>
    <col min="19" max="19" width="6.140625" bestFit="1" customWidth="1"/>
    <col min="20" max="20" width="9.85546875" bestFit="1" customWidth="1"/>
    <col min="21" max="21" width="7.5703125" bestFit="1" customWidth="1"/>
    <col min="22" max="22" width="12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  <c r="V1" t="s">
        <v>2465</v>
      </c>
      <c r="W1" t="s">
        <v>2467</v>
      </c>
      <c r="X1" t="s">
        <v>2468</v>
      </c>
      <c r="Y1" t="s">
        <v>2469</v>
      </c>
      <c r="AA1" t="s">
        <v>2466</v>
      </c>
      <c r="AB1">
        <v>0</v>
      </c>
    </row>
    <row r="2" spans="1:28" x14ac:dyDescent="0.25">
      <c r="A2" s="1">
        <v>1</v>
      </c>
      <c r="B2" s="1">
        <v>0</v>
      </c>
      <c r="C2" s="1">
        <v>3</v>
      </c>
      <c r="D2" s="1" t="s">
        <v>12</v>
      </c>
      <c r="E2" s="1">
        <v>0</v>
      </c>
      <c r="F2" s="1">
        <v>22</v>
      </c>
      <c r="G2" s="1">
        <v>1</v>
      </c>
      <c r="H2" s="1">
        <v>0</v>
      </c>
      <c r="I2" s="1" t="s">
        <v>13</v>
      </c>
      <c r="J2" s="1">
        <v>7.25</v>
      </c>
      <c r="K2" s="1" t="s">
        <v>48</v>
      </c>
      <c r="L2" s="1" t="s">
        <v>14</v>
      </c>
      <c r="M2">
        <v>1</v>
      </c>
      <c r="N2">
        <v>0</v>
      </c>
      <c r="O2">
        <v>0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  <c r="V2">
        <f>$AB$1+C2*$AB$2+E2*$AB$3+F2*$AB$4+G2*$AB$5+H2*$AB$6+J2*$AB$7+M2*$AB$8+N2*$AB$9+O2*$AB$10+Q2*$AB$11+R2*$AB$12+S2*$AB$13+T2*$AB$14+U2*$AB$15</f>
        <v>0</v>
      </c>
      <c r="W2">
        <f>1/(1+EXP(-V2))</f>
        <v>0.5</v>
      </c>
      <c r="X2">
        <f>-(B2*LN(MAX(0.000001,MIN(0.999999,W2))) +(1-B2)*LN(MAX(0.000001,MIN(0.999999,1-W2))))</f>
        <v>0.69314718055994529</v>
      </c>
      <c r="Y2">
        <f>SUM(X:X)</f>
        <v>577.45505612434101</v>
      </c>
      <c r="AA2" s="1" t="s">
        <v>2</v>
      </c>
      <c r="AB2">
        <v>0</v>
      </c>
    </row>
    <row r="3" spans="1:28" x14ac:dyDescent="0.25">
      <c r="A3" s="1">
        <v>2</v>
      </c>
      <c r="B3" s="1">
        <v>1</v>
      </c>
      <c r="C3" s="1">
        <v>1</v>
      </c>
      <c r="D3" s="1" t="s">
        <v>15</v>
      </c>
      <c r="E3" s="1">
        <v>1</v>
      </c>
      <c r="F3" s="1">
        <v>38</v>
      </c>
      <c r="G3" s="1">
        <v>1</v>
      </c>
      <c r="H3" s="1">
        <v>0</v>
      </c>
      <c r="I3" s="1" t="s">
        <v>16</v>
      </c>
      <c r="J3" s="1">
        <v>71.283299999999997</v>
      </c>
      <c r="K3" s="1" t="s">
        <v>17</v>
      </c>
      <c r="L3" s="1" t="s">
        <v>18</v>
      </c>
      <c r="M3">
        <v>0</v>
      </c>
      <c r="N3">
        <v>1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  <c r="V3">
        <f t="shared" ref="V3:V66" si="0">$AB$1+C3*$AB$2+E3*$AB$3+F3*$AB$4+G3*$AB$5+H3*$AB$6+J3*$AB$7+M3*$AB$8+N3*$AB$9+O3*$AB$10+Q3*$AB$11+R3*$AB$12+S3*$AB$13+T3*$AB$14+U3*$AB$15</f>
        <v>1.3618761518134992</v>
      </c>
      <c r="W3">
        <f t="shared" ref="W3:W66" si="1">1/(1+EXP(-V3))</f>
        <v>0.79606445234832413</v>
      </c>
      <c r="X3">
        <f t="shared" ref="X3:X66" si="2">-(B3*LN(MAX(0.000001,MIN(0.999999,W3))) +(1-B3)*LN(MAX(0.000001,MIN(0.999999,1-W3))))</f>
        <v>0.22807512612883141</v>
      </c>
      <c r="AA3" s="1" t="s">
        <v>4</v>
      </c>
      <c r="AB3">
        <v>0.71606068106693632</v>
      </c>
    </row>
    <row r="4" spans="1:28" x14ac:dyDescent="0.25">
      <c r="A4" s="1">
        <v>3</v>
      </c>
      <c r="B4" s="1">
        <v>1</v>
      </c>
      <c r="C4" s="1">
        <v>3</v>
      </c>
      <c r="D4" s="1" t="s">
        <v>19</v>
      </c>
      <c r="E4" s="1">
        <v>1</v>
      </c>
      <c r="F4" s="1">
        <v>26</v>
      </c>
      <c r="G4" s="1">
        <v>0</v>
      </c>
      <c r="H4" s="1">
        <v>0</v>
      </c>
      <c r="I4" s="1" t="s">
        <v>20</v>
      </c>
      <c r="J4" s="1">
        <v>7.9249999999999998</v>
      </c>
      <c r="K4" s="1" t="s">
        <v>48</v>
      </c>
      <c r="L4" s="1" t="s">
        <v>14</v>
      </c>
      <c r="M4">
        <v>1</v>
      </c>
      <c r="N4">
        <v>0</v>
      </c>
      <c r="O4">
        <v>0</v>
      </c>
      <c r="P4" t="s">
        <v>1739</v>
      </c>
      <c r="Q4">
        <v>1</v>
      </c>
      <c r="R4">
        <v>0</v>
      </c>
      <c r="S4">
        <v>0</v>
      </c>
      <c r="T4">
        <v>0</v>
      </c>
      <c r="U4">
        <v>0</v>
      </c>
      <c r="V4">
        <f t="shared" si="0"/>
        <v>0.87219584275330231</v>
      </c>
      <c r="W4">
        <f t="shared" si="1"/>
        <v>0.70520240168703408</v>
      </c>
      <c r="X4">
        <f t="shared" si="2"/>
        <v>0.34927042278209691</v>
      </c>
      <c r="AA4" s="1" t="s">
        <v>5</v>
      </c>
      <c r="AB4">
        <v>0</v>
      </c>
    </row>
    <row r="5" spans="1:28" x14ac:dyDescent="0.25">
      <c r="A5" s="1">
        <v>4</v>
      </c>
      <c r="B5" s="1">
        <v>1</v>
      </c>
      <c r="C5" s="1">
        <v>1</v>
      </c>
      <c r="D5" s="1" t="s">
        <v>21</v>
      </c>
      <c r="E5" s="1">
        <v>1</v>
      </c>
      <c r="F5" s="1">
        <v>35</v>
      </c>
      <c r="G5" s="1">
        <v>1</v>
      </c>
      <c r="H5" s="1">
        <v>0</v>
      </c>
      <c r="I5" s="1" t="s">
        <v>22</v>
      </c>
      <c r="J5" s="1">
        <v>53.1</v>
      </c>
      <c r="K5" s="1" t="s">
        <v>23</v>
      </c>
      <c r="L5" s="1" t="s">
        <v>14</v>
      </c>
      <c r="M5">
        <v>1</v>
      </c>
      <c r="N5">
        <v>0</v>
      </c>
      <c r="O5">
        <v>0</v>
      </c>
      <c r="P5" t="s">
        <v>1740</v>
      </c>
      <c r="Q5">
        <v>0</v>
      </c>
      <c r="R5">
        <v>1</v>
      </c>
      <c r="S5">
        <v>0</v>
      </c>
      <c r="T5">
        <v>0</v>
      </c>
      <c r="U5">
        <v>0</v>
      </c>
      <c r="V5">
        <f t="shared" si="0"/>
        <v>1.3618761518134992</v>
      </c>
      <c r="W5">
        <f t="shared" si="1"/>
        <v>0.79606445234832413</v>
      </c>
      <c r="X5">
        <f t="shared" si="2"/>
        <v>0.22807512612883141</v>
      </c>
      <c r="AA5" s="1" t="s">
        <v>6</v>
      </c>
      <c r="AB5">
        <v>0</v>
      </c>
    </row>
    <row r="6" spans="1:28" x14ac:dyDescent="0.25">
      <c r="A6" s="1">
        <v>5</v>
      </c>
      <c r="B6" s="1">
        <v>0</v>
      </c>
      <c r="C6" s="1">
        <v>3</v>
      </c>
      <c r="D6" s="1" t="s">
        <v>24</v>
      </c>
      <c r="E6" s="1">
        <v>0</v>
      </c>
      <c r="F6" s="1">
        <v>35</v>
      </c>
      <c r="G6" s="1">
        <v>0</v>
      </c>
      <c r="H6" s="1">
        <v>0</v>
      </c>
      <c r="I6" s="1" t="s">
        <v>25</v>
      </c>
      <c r="J6" s="1">
        <v>8.0500000000000007</v>
      </c>
      <c r="K6" s="1" t="s">
        <v>48</v>
      </c>
      <c r="L6" s="1" t="s">
        <v>14</v>
      </c>
      <c r="M6">
        <v>1</v>
      </c>
      <c r="N6">
        <v>0</v>
      </c>
      <c r="O6">
        <v>0</v>
      </c>
      <c r="P6" t="s">
        <v>1741</v>
      </c>
      <c r="Q6">
        <v>0</v>
      </c>
      <c r="R6">
        <v>0</v>
      </c>
      <c r="S6">
        <v>1</v>
      </c>
      <c r="T6">
        <v>0</v>
      </c>
      <c r="U6">
        <v>0</v>
      </c>
      <c r="V6">
        <f t="shared" si="0"/>
        <v>0</v>
      </c>
      <c r="W6">
        <f t="shared" si="1"/>
        <v>0.5</v>
      </c>
      <c r="X6">
        <f t="shared" si="2"/>
        <v>0.69314718055994529</v>
      </c>
      <c r="AA6" s="1" t="s">
        <v>7</v>
      </c>
      <c r="AB6">
        <v>0</v>
      </c>
    </row>
    <row r="7" spans="1:28" x14ac:dyDescent="0.25">
      <c r="A7" s="1">
        <v>6</v>
      </c>
      <c r="B7" s="1">
        <v>0</v>
      </c>
      <c r="C7" s="1">
        <v>3</v>
      </c>
      <c r="D7" s="1" t="s">
        <v>26</v>
      </c>
      <c r="E7" s="1">
        <v>0</v>
      </c>
      <c r="F7" s="1">
        <v>32.180156657963444</v>
      </c>
      <c r="G7" s="1">
        <v>0</v>
      </c>
      <c r="H7" s="1">
        <v>0</v>
      </c>
      <c r="I7" s="1" t="s">
        <v>27</v>
      </c>
      <c r="J7" s="1">
        <v>8.4582999999999995</v>
      </c>
      <c r="K7" s="1" t="s">
        <v>48</v>
      </c>
      <c r="L7" s="1" t="s">
        <v>28</v>
      </c>
      <c r="M7">
        <v>0</v>
      </c>
      <c r="N7">
        <v>0</v>
      </c>
      <c r="O7">
        <v>1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  <c r="V7">
        <f t="shared" si="0"/>
        <v>0</v>
      </c>
      <c r="W7">
        <f t="shared" si="1"/>
        <v>0.5</v>
      </c>
      <c r="X7">
        <f t="shared" si="2"/>
        <v>0.69314718055994529</v>
      </c>
      <c r="AA7" s="1" t="s">
        <v>9</v>
      </c>
      <c r="AB7">
        <v>0</v>
      </c>
    </row>
    <row r="8" spans="1:28" x14ac:dyDescent="0.25">
      <c r="A8" s="1">
        <v>7</v>
      </c>
      <c r="B8" s="1">
        <v>0</v>
      </c>
      <c r="C8" s="1">
        <v>1</v>
      </c>
      <c r="D8" s="1" t="s">
        <v>29</v>
      </c>
      <c r="E8" s="1">
        <v>0</v>
      </c>
      <c r="F8" s="1">
        <v>54</v>
      </c>
      <c r="G8" s="1">
        <v>0</v>
      </c>
      <c r="H8" s="1">
        <v>0</v>
      </c>
      <c r="I8" s="1" t="s">
        <v>30</v>
      </c>
      <c r="J8" s="1">
        <v>51.862499999999997</v>
      </c>
      <c r="K8" s="1" t="s">
        <v>31</v>
      </c>
      <c r="L8" s="1" t="s">
        <v>14</v>
      </c>
      <c r="M8">
        <v>1</v>
      </c>
      <c r="N8">
        <v>0</v>
      </c>
      <c r="O8">
        <v>0</v>
      </c>
      <c r="P8" t="s">
        <v>1741</v>
      </c>
      <c r="Q8">
        <v>0</v>
      </c>
      <c r="R8">
        <v>0</v>
      </c>
      <c r="S8">
        <v>1</v>
      </c>
      <c r="T8">
        <v>0</v>
      </c>
      <c r="U8">
        <v>0</v>
      </c>
      <c r="V8">
        <f t="shared" si="0"/>
        <v>0</v>
      </c>
      <c r="W8">
        <f t="shared" si="1"/>
        <v>0.5</v>
      </c>
      <c r="X8">
        <f t="shared" si="2"/>
        <v>0.69314718055994529</v>
      </c>
      <c r="AA8" t="s">
        <v>1735</v>
      </c>
      <c r="AB8">
        <v>0</v>
      </c>
    </row>
    <row r="9" spans="1:28" x14ac:dyDescent="0.25">
      <c r="A9" s="1">
        <v>8</v>
      </c>
      <c r="B9" s="1">
        <v>0</v>
      </c>
      <c r="C9" s="1">
        <v>3</v>
      </c>
      <c r="D9" s="1" t="s">
        <v>32</v>
      </c>
      <c r="E9" s="1">
        <v>0</v>
      </c>
      <c r="F9" s="1">
        <v>2</v>
      </c>
      <c r="G9" s="1">
        <v>3</v>
      </c>
      <c r="H9" s="1">
        <v>1</v>
      </c>
      <c r="I9" s="1" t="s">
        <v>33</v>
      </c>
      <c r="J9" s="1">
        <v>21.074999999999999</v>
      </c>
      <c r="K9" s="1" t="s">
        <v>48</v>
      </c>
      <c r="L9" s="1" t="s">
        <v>14</v>
      </c>
      <c r="M9">
        <v>1</v>
      </c>
      <c r="N9">
        <v>0</v>
      </c>
      <c r="O9">
        <v>0</v>
      </c>
      <c r="P9" t="s">
        <v>1742</v>
      </c>
      <c r="Q9">
        <v>0</v>
      </c>
      <c r="R9">
        <v>0</v>
      </c>
      <c r="S9">
        <v>0</v>
      </c>
      <c r="T9">
        <v>1</v>
      </c>
      <c r="U9">
        <v>0</v>
      </c>
      <c r="V9">
        <f t="shared" si="0"/>
        <v>0.21766252466937555</v>
      </c>
      <c r="W9">
        <f t="shared" si="1"/>
        <v>0.55420180681382414</v>
      </c>
      <c r="X9">
        <f t="shared" si="2"/>
        <v>0.8078889110081291</v>
      </c>
      <c r="AA9" t="s">
        <v>1736</v>
      </c>
      <c r="AB9">
        <v>0</v>
      </c>
    </row>
    <row r="10" spans="1:28" x14ac:dyDescent="0.25">
      <c r="A10" s="1">
        <v>9</v>
      </c>
      <c r="B10" s="1">
        <v>1</v>
      </c>
      <c r="C10" s="1">
        <v>3</v>
      </c>
      <c r="D10" s="1" t="s">
        <v>34</v>
      </c>
      <c r="E10" s="1">
        <v>1</v>
      </c>
      <c r="F10" s="1">
        <v>27</v>
      </c>
      <c r="G10" s="1">
        <v>0</v>
      </c>
      <c r="H10" s="1">
        <v>2</v>
      </c>
      <c r="I10" s="1" t="s">
        <v>35</v>
      </c>
      <c r="J10" s="1">
        <v>11.1333</v>
      </c>
      <c r="K10" s="1" t="s">
        <v>48</v>
      </c>
      <c r="L10" s="1" t="s">
        <v>14</v>
      </c>
      <c r="M10">
        <v>1</v>
      </c>
      <c r="N10">
        <v>0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  <c r="V10">
        <f t="shared" si="0"/>
        <v>1.3618761518134992</v>
      </c>
      <c r="W10">
        <f t="shared" si="1"/>
        <v>0.79606445234832413</v>
      </c>
      <c r="X10">
        <f t="shared" si="2"/>
        <v>0.22807512612883141</v>
      </c>
      <c r="AA10" t="s">
        <v>1737</v>
      </c>
      <c r="AB10">
        <v>0</v>
      </c>
    </row>
    <row r="11" spans="1:28" x14ac:dyDescent="0.25">
      <c r="A11" s="1">
        <v>10</v>
      </c>
      <c r="B11" s="1">
        <v>1</v>
      </c>
      <c r="C11" s="1">
        <v>2</v>
      </c>
      <c r="D11" s="1" t="s">
        <v>36</v>
      </c>
      <c r="E11" s="1">
        <v>1</v>
      </c>
      <c r="F11" s="1">
        <v>14</v>
      </c>
      <c r="G11" s="1">
        <v>1</v>
      </c>
      <c r="H11" s="1">
        <v>0</v>
      </c>
      <c r="I11" s="1" t="s">
        <v>37</v>
      </c>
      <c r="J11" s="1">
        <v>30.070799999999998</v>
      </c>
      <c r="K11" s="1" t="s">
        <v>48</v>
      </c>
      <c r="L11" s="1" t="s">
        <v>18</v>
      </c>
      <c r="M11">
        <v>0</v>
      </c>
      <c r="N11">
        <v>1</v>
      </c>
      <c r="O11">
        <v>0</v>
      </c>
      <c r="P11" t="s">
        <v>1740</v>
      </c>
      <c r="Q11">
        <v>0</v>
      </c>
      <c r="R11">
        <v>1</v>
      </c>
      <c r="S11">
        <v>0</v>
      </c>
      <c r="T11">
        <v>0</v>
      </c>
      <c r="U11">
        <v>0</v>
      </c>
      <c r="V11">
        <f t="shared" si="0"/>
        <v>1.3618761518134992</v>
      </c>
      <c r="W11">
        <f t="shared" si="1"/>
        <v>0.79606445234832413</v>
      </c>
      <c r="X11">
        <f t="shared" si="2"/>
        <v>0.22807512612883141</v>
      </c>
      <c r="AA11" t="s">
        <v>1739</v>
      </c>
      <c r="AB11">
        <v>0.15613516168636599</v>
      </c>
    </row>
    <row r="12" spans="1:28" x14ac:dyDescent="0.25">
      <c r="A12" s="1">
        <v>11</v>
      </c>
      <c r="B12" s="1">
        <v>1</v>
      </c>
      <c r="C12" s="1">
        <v>3</v>
      </c>
      <c r="D12" s="1" t="s">
        <v>38</v>
      </c>
      <c r="E12" s="1">
        <v>1</v>
      </c>
      <c r="F12" s="1">
        <v>4</v>
      </c>
      <c r="G12" s="1">
        <v>1</v>
      </c>
      <c r="H12" s="1">
        <v>1</v>
      </c>
      <c r="I12" s="1" t="s">
        <v>39</v>
      </c>
      <c r="J12" s="1">
        <v>16.7</v>
      </c>
      <c r="K12" s="1" t="s">
        <v>40</v>
      </c>
      <c r="L12" s="1" t="s">
        <v>14</v>
      </c>
      <c r="M12">
        <v>1</v>
      </c>
      <c r="N12">
        <v>0</v>
      </c>
      <c r="O12">
        <v>0</v>
      </c>
      <c r="P12" t="s">
        <v>1739</v>
      </c>
      <c r="Q12">
        <v>1</v>
      </c>
      <c r="R12">
        <v>0</v>
      </c>
      <c r="S12">
        <v>0</v>
      </c>
      <c r="T12">
        <v>0</v>
      </c>
      <c r="U12">
        <v>0</v>
      </c>
      <c r="V12">
        <f t="shared" si="0"/>
        <v>0.87219584275330231</v>
      </c>
      <c r="W12">
        <f t="shared" si="1"/>
        <v>0.70520240168703408</v>
      </c>
      <c r="X12">
        <f t="shared" si="2"/>
        <v>0.34927042278209691</v>
      </c>
      <c r="AA12" t="s">
        <v>1740</v>
      </c>
      <c r="AB12">
        <v>0.64581547074656287</v>
      </c>
    </row>
    <row r="13" spans="1:28" x14ac:dyDescent="0.25">
      <c r="A13" s="1">
        <v>12</v>
      </c>
      <c r="B13" s="1">
        <v>1</v>
      </c>
      <c r="C13" s="1">
        <v>1</v>
      </c>
      <c r="D13" s="1" t="s">
        <v>41</v>
      </c>
      <c r="E13" s="1">
        <v>1</v>
      </c>
      <c r="F13" s="1">
        <v>58</v>
      </c>
      <c r="G13" s="1">
        <v>0</v>
      </c>
      <c r="H13" s="1">
        <v>0</v>
      </c>
      <c r="I13" s="1" t="s">
        <v>42</v>
      </c>
      <c r="J13" s="1">
        <v>26.55</v>
      </c>
      <c r="K13" s="1" t="s">
        <v>43</v>
      </c>
      <c r="L13" s="1" t="s">
        <v>14</v>
      </c>
      <c r="M13">
        <v>1</v>
      </c>
      <c r="N13">
        <v>0</v>
      </c>
      <c r="O13">
        <v>0</v>
      </c>
      <c r="P13" t="s">
        <v>1739</v>
      </c>
      <c r="Q13">
        <v>1</v>
      </c>
      <c r="R13">
        <v>0</v>
      </c>
      <c r="S13">
        <v>0</v>
      </c>
      <c r="T13">
        <v>0</v>
      </c>
      <c r="U13">
        <v>0</v>
      </c>
      <c r="V13">
        <f t="shared" si="0"/>
        <v>0.87219584275330231</v>
      </c>
      <c r="W13">
        <f t="shared" si="1"/>
        <v>0.70520240168703408</v>
      </c>
      <c r="X13">
        <f t="shared" si="2"/>
        <v>0.34927042278209691</v>
      </c>
      <c r="AA13" t="s">
        <v>1741</v>
      </c>
      <c r="AB13">
        <v>0</v>
      </c>
    </row>
    <row r="14" spans="1:28" x14ac:dyDescent="0.25">
      <c r="A14" s="1">
        <v>13</v>
      </c>
      <c r="B14" s="1">
        <v>0</v>
      </c>
      <c r="C14" s="1">
        <v>3</v>
      </c>
      <c r="D14" s="1" t="s">
        <v>44</v>
      </c>
      <c r="E14" s="1">
        <v>0</v>
      </c>
      <c r="F14" s="1">
        <v>20</v>
      </c>
      <c r="G14" s="1">
        <v>0</v>
      </c>
      <c r="H14" s="1">
        <v>0</v>
      </c>
      <c r="I14" s="1" t="s">
        <v>45</v>
      </c>
      <c r="J14" s="1">
        <v>8.0500000000000007</v>
      </c>
      <c r="K14" s="1" t="s">
        <v>48</v>
      </c>
      <c r="L14" s="1" t="s">
        <v>14</v>
      </c>
      <c r="M14">
        <v>1</v>
      </c>
      <c r="N14">
        <v>0</v>
      </c>
      <c r="O14">
        <v>0</v>
      </c>
      <c r="P14" t="s">
        <v>1741</v>
      </c>
      <c r="Q14">
        <v>0</v>
      </c>
      <c r="R14">
        <v>0</v>
      </c>
      <c r="S14">
        <v>1</v>
      </c>
      <c r="T14">
        <v>0</v>
      </c>
      <c r="U14">
        <v>0</v>
      </c>
      <c r="V14">
        <f t="shared" si="0"/>
        <v>0</v>
      </c>
      <c r="W14">
        <f t="shared" si="1"/>
        <v>0.5</v>
      </c>
      <c r="X14">
        <f t="shared" si="2"/>
        <v>0.69314718055994529</v>
      </c>
      <c r="AA14" t="s">
        <v>1742</v>
      </c>
      <c r="AB14">
        <v>0.21766252466937555</v>
      </c>
    </row>
    <row r="15" spans="1:28" x14ac:dyDescent="0.25">
      <c r="A15" s="1">
        <v>14</v>
      </c>
      <c r="B15" s="1">
        <v>0</v>
      </c>
      <c r="C15" s="1">
        <v>3</v>
      </c>
      <c r="D15" s="1" t="s">
        <v>46</v>
      </c>
      <c r="E15" s="1">
        <v>0</v>
      </c>
      <c r="F15" s="1">
        <v>39</v>
      </c>
      <c r="G15" s="1">
        <v>1</v>
      </c>
      <c r="H15" s="1">
        <v>5</v>
      </c>
      <c r="I15" s="1" t="s">
        <v>47</v>
      </c>
      <c r="J15" s="1">
        <v>31.274999999999999</v>
      </c>
      <c r="K15" s="1" t="s">
        <v>48</v>
      </c>
      <c r="L15" s="1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  <c r="V15">
        <f t="shared" si="0"/>
        <v>0</v>
      </c>
      <c r="W15">
        <f t="shared" si="1"/>
        <v>0.5</v>
      </c>
      <c r="X15">
        <f t="shared" si="2"/>
        <v>0.69314718055994529</v>
      </c>
      <c r="AA15" t="s">
        <v>1743</v>
      </c>
      <c r="AB15">
        <v>0</v>
      </c>
    </row>
    <row r="16" spans="1:28" x14ac:dyDescent="0.25">
      <c r="A16" s="1">
        <v>15</v>
      </c>
      <c r="B16" s="1">
        <v>0</v>
      </c>
      <c r="C16" s="1">
        <v>3</v>
      </c>
      <c r="D16" s="1" t="s">
        <v>49</v>
      </c>
      <c r="E16" s="1">
        <v>1</v>
      </c>
      <c r="F16" s="1">
        <v>14</v>
      </c>
      <c r="G16" s="1">
        <v>0</v>
      </c>
      <c r="H16" s="1">
        <v>0</v>
      </c>
      <c r="I16" s="1" t="s">
        <v>50</v>
      </c>
      <c r="J16" s="1">
        <v>7.8541999999999996</v>
      </c>
      <c r="K16" s="1" t="s">
        <v>48</v>
      </c>
      <c r="L16" s="1" t="s">
        <v>14</v>
      </c>
      <c r="M16">
        <v>1</v>
      </c>
      <c r="N16">
        <v>0</v>
      </c>
      <c r="O16">
        <v>0</v>
      </c>
      <c r="P16" t="s">
        <v>1739</v>
      </c>
      <c r="Q16">
        <v>1</v>
      </c>
      <c r="R16">
        <v>0</v>
      </c>
      <c r="S16">
        <v>0</v>
      </c>
      <c r="T16">
        <v>0</v>
      </c>
      <c r="U16">
        <v>0</v>
      </c>
      <c r="V16">
        <f t="shared" si="0"/>
        <v>0.87219584275330231</v>
      </c>
      <c r="W16">
        <f t="shared" si="1"/>
        <v>0.70520240168703408</v>
      </c>
      <c r="X16">
        <f t="shared" si="2"/>
        <v>1.2214662655353992</v>
      </c>
    </row>
    <row r="17" spans="1:24" x14ac:dyDescent="0.25">
      <c r="A17">
        <v>16</v>
      </c>
      <c r="B17">
        <v>1</v>
      </c>
      <c r="C17">
        <v>2</v>
      </c>
      <c r="D17" s="1" t="s">
        <v>51</v>
      </c>
      <c r="E17">
        <v>1</v>
      </c>
      <c r="F17">
        <v>55</v>
      </c>
      <c r="G17">
        <v>0</v>
      </c>
      <c r="H17">
        <v>0</v>
      </c>
      <c r="I17" s="1" t="s">
        <v>52</v>
      </c>
      <c r="J17">
        <v>16</v>
      </c>
      <c r="K17" s="1" t="s">
        <v>48</v>
      </c>
      <c r="L17" s="1" t="s">
        <v>14</v>
      </c>
      <c r="M17">
        <v>1</v>
      </c>
      <c r="N17">
        <v>0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  <c r="V17">
        <f t="shared" si="0"/>
        <v>1.3618761518134992</v>
      </c>
      <c r="W17">
        <f t="shared" si="1"/>
        <v>0.79606445234832413</v>
      </c>
      <c r="X17">
        <f t="shared" si="2"/>
        <v>0.22807512612883141</v>
      </c>
    </row>
    <row r="18" spans="1:24" x14ac:dyDescent="0.25">
      <c r="A18">
        <v>17</v>
      </c>
      <c r="B18">
        <v>0</v>
      </c>
      <c r="C18">
        <v>3</v>
      </c>
      <c r="D18" s="1" t="s">
        <v>53</v>
      </c>
      <c r="E18">
        <v>0</v>
      </c>
      <c r="F18">
        <v>2</v>
      </c>
      <c r="G18">
        <v>4</v>
      </c>
      <c r="H18">
        <v>1</v>
      </c>
      <c r="I18" s="1" t="s">
        <v>54</v>
      </c>
      <c r="J18">
        <v>29.125</v>
      </c>
      <c r="K18" s="1" t="s">
        <v>48</v>
      </c>
      <c r="L18" s="1" t="s">
        <v>28</v>
      </c>
      <c r="M18">
        <v>0</v>
      </c>
      <c r="N18">
        <v>0</v>
      </c>
      <c r="O18">
        <v>1</v>
      </c>
      <c r="P18" t="s">
        <v>1742</v>
      </c>
      <c r="Q18">
        <v>0</v>
      </c>
      <c r="R18">
        <v>0</v>
      </c>
      <c r="S18">
        <v>0</v>
      </c>
      <c r="T18">
        <v>1</v>
      </c>
      <c r="U18">
        <v>0</v>
      </c>
      <c r="V18">
        <f t="shared" si="0"/>
        <v>0.21766252466937555</v>
      </c>
      <c r="W18">
        <f t="shared" si="1"/>
        <v>0.55420180681382414</v>
      </c>
      <c r="X18">
        <f t="shared" si="2"/>
        <v>0.8078889110081291</v>
      </c>
    </row>
    <row r="19" spans="1:24" x14ac:dyDescent="0.25">
      <c r="A19">
        <v>18</v>
      </c>
      <c r="B19">
        <v>1</v>
      </c>
      <c r="C19">
        <v>2</v>
      </c>
      <c r="D19" s="1" t="s">
        <v>55</v>
      </c>
      <c r="E19">
        <v>0</v>
      </c>
      <c r="F19" s="1">
        <v>32.180156657963444</v>
      </c>
      <c r="G19">
        <v>0</v>
      </c>
      <c r="H19">
        <v>0</v>
      </c>
      <c r="I19" s="1" t="s">
        <v>56</v>
      </c>
      <c r="J19">
        <v>13</v>
      </c>
      <c r="K19" s="1" t="s">
        <v>48</v>
      </c>
      <c r="L19" s="1" t="s">
        <v>14</v>
      </c>
      <c r="M19">
        <v>1</v>
      </c>
      <c r="N19">
        <v>0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  <c r="V19">
        <f t="shared" si="0"/>
        <v>0</v>
      </c>
      <c r="W19">
        <f t="shared" si="1"/>
        <v>0.5</v>
      </c>
      <c r="X19">
        <f t="shared" si="2"/>
        <v>0.69314718055994529</v>
      </c>
    </row>
    <row r="20" spans="1:24" x14ac:dyDescent="0.25">
      <c r="A20">
        <v>19</v>
      </c>
      <c r="B20">
        <v>0</v>
      </c>
      <c r="C20">
        <v>3</v>
      </c>
      <c r="D20" s="1" t="s">
        <v>57</v>
      </c>
      <c r="E20">
        <v>1</v>
      </c>
      <c r="F20">
        <v>31</v>
      </c>
      <c r="G20">
        <v>1</v>
      </c>
      <c r="H20">
        <v>0</v>
      </c>
      <c r="I20" s="1" t="s">
        <v>58</v>
      </c>
      <c r="J20">
        <v>18</v>
      </c>
      <c r="K20" s="1" t="s">
        <v>48</v>
      </c>
      <c r="L20" s="1" t="s">
        <v>14</v>
      </c>
      <c r="M20">
        <v>1</v>
      </c>
      <c r="N20">
        <v>0</v>
      </c>
      <c r="O20">
        <v>0</v>
      </c>
      <c r="P20" t="s">
        <v>1740</v>
      </c>
      <c r="Q20">
        <v>0</v>
      </c>
      <c r="R20">
        <v>1</v>
      </c>
      <c r="S20">
        <v>0</v>
      </c>
      <c r="T20">
        <v>0</v>
      </c>
      <c r="U20">
        <v>0</v>
      </c>
      <c r="V20">
        <f t="shared" si="0"/>
        <v>1.3618761518134992</v>
      </c>
      <c r="W20">
        <f t="shared" si="1"/>
        <v>0.79606445234832413</v>
      </c>
      <c r="X20">
        <f t="shared" si="2"/>
        <v>1.5899512779423304</v>
      </c>
    </row>
    <row r="21" spans="1:24" x14ac:dyDescent="0.25">
      <c r="A21">
        <v>20</v>
      </c>
      <c r="B21">
        <v>1</v>
      </c>
      <c r="C21">
        <v>3</v>
      </c>
      <c r="D21" s="1" t="s">
        <v>59</v>
      </c>
      <c r="E21">
        <v>1</v>
      </c>
      <c r="F21" s="1">
        <v>35.898148148148145</v>
      </c>
      <c r="G21">
        <v>0</v>
      </c>
      <c r="H21">
        <v>0</v>
      </c>
      <c r="I21" s="1" t="s">
        <v>60</v>
      </c>
      <c r="J21">
        <v>7.2249999999999996</v>
      </c>
      <c r="K21" s="1" t="s">
        <v>48</v>
      </c>
      <c r="L21" s="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  <c r="V21">
        <f t="shared" si="0"/>
        <v>1.3618761518134992</v>
      </c>
      <c r="W21">
        <f t="shared" si="1"/>
        <v>0.79606445234832413</v>
      </c>
      <c r="X21">
        <f t="shared" si="2"/>
        <v>0.22807512612883141</v>
      </c>
    </row>
    <row r="22" spans="1:24" x14ac:dyDescent="0.25">
      <c r="A22">
        <v>21</v>
      </c>
      <c r="B22">
        <v>0</v>
      </c>
      <c r="C22">
        <v>2</v>
      </c>
      <c r="D22" s="1" t="s">
        <v>61</v>
      </c>
      <c r="E22">
        <v>0</v>
      </c>
      <c r="F22">
        <v>35</v>
      </c>
      <c r="G22">
        <v>0</v>
      </c>
      <c r="H22">
        <v>0</v>
      </c>
      <c r="I22" s="1" t="s">
        <v>62</v>
      </c>
      <c r="J22">
        <v>26</v>
      </c>
      <c r="K22" s="1" t="s">
        <v>48</v>
      </c>
      <c r="L22" s="1" t="s">
        <v>14</v>
      </c>
      <c r="M22">
        <v>1</v>
      </c>
      <c r="N22">
        <v>0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  <c r="V22">
        <f t="shared" si="0"/>
        <v>0</v>
      </c>
      <c r="W22">
        <f t="shared" si="1"/>
        <v>0.5</v>
      </c>
      <c r="X22">
        <f t="shared" si="2"/>
        <v>0.69314718055994529</v>
      </c>
    </row>
    <row r="23" spans="1:24" x14ac:dyDescent="0.25">
      <c r="A23">
        <v>22</v>
      </c>
      <c r="B23">
        <v>1</v>
      </c>
      <c r="C23">
        <v>2</v>
      </c>
      <c r="D23" s="1" t="s">
        <v>63</v>
      </c>
      <c r="E23">
        <v>0</v>
      </c>
      <c r="F23">
        <v>34</v>
      </c>
      <c r="G23">
        <v>0</v>
      </c>
      <c r="H23">
        <v>0</v>
      </c>
      <c r="I23" s="1" t="s">
        <v>64</v>
      </c>
      <c r="J23">
        <v>13</v>
      </c>
      <c r="K23" s="1" t="s">
        <v>65</v>
      </c>
      <c r="L23" s="1" t="s">
        <v>14</v>
      </c>
      <c r="M23">
        <v>1</v>
      </c>
      <c r="N23">
        <v>0</v>
      </c>
      <c r="O23">
        <v>0</v>
      </c>
      <c r="P23" t="s">
        <v>1741</v>
      </c>
      <c r="Q23">
        <v>0</v>
      </c>
      <c r="R23">
        <v>0</v>
      </c>
      <c r="S23">
        <v>1</v>
      </c>
      <c r="T23">
        <v>0</v>
      </c>
      <c r="U23">
        <v>0</v>
      </c>
      <c r="V23">
        <f t="shared" si="0"/>
        <v>0</v>
      </c>
      <c r="W23">
        <f t="shared" si="1"/>
        <v>0.5</v>
      </c>
      <c r="X23">
        <f t="shared" si="2"/>
        <v>0.69314718055994529</v>
      </c>
    </row>
    <row r="24" spans="1:24" x14ac:dyDescent="0.25">
      <c r="A24">
        <v>23</v>
      </c>
      <c r="B24">
        <v>1</v>
      </c>
      <c r="C24">
        <v>3</v>
      </c>
      <c r="D24" s="1" t="s">
        <v>66</v>
      </c>
      <c r="E24">
        <v>1</v>
      </c>
      <c r="F24">
        <v>15</v>
      </c>
      <c r="G24">
        <v>0</v>
      </c>
      <c r="H24">
        <v>0</v>
      </c>
      <c r="I24" s="1" t="s">
        <v>67</v>
      </c>
      <c r="J24">
        <v>8.0291999999999994</v>
      </c>
      <c r="K24" s="1" t="s">
        <v>48</v>
      </c>
      <c r="L24" s="1" t="s">
        <v>28</v>
      </c>
      <c r="M24">
        <v>0</v>
      </c>
      <c r="N24">
        <v>0</v>
      </c>
      <c r="O24">
        <v>1</v>
      </c>
      <c r="P24" t="s">
        <v>1739</v>
      </c>
      <c r="Q24">
        <v>1</v>
      </c>
      <c r="R24">
        <v>0</v>
      </c>
      <c r="S24">
        <v>0</v>
      </c>
      <c r="T24">
        <v>0</v>
      </c>
      <c r="U24">
        <v>0</v>
      </c>
      <c r="V24">
        <f t="shared" si="0"/>
        <v>0.87219584275330231</v>
      </c>
      <c r="W24">
        <f t="shared" si="1"/>
        <v>0.70520240168703408</v>
      </c>
      <c r="X24">
        <f t="shared" si="2"/>
        <v>0.34927042278209691</v>
      </c>
    </row>
    <row r="25" spans="1:24" x14ac:dyDescent="0.25">
      <c r="A25">
        <v>24</v>
      </c>
      <c r="B25">
        <v>1</v>
      </c>
      <c r="C25">
        <v>1</v>
      </c>
      <c r="D25" s="1" t="s">
        <v>68</v>
      </c>
      <c r="E25">
        <v>0</v>
      </c>
      <c r="F25">
        <v>28</v>
      </c>
      <c r="G25">
        <v>0</v>
      </c>
      <c r="H25">
        <v>0</v>
      </c>
      <c r="I25" s="1" t="s">
        <v>69</v>
      </c>
      <c r="J25">
        <v>35.5</v>
      </c>
      <c r="K25" s="1" t="s">
        <v>70</v>
      </c>
      <c r="L25" s="1" t="s">
        <v>14</v>
      </c>
      <c r="M25">
        <v>1</v>
      </c>
      <c r="N25">
        <v>0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  <c r="V25">
        <f t="shared" si="0"/>
        <v>0</v>
      </c>
      <c r="W25">
        <f t="shared" si="1"/>
        <v>0.5</v>
      </c>
      <c r="X25">
        <f t="shared" si="2"/>
        <v>0.69314718055994529</v>
      </c>
    </row>
    <row r="26" spans="1:24" x14ac:dyDescent="0.25">
      <c r="A26">
        <v>25</v>
      </c>
      <c r="B26">
        <v>0</v>
      </c>
      <c r="C26">
        <v>3</v>
      </c>
      <c r="D26" s="1" t="s">
        <v>71</v>
      </c>
      <c r="E26">
        <v>1</v>
      </c>
      <c r="F26">
        <v>8</v>
      </c>
      <c r="G26">
        <v>3</v>
      </c>
      <c r="H26">
        <v>1</v>
      </c>
      <c r="I26" s="1" t="s">
        <v>33</v>
      </c>
      <c r="J26">
        <v>21.074999999999999</v>
      </c>
      <c r="K26" s="1" t="s">
        <v>48</v>
      </c>
      <c r="L26" s="1" t="s">
        <v>14</v>
      </c>
      <c r="M26">
        <v>1</v>
      </c>
      <c r="N26">
        <v>0</v>
      </c>
      <c r="O26">
        <v>0</v>
      </c>
      <c r="P26" t="s">
        <v>1739</v>
      </c>
      <c r="Q26">
        <v>1</v>
      </c>
      <c r="R26">
        <v>0</v>
      </c>
      <c r="S26">
        <v>0</v>
      </c>
      <c r="T26">
        <v>0</v>
      </c>
      <c r="U26">
        <v>0</v>
      </c>
      <c r="V26">
        <f t="shared" si="0"/>
        <v>0.87219584275330231</v>
      </c>
      <c r="W26">
        <f t="shared" si="1"/>
        <v>0.70520240168703408</v>
      </c>
      <c r="X26">
        <f t="shared" si="2"/>
        <v>1.2214662655353992</v>
      </c>
    </row>
    <row r="27" spans="1:24" x14ac:dyDescent="0.25">
      <c r="A27">
        <v>26</v>
      </c>
      <c r="B27">
        <v>1</v>
      </c>
      <c r="C27">
        <v>3</v>
      </c>
      <c r="D27" s="1" t="s">
        <v>72</v>
      </c>
      <c r="E27">
        <v>1</v>
      </c>
      <c r="F27">
        <v>38</v>
      </c>
      <c r="G27">
        <v>1</v>
      </c>
      <c r="H27">
        <v>5</v>
      </c>
      <c r="I27" s="1" t="s">
        <v>73</v>
      </c>
      <c r="J27">
        <v>31.387499999999999</v>
      </c>
      <c r="K27" s="1" t="s">
        <v>48</v>
      </c>
      <c r="L27" s="1" t="s">
        <v>14</v>
      </c>
      <c r="M27">
        <v>1</v>
      </c>
      <c r="N27">
        <v>0</v>
      </c>
      <c r="O27">
        <v>0</v>
      </c>
      <c r="P27" t="s">
        <v>1740</v>
      </c>
      <c r="Q27">
        <v>0</v>
      </c>
      <c r="R27">
        <v>1</v>
      </c>
      <c r="S27">
        <v>0</v>
      </c>
      <c r="T27">
        <v>0</v>
      </c>
      <c r="U27">
        <v>0</v>
      </c>
      <c r="V27">
        <f t="shared" si="0"/>
        <v>1.3618761518134992</v>
      </c>
      <c r="W27">
        <f t="shared" si="1"/>
        <v>0.79606445234832413</v>
      </c>
      <c r="X27">
        <f t="shared" si="2"/>
        <v>0.22807512612883141</v>
      </c>
    </row>
    <row r="28" spans="1:24" x14ac:dyDescent="0.25">
      <c r="A28">
        <v>27</v>
      </c>
      <c r="B28">
        <v>0</v>
      </c>
      <c r="C28">
        <v>3</v>
      </c>
      <c r="D28" s="1" t="s">
        <v>74</v>
      </c>
      <c r="E28">
        <v>0</v>
      </c>
      <c r="F28" s="1">
        <v>32.180156657963444</v>
      </c>
      <c r="G28">
        <v>0</v>
      </c>
      <c r="H28">
        <v>0</v>
      </c>
      <c r="I28" s="1" t="s">
        <v>75</v>
      </c>
      <c r="J28">
        <v>7.2249999999999996</v>
      </c>
      <c r="K28" s="1" t="s">
        <v>48</v>
      </c>
      <c r="L28" s="1" t="s">
        <v>18</v>
      </c>
      <c r="M28">
        <v>0</v>
      </c>
      <c r="N28">
        <v>1</v>
      </c>
      <c r="O28">
        <v>0</v>
      </c>
      <c r="P28" t="s">
        <v>1741</v>
      </c>
      <c r="Q28">
        <v>0</v>
      </c>
      <c r="R28">
        <v>0</v>
      </c>
      <c r="S28">
        <v>1</v>
      </c>
      <c r="T28">
        <v>0</v>
      </c>
      <c r="U28">
        <v>0</v>
      </c>
      <c r="V28">
        <f t="shared" si="0"/>
        <v>0</v>
      </c>
      <c r="W28">
        <f t="shared" si="1"/>
        <v>0.5</v>
      </c>
      <c r="X28">
        <f t="shared" si="2"/>
        <v>0.69314718055994529</v>
      </c>
    </row>
    <row r="29" spans="1:24" x14ac:dyDescent="0.25">
      <c r="A29">
        <v>28</v>
      </c>
      <c r="B29">
        <v>0</v>
      </c>
      <c r="C29">
        <v>1</v>
      </c>
      <c r="D29" s="1" t="s">
        <v>76</v>
      </c>
      <c r="E29">
        <v>0</v>
      </c>
      <c r="F29">
        <v>19</v>
      </c>
      <c r="G29">
        <v>3</v>
      </c>
      <c r="H29">
        <v>2</v>
      </c>
      <c r="I29" s="1" t="s">
        <v>77</v>
      </c>
      <c r="J29">
        <v>263</v>
      </c>
      <c r="K29" s="1" t="s">
        <v>78</v>
      </c>
      <c r="L29" s="1" t="s">
        <v>14</v>
      </c>
      <c r="M29">
        <v>1</v>
      </c>
      <c r="N29">
        <v>0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  <c r="V29">
        <f t="shared" si="0"/>
        <v>0</v>
      </c>
      <c r="W29">
        <f t="shared" si="1"/>
        <v>0.5</v>
      </c>
      <c r="X29">
        <f t="shared" si="2"/>
        <v>0.69314718055994529</v>
      </c>
    </row>
    <row r="30" spans="1:24" x14ac:dyDescent="0.25">
      <c r="A30">
        <v>29</v>
      </c>
      <c r="B30">
        <v>1</v>
      </c>
      <c r="C30">
        <v>3</v>
      </c>
      <c r="D30" s="1" t="s">
        <v>79</v>
      </c>
      <c r="E30">
        <v>1</v>
      </c>
      <c r="F30" s="1">
        <v>21.98581560283688</v>
      </c>
      <c r="G30">
        <v>0</v>
      </c>
      <c r="H30">
        <v>0</v>
      </c>
      <c r="I30" s="1" t="s">
        <v>80</v>
      </c>
      <c r="J30">
        <v>7.8792</v>
      </c>
      <c r="K30" s="1" t="s">
        <v>48</v>
      </c>
      <c r="L30" s="1" t="s">
        <v>28</v>
      </c>
      <c r="M30">
        <v>0</v>
      </c>
      <c r="N30">
        <v>0</v>
      </c>
      <c r="O30">
        <v>1</v>
      </c>
      <c r="P30" t="s">
        <v>1739</v>
      </c>
      <c r="Q30">
        <v>1</v>
      </c>
      <c r="R30">
        <v>0</v>
      </c>
      <c r="S30">
        <v>0</v>
      </c>
      <c r="T30">
        <v>0</v>
      </c>
      <c r="U30">
        <v>0</v>
      </c>
      <c r="V30">
        <f t="shared" si="0"/>
        <v>0.87219584275330231</v>
      </c>
      <c r="W30">
        <f t="shared" si="1"/>
        <v>0.70520240168703408</v>
      </c>
      <c r="X30">
        <f t="shared" si="2"/>
        <v>0.34927042278209691</v>
      </c>
    </row>
    <row r="31" spans="1:24" x14ac:dyDescent="0.25">
      <c r="A31">
        <v>30</v>
      </c>
      <c r="B31">
        <v>0</v>
      </c>
      <c r="C31">
        <v>3</v>
      </c>
      <c r="D31" s="1" t="s">
        <v>81</v>
      </c>
      <c r="E31">
        <v>0</v>
      </c>
      <c r="F31" s="1">
        <v>32.180156657963444</v>
      </c>
      <c r="G31">
        <v>0</v>
      </c>
      <c r="H31">
        <v>0</v>
      </c>
      <c r="I31" s="1" t="s">
        <v>82</v>
      </c>
      <c r="J31">
        <v>7.8958000000000004</v>
      </c>
      <c r="K31" s="1" t="s">
        <v>48</v>
      </c>
      <c r="L31" s="1" t="s">
        <v>14</v>
      </c>
      <c r="M31">
        <v>1</v>
      </c>
      <c r="N31">
        <v>0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  <c r="V31">
        <f t="shared" si="0"/>
        <v>0</v>
      </c>
      <c r="W31">
        <f t="shared" si="1"/>
        <v>0.5</v>
      </c>
      <c r="X31">
        <f t="shared" si="2"/>
        <v>0.69314718055994529</v>
      </c>
    </row>
    <row r="32" spans="1:24" x14ac:dyDescent="0.25">
      <c r="A32">
        <v>31</v>
      </c>
      <c r="B32">
        <v>0</v>
      </c>
      <c r="C32">
        <v>1</v>
      </c>
      <c r="D32" s="1" t="s">
        <v>83</v>
      </c>
      <c r="E32">
        <v>0</v>
      </c>
      <c r="F32">
        <v>40</v>
      </c>
      <c r="G32">
        <v>0</v>
      </c>
      <c r="H32">
        <v>0</v>
      </c>
      <c r="I32" s="1" t="s">
        <v>84</v>
      </c>
      <c r="J32">
        <v>27.720800000000001</v>
      </c>
      <c r="K32" s="1" t="s">
        <v>48</v>
      </c>
      <c r="L32" s="1" t="s">
        <v>18</v>
      </c>
      <c r="M32">
        <v>0</v>
      </c>
      <c r="N32">
        <v>1</v>
      </c>
      <c r="O32">
        <v>0</v>
      </c>
      <c r="P32" t="s">
        <v>1744</v>
      </c>
      <c r="Q32">
        <v>0</v>
      </c>
      <c r="R32">
        <v>0</v>
      </c>
      <c r="S32">
        <v>0</v>
      </c>
      <c r="T32">
        <v>0</v>
      </c>
      <c r="U32">
        <v>1</v>
      </c>
      <c r="V32">
        <f t="shared" si="0"/>
        <v>0</v>
      </c>
      <c r="W32">
        <f t="shared" si="1"/>
        <v>0.5</v>
      </c>
      <c r="X32">
        <f t="shared" si="2"/>
        <v>0.69314718055994529</v>
      </c>
    </row>
    <row r="33" spans="1:24" x14ac:dyDescent="0.25">
      <c r="A33">
        <v>32</v>
      </c>
      <c r="B33">
        <v>1</v>
      </c>
      <c r="C33">
        <v>1</v>
      </c>
      <c r="D33" s="1" t="s">
        <v>85</v>
      </c>
      <c r="E33">
        <v>1</v>
      </c>
      <c r="F33" s="1">
        <v>35.898148148148145</v>
      </c>
      <c r="G33">
        <v>1</v>
      </c>
      <c r="H33">
        <v>0</v>
      </c>
      <c r="I33" s="1" t="s">
        <v>86</v>
      </c>
      <c r="J33">
        <v>146.52080000000001</v>
      </c>
      <c r="K33" s="1" t="s">
        <v>87</v>
      </c>
      <c r="L33" s="1" t="s">
        <v>18</v>
      </c>
      <c r="M33">
        <v>0</v>
      </c>
      <c r="N33">
        <v>1</v>
      </c>
      <c r="O33">
        <v>0</v>
      </c>
      <c r="P33" t="s">
        <v>1740</v>
      </c>
      <c r="Q33">
        <v>0</v>
      </c>
      <c r="R33">
        <v>1</v>
      </c>
      <c r="S33">
        <v>0</v>
      </c>
      <c r="T33">
        <v>0</v>
      </c>
      <c r="U33">
        <v>0</v>
      </c>
      <c r="V33">
        <f t="shared" si="0"/>
        <v>1.3618761518134992</v>
      </c>
      <c r="W33">
        <f t="shared" si="1"/>
        <v>0.79606445234832413</v>
      </c>
      <c r="X33">
        <f t="shared" si="2"/>
        <v>0.22807512612883141</v>
      </c>
    </row>
    <row r="34" spans="1:24" x14ac:dyDescent="0.25">
      <c r="A34">
        <v>33</v>
      </c>
      <c r="B34">
        <v>1</v>
      </c>
      <c r="C34">
        <v>3</v>
      </c>
      <c r="D34" s="1" t="s">
        <v>88</v>
      </c>
      <c r="E34">
        <v>1</v>
      </c>
      <c r="F34" s="1">
        <v>21.98581560283688</v>
      </c>
      <c r="G34">
        <v>0</v>
      </c>
      <c r="H34">
        <v>0</v>
      </c>
      <c r="I34" s="1" t="s">
        <v>89</v>
      </c>
      <c r="J34">
        <v>7.75</v>
      </c>
      <c r="K34" s="1" t="s">
        <v>48</v>
      </c>
      <c r="L34" s="1" t="s">
        <v>28</v>
      </c>
      <c r="M34">
        <v>0</v>
      </c>
      <c r="N34">
        <v>0</v>
      </c>
      <c r="O34">
        <v>1</v>
      </c>
      <c r="P34" t="s">
        <v>1739</v>
      </c>
      <c r="Q34">
        <v>1</v>
      </c>
      <c r="R34">
        <v>0</v>
      </c>
      <c r="S34">
        <v>0</v>
      </c>
      <c r="T34">
        <v>0</v>
      </c>
      <c r="U34">
        <v>0</v>
      </c>
      <c r="V34">
        <f t="shared" si="0"/>
        <v>0.87219584275330231</v>
      </c>
      <c r="W34">
        <f t="shared" si="1"/>
        <v>0.70520240168703408</v>
      </c>
      <c r="X34">
        <f t="shared" si="2"/>
        <v>0.34927042278209691</v>
      </c>
    </row>
    <row r="35" spans="1:24" x14ac:dyDescent="0.25">
      <c r="A35">
        <v>34</v>
      </c>
      <c r="B35">
        <v>0</v>
      </c>
      <c r="C35">
        <v>2</v>
      </c>
      <c r="D35" s="1" t="s">
        <v>90</v>
      </c>
      <c r="E35">
        <v>0</v>
      </c>
      <c r="F35">
        <v>66</v>
      </c>
      <c r="G35">
        <v>0</v>
      </c>
      <c r="H35">
        <v>0</v>
      </c>
      <c r="I35" s="1" t="s">
        <v>91</v>
      </c>
      <c r="J35">
        <v>10.5</v>
      </c>
      <c r="K35" s="1" t="s">
        <v>48</v>
      </c>
      <c r="L35" s="1" t="s">
        <v>14</v>
      </c>
      <c r="M35">
        <v>1</v>
      </c>
      <c r="N35">
        <v>0</v>
      </c>
      <c r="O35">
        <v>0</v>
      </c>
      <c r="P35" t="s">
        <v>1741</v>
      </c>
      <c r="Q35">
        <v>0</v>
      </c>
      <c r="R35">
        <v>0</v>
      </c>
      <c r="S35">
        <v>1</v>
      </c>
      <c r="T35">
        <v>0</v>
      </c>
      <c r="U35">
        <v>0</v>
      </c>
      <c r="V35">
        <f t="shared" si="0"/>
        <v>0</v>
      </c>
      <c r="W35">
        <f t="shared" si="1"/>
        <v>0.5</v>
      </c>
      <c r="X35">
        <f t="shared" si="2"/>
        <v>0.69314718055994529</v>
      </c>
    </row>
    <row r="36" spans="1:24" x14ac:dyDescent="0.25">
      <c r="A36">
        <v>35</v>
      </c>
      <c r="B36">
        <v>0</v>
      </c>
      <c r="C36">
        <v>1</v>
      </c>
      <c r="D36" s="1" t="s">
        <v>92</v>
      </c>
      <c r="E36">
        <v>0</v>
      </c>
      <c r="F36">
        <v>28</v>
      </c>
      <c r="G36">
        <v>1</v>
      </c>
      <c r="H36">
        <v>0</v>
      </c>
      <c r="I36" s="1" t="s">
        <v>93</v>
      </c>
      <c r="J36">
        <v>82.1708</v>
      </c>
      <c r="K36" s="1" t="s">
        <v>48</v>
      </c>
      <c r="L36" s="1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  <c r="V36">
        <f t="shared" si="0"/>
        <v>0</v>
      </c>
      <c r="W36">
        <f t="shared" si="1"/>
        <v>0.5</v>
      </c>
      <c r="X36">
        <f t="shared" si="2"/>
        <v>0.69314718055994529</v>
      </c>
    </row>
    <row r="37" spans="1:24" x14ac:dyDescent="0.25">
      <c r="A37">
        <v>36</v>
      </c>
      <c r="B37">
        <v>0</v>
      </c>
      <c r="C37">
        <v>1</v>
      </c>
      <c r="D37" s="1" t="s">
        <v>94</v>
      </c>
      <c r="E37">
        <v>0</v>
      </c>
      <c r="F37">
        <v>42</v>
      </c>
      <c r="G37">
        <v>1</v>
      </c>
      <c r="H37">
        <v>0</v>
      </c>
      <c r="I37" s="1" t="s">
        <v>95</v>
      </c>
      <c r="J37">
        <v>52</v>
      </c>
      <c r="K37" s="1" t="s">
        <v>48</v>
      </c>
      <c r="L37" s="1" t="s">
        <v>14</v>
      </c>
      <c r="M37">
        <v>1</v>
      </c>
      <c r="N37">
        <v>0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  <c r="V37">
        <f t="shared" si="0"/>
        <v>0</v>
      </c>
      <c r="W37">
        <f t="shared" si="1"/>
        <v>0.5</v>
      </c>
      <c r="X37">
        <f t="shared" si="2"/>
        <v>0.69314718055994529</v>
      </c>
    </row>
    <row r="38" spans="1:24" x14ac:dyDescent="0.25">
      <c r="A38">
        <v>37</v>
      </c>
      <c r="B38">
        <v>1</v>
      </c>
      <c r="C38">
        <v>3</v>
      </c>
      <c r="D38" s="1" t="s">
        <v>96</v>
      </c>
      <c r="E38">
        <v>0</v>
      </c>
      <c r="F38" s="1">
        <v>32.180156657963444</v>
      </c>
      <c r="G38">
        <v>0</v>
      </c>
      <c r="H38">
        <v>0</v>
      </c>
      <c r="I38" s="1" t="s">
        <v>97</v>
      </c>
      <c r="J38">
        <v>7.2291999999999996</v>
      </c>
      <c r="K38" s="1" t="s">
        <v>48</v>
      </c>
      <c r="L38" s="1" t="s">
        <v>18</v>
      </c>
      <c r="M38">
        <v>0</v>
      </c>
      <c r="N38">
        <v>1</v>
      </c>
      <c r="O38">
        <v>0</v>
      </c>
      <c r="P38" t="s">
        <v>1741</v>
      </c>
      <c r="Q38">
        <v>0</v>
      </c>
      <c r="R38">
        <v>0</v>
      </c>
      <c r="S38">
        <v>1</v>
      </c>
      <c r="T38">
        <v>0</v>
      </c>
      <c r="U38">
        <v>0</v>
      </c>
      <c r="V38">
        <f t="shared" si="0"/>
        <v>0</v>
      </c>
      <c r="W38">
        <f t="shared" si="1"/>
        <v>0.5</v>
      </c>
      <c r="X38">
        <f t="shared" si="2"/>
        <v>0.69314718055994529</v>
      </c>
    </row>
    <row r="39" spans="1:24" x14ac:dyDescent="0.25">
      <c r="A39">
        <v>38</v>
      </c>
      <c r="B39">
        <v>0</v>
      </c>
      <c r="C39">
        <v>3</v>
      </c>
      <c r="D39" s="1" t="s">
        <v>98</v>
      </c>
      <c r="E39">
        <v>0</v>
      </c>
      <c r="F39">
        <v>21</v>
      </c>
      <c r="G39">
        <v>0</v>
      </c>
      <c r="H39">
        <v>0</v>
      </c>
      <c r="I39" s="1" t="s">
        <v>99</v>
      </c>
      <c r="J39">
        <v>8.0500000000000007</v>
      </c>
      <c r="K39" s="1" t="s">
        <v>48</v>
      </c>
      <c r="L39" s="1" t="s">
        <v>14</v>
      </c>
      <c r="M39">
        <v>1</v>
      </c>
      <c r="N39">
        <v>0</v>
      </c>
      <c r="O39">
        <v>0</v>
      </c>
      <c r="P39" t="s">
        <v>1741</v>
      </c>
      <c r="Q39">
        <v>0</v>
      </c>
      <c r="R39">
        <v>0</v>
      </c>
      <c r="S39">
        <v>1</v>
      </c>
      <c r="T39">
        <v>0</v>
      </c>
      <c r="U39">
        <v>0</v>
      </c>
      <c r="V39">
        <f t="shared" si="0"/>
        <v>0</v>
      </c>
      <c r="W39">
        <f t="shared" si="1"/>
        <v>0.5</v>
      </c>
      <c r="X39">
        <f t="shared" si="2"/>
        <v>0.69314718055994529</v>
      </c>
    </row>
    <row r="40" spans="1:24" x14ac:dyDescent="0.25">
      <c r="A40">
        <v>39</v>
      </c>
      <c r="B40">
        <v>0</v>
      </c>
      <c r="C40">
        <v>3</v>
      </c>
      <c r="D40" s="1" t="s">
        <v>100</v>
      </c>
      <c r="E40">
        <v>1</v>
      </c>
      <c r="F40">
        <v>18</v>
      </c>
      <c r="G40">
        <v>2</v>
      </c>
      <c r="H40">
        <v>0</v>
      </c>
      <c r="I40" s="1" t="s">
        <v>101</v>
      </c>
      <c r="J40">
        <v>18</v>
      </c>
      <c r="K40" s="1" t="s">
        <v>48</v>
      </c>
      <c r="L40" s="1" t="s">
        <v>14</v>
      </c>
      <c r="M40">
        <v>1</v>
      </c>
      <c r="N40">
        <v>0</v>
      </c>
      <c r="O40">
        <v>0</v>
      </c>
      <c r="P40" t="s">
        <v>1739</v>
      </c>
      <c r="Q40">
        <v>1</v>
      </c>
      <c r="R40">
        <v>0</v>
      </c>
      <c r="S40">
        <v>0</v>
      </c>
      <c r="T40">
        <v>0</v>
      </c>
      <c r="U40">
        <v>0</v>
      </c>
      <c r="V40">
        <f t="shared" si="0"/>
        <v>0.87219584275330231</v>
      </c>
      <c r="W40">
        <f t="shared" si="1"/>
        <v>0.70520240168703408</v>
      </c>
      <c r="X40">
        <f t="shared" si="2"/>
        <v>1.2214662655353992</v>
      </c>
    </row>
    <row r="41" spans="1:24" x14ac:dyDescent="0.25">
      <c r="A41">
        <v>40</v>
      </c>
      <c r="B41">
        <v>1</v>
      </c>
      <c r="C41">
        <v>3</v>
      </c>
      <c r="D41" s="1" t="s">
        <v>102</v>
      </c>
      <c r="E41">
        <v>1</v>
      </c>
      <c r="F41">
        <v>14</v>
      </c>
      <c r="G41">
        <v>1</v>
      </c>
      <c r="H41">
        <v>0</v>
      </c>
      <c r="I41" s="1" t="s">
        <v>103</v>
      </c>
      <c r="J41">
        <v>11.2417</v>
      </c>
      <c r="K41" s="1" t="s">
        <v>48</v>
      </c>
      <c r="L41" s="1" t="s">
        <v>18</v>
      </c>
      <c r="M41">
        <v>0</v>
      </c>
      <c r="N41">
        <v>1</v>
      </c>
      <c r="O41">
        <v>0</v>
      </c>
      <c r="P41" t="s">
        <v>1739</v>
      </c>
      <c r="Q41">
        <v>1</v>
      </c>
      <c r="R41">
        <v>0</v>
      </c>
      <c r="S41">
        <v>0</v>
      </c>
      <c r="T41">
        <v>0</v>
      </c>
      <c r="U41">
        <v>0</v>
      </c>
      <c r="V41">
        <f t="shared" si="0"/>
        <v>0.87219584275330231</v>
      </c>
      <c r="W41">
        <f t="shared" si="1"/>
        <v>0.70520240168703408</v>
      </c>
      <c r="X41">
        <f t="shared" si="2"/>
        <v>0.34927042278209691</v>
      </c>
    </row>
    <row r="42" spans="1:24" x14ac:dyDescent="0.25">
      <c r="A42">
        <v>41</v>
      </c>
      <c r="B42">
        <v>0</v>
      </c>
      <c r="C42">
        <v>3</v>
      </c>
      <c r="D42" s="1" t="s">
        <v>104</v>
      </c>
      <c r="E42">
        <v>1</v>
      </c>
      <c r="F42">
        <v>40</v>
      </c>
      <c r="G42">
        <v>1</v>
      </c>
      <c r="H42">
        <v>0</v>
      </c>
      <c r="I42" s="1" t="s">
        <v>105</v>
      </c>
      <c r="J42">
        <v>9.4749999999999996</v>
      </c>
      <c r="K42" s="1" t="s">
        <v>48</v>
      </c>
      <c r="L42" s="1" t="s">
        <v>14</v>
      </c>
      <c r="M42">
        <v>1</v>
      </c>
      <c r="N42">
        <v>0</v>
      </c>
      <c r="O42">
        <v>0</v>
      </c>
      <c r="P42" t="s">
        <v>1740</v>
      </c>
      <c r="Q42">
        <v>0</v>
      </c>
      <c r="R42">
        <v>1</v>
      </c>
      <c r="S42">
        <v>0</v>
      </c>
      <c r="T42">
        <v>0</v>
      </c>
      <c r="U42">
        <v>0</v>
      </c>
      <c r="V42">
        <f t="shared" si="0"/>
        <v>1.3618761518134992</v>
      </c>
      <c r="W42">
        <f t="shared" si="1"/>
        <v>0.79606445234832413</v>
      </c>
      <c r="X42">
        <f t="shared" si="2"/>
        <v>1.5899512779423304</v>
      </c>
    </row>
    <row r="43" spans="1:24" x14ac:dyDescent="0.25">
      <c r="A43">
        <v>42</v>
      </c>
      <c r="B43">
        <v>0</v>
      </c>
      <c r="C43">
        <v>2</v>
      </c>
      <c r="D43" s="1" t="s">
        <v>106</v>
      </c>
      <c r="E43">
        <v>1</v>
      </c>
      <c r="F43">
        <v>27</v>
      </c>
      <c r="G43">
        <v>1</v>
      </c>
      <c r="H43">
        <v>0</v>
      </c>
      <c r="I43" s="1" t="s">
        <v>107</v>
      </c>
      <c r="J43">
        <v>21</v>
      </c>
      <c r="K43" s="1" t="s">
        <v>48</v>
      </c>
      <c r="L43" s="1" t="s">
        <v>14</v>
      </c>
      <c r="M43">
        <v>1</v>
      </c>
      <c r="N43">
        <v>0</v>
      </c>
      <c r="O43">
        <v>0</v>
      </c>
      <c r="P43" t="s">
        <v>1740</v>
      </c>
      <c r="Q43">
        <v>0</v>
      </c>
      <c r="R43">
        <v>1</v>
      </c>
      <c r="S43">
        <v>0</v>
      </c>
      <c r="T43">
        <v>0</v>
      </c>
      <c r="U43">
        <v>0</v>
      </c>
      <c r="V43">
        <f t="shared" si="0"/>
        <v>1.3618761518134992</v>
      </c>
      <c r="W43">
        <f t="shared" si="1"/>
        <v>0.79606445234832413</v>
      </c>
      <c r="X43">
        <f t="shared" si="2"/>
        <v>1.5899512779423304</v>
      </c>
    </row>
    <row r="44" spans="1:24" x14ac:dyDescent="0.25">
      <c r="A44">
        <v>43</v>
      </c>
      <c r="B44">
        <v>0</v>
      </c>
      <c r="C44">
        <v>3</v>
      </c>
      <c r="D44" s="1" t="s">
        <v>108</v>
      </c>
      <c r="E44">
        <v>0</v>
      </c>
      <c r="F44" s="1">
        <v>32.180156657963444</v>
      </c>
      <c r="G44">
        <v>0</v>
      </c>
      <c r="H44">
        <v>0</v>
      </c>
      <c r="I44" s="1" t="s">
        <v>109</v>
      </c>
      <c r="J44">
        <v>7.8958000000000004</v>
      </c>
      <c r="K44" s="1" t="s">
        <v>48</v>
      </c>
      <c r="L44" s="1" t="s">
        <v>18</v>
      </c>
      <c r="M44">
        <v>0</v>
      </c>
      <c r="N44">
        <v>1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  <c r="V44">
        <f t="shared" si="0"/>
        <v>0</v>
      </c>
      <c r="W44">
        <f t="shared" si="1"/>
        <v>0.5</v>
      </c>
      <c r="X44">
        <f t="shared" si="2"/>
        <v>0.69314718055994529</v>
      </c>
    </row>
    <row r="45" spans="1:24" x14ac:dyDescent="0.25">
      <c r="A45">
        <v>44</v>
      </c>
      <c r="B45">
        <v>1</v>
      </c>
      <c r="C45">
        <v>2</v>
      </c>
      <c r="D45" s="1" t="s">
        <v>110</v>
      </c>
      <c r="E45">
        <v>1</v>
      </c>
      <c r="F45">
        <v>3</v>
      </c>
      <c r="G45">
        <v>1</v>
      </c>
      <c r="H45">
        <v>2</v>
      </c>
      <c r="I45" s="1" t="s">
        <v>111</v>
      </c>
      <c r="J45">
        <v>41.5792</v>
      </c>
      <c r="K45" s="1" t="s">
        <v>48</v>
      </c>
      <c r="L45" s="1" t="s">
        <v>18</v>
      </c>
      <c r="M45">
        <v>0</v>
      </c>
      <c r="N45">
        <v>1</v>
      </c>
      <c r="O45">
        <v>0</v>
      </c>
      <c r="P45" t="s">
        <v>1739</v>
      </c>
      <c r="Q45">
        <v>1</v>
      </c>
      <c r="R45">
        <v>0</v>
      </c>
      <c r="S45">
        <v>0</v>
      </c>
      <c r="T45">
        <v>0</v>
      </c>
      <c r="U45">
        <v>0</v>
      </c>
      <c r="V45">
        <f t="shared" si="0"/>
        <v>0.87219584275330231</v>
      </c>
      <c r="W45">
        <f t="shared" si="1"/>
        <v>0.70520240168703408</v>
      </c>
      <c r="X45">
        <f t="shared" si="2"/>
        <v>0.34927042278209691</v>
      </c>
    </row>
    <row r="46" spans="1:24" x14ac:dyDescent="0.25">
      <c r="A46">
        <v>45</v>
      </c>
      <c r="B46">
        <v>1</v>
      </c>
      <c r="C46">
        <v>3</v>
      </c>
      <c r="D46" s="1" t="s">
        <v>112</v>
      </c>
      <c r="E46">
        <v>1</v>
      </c>
      <c r="F46">
        <v>19</v>
      </c>
      <c r="G46">
        <v>0</v>
      </c>
      <c r="H46">
        <v>0</v>
      </c>
      <c r="I46" s="1" t="s">
        <v>113</v>
      </c>
      <c r="J46">
        <v>7.8792</v>
      </c>
      <c r="K46" s="1" t="s">
        <v>48</v>
      </c>
      <c r="L46" s="1" t="s">
        <v>28</v>
      </c>
      <c r="M46">
        <v>0</v>
      </c>
      <c r="N46">
        <v>0</v>
      </c>
      <c r="O46">
        <v>1</v>
      </c>
      <c r="P46" t="s">
        <v>1739</v>
      </c>
      <c r="Q46">
        <v>1</v>
      </c>
      <c r="R46">
        <v>0</v>
      </c>
      <c r="S46">
        <v>0</v>
      </c>
      <c r="T46">
        <v>0</v>
      </c>
      <c r="U46">
        <v>0</v>
      </c>
      <c r="V46">
        <f t="shared" si="0"/>
        <v>0.87219584275330231</v>
      </c>
      <c r="W46">
        <f t="shared" si="1"/>
        <v>0.70520240168703408</v>
      </c>
      <c r="X46">
        <f t="shared" si="2"/>
        <v>0.34927042278209691</v>
      </c>
    </row>
    <row r="47" spans="1:24" x14ac:dyDescent="0.25">
      <c r="A47">
        <v>46</v>
      </c>
      <c r="B47">
        <v>0</v>
      </c>
      <c r="C47">
        <v>3</v>
      </c>
      <c r="D47" s="1" t="s">
        <v>114</v>
      </c>
      <c r="E47">
        <v>0</v>
      </c>
      <c r="F47" s="1">
        <v>32.180156657963444</v>
      </c>
      <c r="G47">
        <v>0</v>
      </c>
      <c r="H47">
        <v>0</v>
      </c>
      <c r="I47" s="1" t="s">
        <v>115</v>
      </c>
      <c r="J47">
        <v>8.0500000000000007</v>
      </c>
      <c r="K47" s="1" t="s">
        <v>48</v>
      </c>
      <c r="L47" s="1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  <c r="V47">
        <f t="shared" si="0"/>
        <v>0</v>
      </c>
      <c r="W47">
        <f t="shared" si="1"/>
        <v>0.5</v>
      </c>
      <c r="X47">
        <f t="shared" si="2"/>
        <v>0.69314718055994529</v>
      </c>
    </row>
    <row r="48" spans="1:24" x14ac:dyDescent="0.25">
      <c r="A48">
        <v>47</v>
      </c>
      <c r="B48">
        <v>0</v>
      </c>
      <c r="C48">
        <v>3</v>
      </c>
      <c r="D48" s="1" t="s">
        <v>116</v>
      </c>
      <c r="E48">
        <v>0</v>
      </c>
      <c r="F48" s="1">
        <v>32.180156657963444</v>
      </c>
      <c r="G48">
        <v>1</v>
      </c>
      <c r="H48">
        <v>0</v>
      </c>
      <c r="I48" s="1" t="s">
        <v>117</v>
      </c>
      <c r="J48">
        <v>15.5</v>
      </c>
      <c r="K48" s="1" t="s">
        <v>48</v>
      </c>
      <c r="L48" s="1" t="s">
        <v>28</v>
      </c>
      <c r="M48">
        <v>0</v>
      </c>
      <c r="N48">
        <v>0</v>
      </c>
      <c r="O48">
        <v>1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  <c r="V48">
        <f t="shared" si="0"/>
        <v>0</v>
      </c>
      <c r="W48">
        <f t="shared" si="1"/>
        <v>0.5</v>
      </c>
      <c r="X48">
        <f t="shared" si="2"/>
        <v>0.69314718055994529</v>
      </c>
    </row>
    <row r="49" spans="1:24" x14ac:dyDescent="0.25">
      <c r="A49">
        <v>48</v>
      </c>
      <c r="B49">
        <v>1</v>
      </c>
      <c r="C49">
        <v>3</v>
      </c>
      <c r="D49" s="1" t="s">
        <v>118</v>
      </c>
      <c r="E49">
        <v>1</v>
      </c>
      <c r="F49" s="1">
        <v>21.98581560283688</v>
      </c>
      <c r="G49">
        <v>0</v>
      </c>
      <c r="H49">
        <v>0</v>
      </c>
      <c r="I49" s="1" t="s">
        <v>119</v>
      </c>
      <c r="J49">
        <v>7.75</v>
      </c>
      <c r="K49" s="1" t="s">
        <v>48</v>
      </c>
      <c r="L49" s="1" t="s">
        <v>28</v>
      </c>
      <c r="M49">
        <v>0</v>
      </c>
      <c r="N49">
        <v>0</v>
      </c>
      <c r="O49">
        <v>1</v>
      </c>
      <c r="P49" t="s">
        <v>1739</v>
      </c>
      <c r="Q49">
        <v>1</v>
      </c>
      <c r="R49">
        <v>0</v>
      </c>
      <c r="S49">
        <v>0</v>
      </c>
      <c r="T49">
        <v>0</v>
      </c>
      <c r="U49">
        <v>0</v>
      </c>
      <c r="V49">
        <f t="shared" si="0"/>
        <v>0.87219584275330231</v>
      </c>
      <c r="W49">
        <f t="shared" si="1"/>
        <v>0.70520240168703408</v>
      </c>
      <c r="X49">
        <f t="shared" si="2"/>
        <v>0.34927042278209691</v>
      </c>
    </row>
    <row r="50" spans="1:24" x14ac:dyDescent="0.25">
      <c r="A50">
        <v>49</v>
      </c>
      <c r="B50">
        <v>0</v>
      </c>
      <c r="C50">
        <v>3</v>
      </c>
      <c r="D50" s="1" t="s">
        <v>120</v>
      </c>
      <c r="E50">
        <v>0</v>
      </c>
      <c r="F50" s="1">
        <v>32.180156657963444</v>
      </c>
      <c r="G50">
        <v>2</v>
      </c>
      <c r="H50">
        <v>0</v>
      </c>
      <c r="I50" s="1" t="s">
        <v>121</v>
      </c>
      <c r="J50">
        <v>21.679200000000002</v>
      </c>
      <c r="K50" s="1" t="s">
        <v>48</v>
      </c>
      <c r="L50" s="1" t="s">
        <v>18</v>
      </c>
      <c r="M50">
        <v>0</v>
      </c>
      <c r="N50">
        <v>1</v>
      </c>
      <c r="O50">
        <v>0</v>
      </c>
      <c r="P50" t="s">
        <v>1741</v>
      </c>
      <c r="Q50">
        <v>0</v>
      </c>
      <c r="R50">
        <v>0</v>
      </c>
      <c r="S50">
        <v>1</v>
      </c>
      <c r="T50">
        <v>0</v>
      </c>
      <c r="U50">
        <v>0</v>
      </c>
      <c r="V50">
        <f t="shared" si="0"/>
        <v>0</v>
      </c>
      <c r="W50">
        <f t="shared" si="1"/>
        <v>0.5</v>
      </c>
      <c r="X50">
        <f t="shared" si="2"/>
        <v>0.69314718055994529</v>
      </c>
    </row>
    <row r="51" spans="1:24" x14ac:dyDescent="0.25">
      <c r="A51">
        <v>50</v>
      </c>
      <c r="B51">
        <v>0</v>
      </c>
      <c r="C51">
        <v>3</v>
      </c>
      <c r="D51" s="1" t="s">
        <v>122</v>
      </c>
      <c r="E51">
        <v>1</v>
      </c>
      <c r="F51">
        <v>18</v>
      </c>
      <c r="G51">
        <v>1</v>
      </c>
      <c r="H51">
        <v>0</v>
      </c>
      <c r="I51" s="1" t="s">
        <v>123</v>
      </c>
      <c r="J51">
        <v>17.8</v>
      </c>
      <c r="K51" s="1" t="s">
        <v>48</v>
      </c>
      <c r="L51" s="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  <c r="V51">
        <f t="shared" si="0"/>
        <v>1.3618761518134992</v>
      </c>
      <c r="W51">
        <f t="shared" si="1"/>
        <v>0.79606445234832413</v>
      </c>
      <c r="X51">
        <f t="shared" si="2"/>
        <v>1.5899512779423304</v>
      </c>
    </row>
    <row r="52" spans="1:24" x14ac:dyDescent="0.25">
      <c r="A52">
        <v>51</v>
      </c>
      <c r="B52">
        <v>0</v>
      </c>
      <c r="C52">
        <v>3</v>
      </c>
      <c r="D52" s="1" t="s">
        <v>124</v>
      </c>
      <c r="E52">
        <v>0</v>
      </c>
      <c r="F52">
        <v>7</v>
      </c>
      <c r="G52">
        <v>4</v>
      </c>
      <c r="H52">
        <v>1</v>
      </c>
      <c r="I52" s="1" t="s">
        <v>125</v>
      </c>
      <c r="J52">
        <v>39.6875</v>
      </c>
      <c r="K52" s="1" t="s">
        <v>48</v>
      </c>
      <c r="L52" s="1" t="s">
        <v>14</v>
      </c>
      <c r="M52">
        <v>1</v>
      </c>
      <c r="N52">
        <v>0</v>
      </c>
      <c r="O52">
        <v>0</v>
      </c>
      <c r="P52" t="s">
        <v>1742</v>
      </c>
      <c r="Q52">
        <v>0</v>
      </c>
      <c r="R52">
        <v>0</v>
      </c>
      <c r="S52">
        <v>0</v>
      </c>
      <c r="T52">
        <v>1</v>
      </c>
      <c r="U52">
        <v>0</v>
      </c>
      <c r="V52">
        <f t="shared" si="0"/>
        <v>0.21766252466937555</v>
      </c>
      <c r="W52">
        <f t="shared" si="1"/>
        <v>0.55420180681382414</v>
      </c>
      <c r="X52">
        <f t="shared" si="2"/>
        <v>0.8078889110081291</v>
      </c>
    </row>
    <row r="53" spans="1:24" x14ac:dyDescent="0.25">
      <c r="A53">
        <v>52</v>
      </c>
      <c r="B53">
        <v>0</v>
      </c>
      <c r="C53">
        <v>3</v>
      </c>
      <c r="D53" s="1" t="s">
        <v>126</v>
      </c>
      <c r="E53">
        <v>0</v>
      </c>
      <c r="F53">
        <v>21</v>
      </c>
      <c r="G53">
        <v>0</v>
      </c>
      <c r="H53">
        <v>0</v>
      </c>
      <c r="I53" s="1" t="s">
        <v>127</v>
      </c>
      <c r="J53">
        <v>7.8</v>
      </c>
      <c r="K53" s="1" t="s">
        <v>48</v>
      </c>
      <c r="L53" s="1" t="s">
        <v>14</v>
      </c>
      <c r="M53">
        <v>1</v>
      </c>
      <c r="N53">
        <v>0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  <c r="V53">
        <f t="shared" si="0"/>
        <v>0</v>
      </c>
      <c r="W53">
        <f t="shared" si="1"/>
        <v>0.5</v>
      </c>
      <c r="X53">
        <f t="shared" si="2"/>
        <v>0.69314718055994529</v>
      </c>
    </row>
    <row r="54" spans="1:24" x14ac:dyDescent="0.25">
      <c r="A54">
        <v>53</v>
      </c>
      <c r="B54">
        <v>1</v>
      </c>
      <c r="C54">
        <v>1</v>
      </c>
      <c r="D54" s="1" t="s">
        <v>128</v>
      </c>
      <c r="E54">
        <v>1</v>
      </c>
      <c r="F54">
        <v>49</v>
      </c>
      <c r="G54">
        <v>1</v>
      </c>
      <c r="H54">
        <v>0</v>
      </c>
      <c r="I54" s="1" t="s">
        <v>129</v>
      </c>
      <c r="J54">
        <v>76.729200000000006</v>
      </c>
      <c r="K54" s="1" t="s">
        <v>130</v>
      </c>
      <c r="L54" s="1" t="s">
        <v>18</v>
      </c>
      <c r="M54">
        <v>0</v>
      </c>
      <c r="N54">
        <v>1</v>
      </c>
      <c r="O54">
        <v>0</v>
      </c>
      <c r="P54" t="s">
        <v>1740</v>
      </c>
      <c r="Q54">
        <v>0</v>
      </c>
      <c r="R54">
        <v>1</v>
      </c>
      <c r="S54">
        <v>0</v>
      </c>
      <c r="T54">
        <v>0</v>
      </c>
      <c r="U54">
        <v>0</v>
      </c>
      <c r="V54">
        <f t="shared" si="0"/>
        <v>1.3618761518134992</v>
      </c>
      <c r="W54">
        <f t="shared" si="1"/>
        <v>0.79606445234832413</v>
      </c>
      <c r="X54">
        <f t="shared" si="2"/>
        <v>0.22807512612883141</v>
      </c>
    </row>
    <row r="55" spans="1:24" x14ac:dyDescent="0.25">
      <c r="A55">
        <v>54</v>
      </c>
      <c r="B55">
        <v>1</v>
      </c>
      <c r="C55">
        <v>2</v>
      </c>
      <c r="D55" s="1" t="s">
        <v>131</v>
      </c>
      <c r="E55">
        <v>1</v>
      </c>
      <c r="F55">
        <v>29</v>
      </c>
      <c r="G55">
        <v>1</v>
      </c>
      <c r="H55">
        <v>0</v>
      </c>
      <c r="I55" s="1" t="s">
        <v>132</v>
      </c>
      <c r="J55">
        <v>26</v>
      </c>
      <c r="K55" s="1" t="s">
        <v>48</v>
      </c>
      <c r="L55" s="1" t="s">
        <v>14</v>
      </c>
      <c r="M55">
        <v>1</v>
      </c>
      <c r="N55">
        <v>0</v>
      </c>
      <c r="O55">
        <v>0</v>
      </c>
      <c r="P55" t="s">
        <v>1740</v>
      </c>
      <c r="Q55">
        <v>0</v>
      </c>
      <c r="R55">
        <v>1</v>
      </c>
      <c r="S55">
        <v>0</v>
      </c>
      <c r="T55">
        <v>0</v>
      </c>
      <c r="U55">
        <v>0</v>
      </c>
      <c r="V55">
        <f t="shared" si="0"/>
        <v>1.3618761518134992</v>
      </c>
      <c r="W55">
        <f t="shared" si="1"/>
        <v>0.79606445234832413</v>
      </c>
      <c r="X55">
        <f t="shared" si="2"/>
        <v>0.22807512612883141</v>
      </c>
    </row>
    <row r="56" spans="1:24" x14ac:dyDescent="0.25">
      <c r="A56">
        <v>55</v>
      </c>
      <c r="B56">
        <v>0</v>
      </c>
      <c r="C56">
        <v>1</v>
      </c>
      <c r="D56" s="1" t="s">
        <v>133</v>
      </c>
      <c r="E56">
        <v>0</v>
      </c>
      <c r="F56">
        <v>65</v>
      </c>
      <c r="G56">
        <v>0</v>
      </c>
      <c r="H56">
        <v>1</v>
      </c>
      <c r="I56" s="1" t="s">
        <v>134</v>
      </c>
      <c r="J56">
        <v>61.979199999999999</v>
      </c>
      <c r="K56" s="1" t="s">
        <v>135</v>
      </c>
      <c r="L56" s="1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  <c r="V56">
        <f t="shared" si="0"/>
        <v>0</v>
      </c>
      <c r="W56">
        <f t="shared" si="1"/>
        <v>0.5</v>
      </c>
      <c r="X56">
        <f t="shared" si="2"/>
        <v>0.69314718055994529</v>
      </c>
    </row>
    <row r="57" spans="1:24" x14ac:dyDescent="0.25">
      <c r="A57">
        <v>56</v>
      </c>
      <c r="B57">
        <v>1</v>
      </c>
      <c r="C57">
        <v>1</v>
      </c>
      <c r="D57" s="1" t="s">
        <v>136</v>
      </c>
      <c r="E57">
        <v>0</v>
      </c>
      <c r="F57" s="1">
        <v>32.180156657963444</v>
      </c>
      <c r="G57">
        <v>0</v>
      </c>
      <c r="H57">
        <v>0</v>
      </c>
      <c r="I57" s="1" t="s">
        <v>137</v>
      </c>
      <c r="J57">
        <v>35.5</v>
      </c>
      <c r="K57" s="1" t="s">
        <v>138</v>
      </c>
      <c r="L57" s="1" t="s">
        <v>14</v>
      </c>
      <c r="M57">
        <v>1</v>
      </c>
      <c r="N57">
        <v>0</v>
      </c>
      <c r="O57">
        <v>0</v>
      </c>
      <c r="P57" t="s">
        <v>1741</v>
      </c>
      <c r="Q57">
        <v>0</v>
      </c>
      <c r="R57">
        <v>0</v>
      </c>
      <c r="S57">
        <v>1</v>
      </c>
      <c r="T57">
        <v>0</v>
      </c>
      <c r="U57">
        <v>0</v>
      </c>
      <c r="V57">
        <f t="shared" si="0"/>
        <v>0</v>
      </c>
      <c r="W57">
        <f t="shared" si="1"/>
        <v>0.5</v>
      </c>
      <c r="X57">
        <f t="shared" si="2"/>
        <v>0.69314718055994529</v>
      </c>
    </row>
    <row r="58" spans="1:24" x14ac:dyDescent="0.25">
      <c r="A58">
        <v>57</v>
      </c>
      <c r="B58">
        <v>1</v>
      </c>
      <c r="C58">
        <v>2</v>
      </c>
      <c r="D58" s="1" t="s">
        <v>139</v>
      </c>
      <c r="E58">
        <v>1</v>
      </c>
      <c r="F58">
        <v>21</v>
      </c>
      <c r="G58">
        <v>0</v>
      </c>
      <c r="H58">
        <v>0</v>
      </c>
      <c r="I58" s="1" t="s">
        <v>140</v>
      </c>
      <c r="J58">
        <v>10.5</v>
      </c>
      <c r="K58" s="1" t="s">
        <v>48</v>
      </c>
      <c r="L58" s="1" t="s">
        <v>14</v>
      </c>
      <c r="M58">
        <v>1</v>
      </c>
      <c r="N58">
        <v>0</v>
      </c>
      <c r="O58">
        <v>0</v>
      </c>
      <c r="P58" t="s">
        <v>1739</v>
      </c>
      <c r="Q58">
        <v>1</v>
      </c>
      <c r="R58">
        <v>0</v>
      </c>
      <c r="S58">
        <v>0</v>
      </c>
      <c r="T58">
        <v>0</v>
      </c>
      <c r="U58">
        <v>0</v>
      </c>
      <c r="V58">
        <f t="shared" si="0"/>
        <v>0.87219584275330231</v>
      </c>
      <c r="W58">
        <f t="shared" si="1"/>
        <v>0.70520240168703408</v>
      </c>
      <c r="X58">
        <f t="shared" si="2"/>
        <v>0.34927042278209691</v>
      </c>
    </row>
    <row r="59" spans="1:24" x14ac:dyDescent="0.25">
      <c r="A59">
        <v>58</v>
      </c>
      <c r="B59">
        <v>0</v>
      </c>
      <c r="C59">
        <v>3</v>
      </c>
      <c r="D59" s="1" t="s">
        <v>141</v>
      </c>
      <c r="E59">
        <v>0</v>
      </c>
      <c r="F59" s="1">
        <v>32.180156657963444</v>
      </c>
      <c r="G59">
        <v>0</v>
      </c>
      <c r="H59">
        <v>0</v>
      </c>
      <c r="I59" s="1" t="s">
        <v>142</v>
      </c>
      <c r="J59">
        <v>7.2291999999999996</v>
      </c>
      <c r="K59" s="1" t="s">
        <v>48</v>
      </c>
      <c r="L59" s="1" t="s">
        <v>18</v>
      </c>
      <c r="M59">
        <v>0</v>
      </c>
      <c r="N59">
        <v>1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  <c r="V59">
        <f t="shared" si="0"/>
        <v>0</v>
      </c>
      <c r="W59">
        <f t="shared" si="1"/>
        <v>0.5</v>
      </c>
      <c r="X59">
        <f t="shared" si="2"/>
        <v>0.69314718055994529</v>
      </c>
    </row>
    <row r="60" spans="1:24" x14ac:dyDescent="0.25">
      <c r="A60">
        <v>59</v>
      </c>
      <c r="B60">
        <v>1</v>
      </c>
      <c r="C60">
        <v>2</v>
      </c>
      <c r="D60" s="1" t="s">
        <v>143</v>
      </c>
      <c r="E60">
        <v>1</v>
      </c>
      <c r="F60">
        <v>5</v>
      </c>
      <c r="G60">
        <v>1</v>
      </c>
      <c r="H60">
        <v>2</v>
      </c>
      <c r="I60" s="1" t="s">
        <v>144</v>
      </c>
      <c r="J60">
        <v>27.75</v>
      </c>
      <c r="K60" s="1" t="s">
        <v>48</v>
      </c>
      <c r="L60" s="1" t="s">
        <v>14</v>
      </c>
      <c r="M60">
        <v>1</v>
      </c>
      <c r="N60">
        <v>0</v>
      </c>
      <c r="O60">
        <v>0</v>
      </c>
      <c r="P60" t="s">
        <v>1739</v>
      </c>
      <c r="Q60">
        <v>1</v>
      </c>
      <c r="R60">
        <v>0</v>
      </c>
      <c r="S60">
        <v>0</v>
      </c>
      <c r="T60">
        <v>0</v>
      </c>
      <c r="U60">
        <v>0</v>
      </c>
      <c r="V60">
        <f t="shared" si="0"/>
        <v>0.87219584275330231</v>
      </c>
      <c r="W60">
        <f t="shared" si="1"/>
        <v>0.70520240168703408</v>
      </c>
      <c r="X60">
        <f t="shared" si="2"/>
        <v>0.34927042278209691</v>
      </c>
    </row>
    <row r="61" spans="1:24" x14ac:dyDescent="0.25">
      <c r="A61">
        <v>60</v>
      </c>
      <c r="B61">
        <v>0</v>
      </c>
      <c r="C61">
        <v>3</v>
      </c>
      <c r="D61" s="1" t="s">
        <v>145</v>
      </c>
      <c r="E61">
        <v>0</v>
      </c>
      <c r="F61">
        <v>11</v>
      </c>
      <c r="G61">
        <v>5</v>
      </c>
      <c r="H61">
        <v>2</v>
      </c>
      <c r="I61" s="1" t="s">
        <v>146</v>
      </c>
      <c r="J61">
        <v>46.9</v>
      </c>
      <c r="K61" s="1" t="s">
        <v>48</v>
      </c>
      <c r="L61" s="1" t="s">
        <v>14</v>
      </c>
      <c r="M61">
        <v>1</v>
      </c>
      <c r="N61">
        <v>0</v>
      </c>
      <c r="O61">
        <v>0</v>
      </c>
      <c r="P61" t="s">
        <v>1742</v>
      </c>
      <c r="Q61">
        <v>0</v>
      </c>
      <c r="R61">
        <v>0</v>
      </c>
      <c r="S61">
        <v>0</v>
      </c>
      <c r="T61">
        <v>1</v>
      </c>
      <c r="U61">
        <v>0</v>
      </c>
      <c r="V61">
        <f t="shared" si="0"/>
        <v>0.21766252466937555</v>
      </c>
      <c r="W61">
        <f t="shared" si="1"/>
        <v>0.55420180681382414</v>
      </c>
      <c r="X61">
        <f t="shared" si="2"/>
        <v>0.8078889110081291</v>
      </c>
    </row>
    <row r="62" spans="1:24" x14ac:dyDescent="0.25">
      <c r="A62">
        <v>61</v>
      </c>
      <c r="B62">
        <v>0</v>
      </c>
      <c r="C62">
        <v>3</v>
      </c>
      <c r="D62" s="1" t="s">
        <v>147</v>
      </c>
      <c r="E62">
        <v>0</v>
      </c>
      <c r="F62">
        <v>22</v>
      </c>
      <c r="G62">
        <v>0</v>
      </c>
      <c r="H62">
        <v>0</v>
      </c>
      <c r="I62" s="1" t="s">
        <v>148</v>
      </c>
      <c r="J62">
        <v>7.2291999999999996</v>
      </c>
      <c r="K62" s="1" t="s">
        <v>48</v>
      </c>
      <c r="L62" s="1" t="s">
        <v>18</v>
      </c>
      <c r="M62">
        <v>0</v>
      </c>
      <c r="N62">
        <v>1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  <c r="V62">
        <f t="shared" si="0"/>
        <v>0</v>
      </c>
      <c r="W62">
        <f t="shared" si="1"/>
        <v>0.5</v>
      </c>
      <c r="X62">
        <f t="shared" si="2"/>
        <v>0.69314718055994529</v>
      </c>
    </row>
    <row r="63" spans="1:24" x14ac:dyDescent="0.25">
      <c r="A63">
        <v>62</v>
      </c>
      <c r="B63">
        <v>1</v>
      </c>
      <c r="C63">
        <v>1</v>
      </c>
      <c r="D63" s="1" t="s">
        <v>149</v>
      </c>
      <c r="E63">
        <v>1</v>
      </c>
      <c r="F63">
        <v>38</v>
      </c>
      <c r="G63">
        <v>0</v>
      </c>
      <c r="H63">
        <v>0</v>
      </c>
      <c r="I63" s="1" t="s">
        <v>150</v>
      </c>
      <c r="J63">
        <v>80</v>
      </c>
      <c r="K63" s="1" t="s">
        <v>151</v>
      </c>
      <c r="L63" s="1" t="s">
        <v>48</v>
      </c>
      <c r="M63">
        <v>0</v>
      </c>
      <c r="N63">
        <v>0</v>
      </c>
      <c r="O63">
        <v>0</v>
      </c>
      <c r="P63" t="s">
        <v>1739</v>
      </c>
      <c r="Q63">
        <v>1</v>
      </c>
      <c r="R63">
        <v>0</v>
      </c>
      <c r="S63">
        <v>0</v>
      </c>
      <c r="T63">
        <v>0</v>
      </c>
      <c r="U63">
        <v>0</v>
      </c>
      <c r="V63">
        <f t="shared" si="0"/>
        <v>0.87219584275330231</v>
      </c>
      <c r="W63">
        <f t="shared" si="1"/>
        <v>0.70520240168703408</v>
      </c>
      <c r="X63">
        <f t="shared" si="2"/>
        <v>0.34927042278209691</v>
      </c>
    </row>
    <row r="64" spans="1:24" x14ac:dyDescent="0.25">
      <c r="A64">
        <v>63</v>
      </c>
      <c r="B64">
        <v>0</v>
      </c>
      <c r="C64">
        <v>1</v>
      </c>
      <c r="D64" s="1" t="s">
        <v>152</v>
      </c>
      <c r="E64">
        <v>0</v>
      </c>
      <c r="F64">
        <v>45</v>
      </c>
      <c r="G64">
        <v>1</v>
      </c>
      <c r="H64">
        <v>0</v>
      </c>
      <c r="I64" s="1" t="s">
        <v>153</v>
      </c>
      <c r="J64">
        <v>83.474999999999994</v>
      </c>
      <c r="K64" s="1" t="s">
        <v>154</v>
      </c>
      <c r="L64" s="1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  <c r="V64">
        <f t="shared" si="0"/>
        <v>0</v>
      </c>
      <c r="W64">
        <f t="shared" si="1"/>
        <v>0.5</v>
      </c>
      <c r="X64">
        <f t="shared" si="2"/>
        <v>0.69314718055994529</v>
      </c>
    </row>
    <row r="65" spans="1:24" x14ac:dyDescent="0.25">
      <c r="A65">
        <v>64</v>
      </c>
      <c r="B65">
        <v>0</v>
      </c>
      <c r="C65">
        <v>3</v>
      </c>
      <c r="D65" s="1" t="s">
        <v>155</v>
      </c>
      <c r="E65">
        <v>0</v>
      </c>
      <c r="F65">
        <v>4</v>
      </c>
      <c r="G65">
        <v>3</v>
      </c>
      <c r="H65">
        <v>2</v>
      </c>
      <c r="I65" s="1" t="s">
        <v>156</v>
      </c>
      <c r="J65">
        <v>27.9</v>
      </c>
      <c r="K65" s="1" t="s">
        <v>48</v>
      </c>
      <c r="L65" s="1" t="s">
        <v>14</v>
      </c>
      <c r="M65">
        <v>1</v>
      </c>
      <c r="N65">
        <v>0</v>
      </c>
      <c r="O65">
        <v>0</v>
      </c>
      <c r="P65" t="s">
        <v>1742</v>
      </c>
      <c r="Q65">
        <v>0</v>
      </c>
      <c r="R65">
        <v>0</v>
      </c>
      <c r="S65">
        <v>0</v>
      </c>
      <c r="T65">
        <v>1</v>
      </c>
      <c r="U65">
        <v>0</v>
      </c>
      <c r="V65">
        <f t="shared" si="0"/>
        <v>0.21766252466937555</v>
      </c>
      <c r="W65">
        <f t="shared" si="1"/>
        <v>0.55420180681382414</v>
      </c>
      <c r="X65">
        <f t="shared" si="2"/>
        <v>0.8078889110081291</v>
      </c>
    </row>
    <row r="66" spans="1:24" x14ac:dyDescent="0.25">
      <c r="A66">
        <v>65</v>
      </c>
      <c r="B66">
        <v>0</v>
      </c>
      <c r="C66">
        <v>1</v>
      </c>
      <c r="D66" s="1" t="s">
        <v>157</v>
      </c>
      <c r="E66">
        <v>0</v>
      </c>
      <c r="F66" s="1">
        <v>32.180156657963444</v>
      </c>
      <c r="G66">
        <v>0</v>
      </c>
      <c r="H66">
        <v>0</v>
      </c>
      <c r="I66" s="1" t="s">
        <v>158</v>
      </c>
      <c r="J66">
        <v>27.720800000000001</v>
      </c>
      <c r="K66" s="1" t="s">
        <v>48</v>
      </c>
      <c r="L66" s="1" t="s">
        <v>18</v>
      </c>
      <c r="M66">
        <v>0</v>
      </c>
      <c r="N66">
        <v>1</v>
      </c>
      <c r="O66">
        <v>0</v>
      </c>
      <c r="P66" t="s">
        <v>1741</v>
      </c>
      <c r="Q66">
        <v>0</v>
      </c>
      <c r="R66">
        <v>0</v>
      </c>
      <c r="S66">
        <v>1</v>
      </c>
      <c r="T66">
        <v>0</v>
      </c>
      <c r="U66">
        <v>0</v>
      </c>
      <c r="V66">
        <f t="shared" si="0"/>
        <v>0</v>
      </c>
      <c r="W66">
        <f t="shared" si="1"/>
        <v>0.5</v>
      </c>
      <c r="X66">
        <f t="shared" si="2"/>
        <v>0.69314718055994529</v>
      </c>
    </row>
    <row r="67" spans="1:24" x14ac:dyDescent="0.25">
      <c r="A67">
        <v>66</v>
      </c>
      <c r="B67">
        <v>1</v>
      </c>
      <c r="C67">
        <v>3</v>
      </c>
      <c r="D67" s="1" t="s">
        <v>159</v>
      </c>
      <c r="E67">
        <v>0</v>
      </c>
      <c r="F67" s="1">
        <v>5.193548387096774</v>
      </c>
      <c r="G67">
        <v>1</v>
      </c>
      <c r="H67">
        <v>1</v>
      </c>
      <c r="I67" s="1" t="s">
        <v>160</v>
      </c>
      <c r="J67">
        <v>15.245799999999999</v>
      </c>
      <c r="K67" s="1" t="s">
        <v>48</v>
      </c>
      <c r="L67" s="1" t="s">
        <v>18</v>
      </c>
      <c r="M67">
        <v>0</v>
      </c>
      <c r="N67">
        <v>1</v>
      </c>
      <c r="O67">
        <v>0</v>
      </c>
      <c r="P67" t="s">
        <v>1742</v>
      </c>
      <c r="Q67">
        <v>0</v>
      </c>
      <c r="R67">
        <v>0</v>
      </c>
      <c r="S67">
        <v>0</v>
      </c>
      <c r="T67">
        <v>1</v>
      </c>
      <c r="U67">
        <v>0</v>
      </c>
      <c r="V67">
        <f t="shared" ref="V67:V130" si="3">$AB$1+C67*$AB$2+E67*$AB$3+F67*$AB$4+G67*$AB$5+H67*$AB$6+J67*$AB$7+M67*$AB$8+N67*$AB$9+O67*$AB$10+Q67*$AB$11+R67*$AB$12+S67*$AB$13+T67*$AB$14+U67*$AB$15</f>
        <v>0.21766252466937555</v>
      </c>
      <c r="W67">
        <f t="shared" ref="W67:W130" si="4">1/(1+EXP(-V67))</f>
        <v>0.55420180681382414</v>
      </c>
      <c r="X67">
        <f t="shared" ref="X67:X130" si="5">-(B67*LN(MAX(0.000001,MIN(0.999999,W67))) +(1-B67)*LN(MAX(0.000001,MIN(0.999999,1-W67))))</f>
        <v>0.59022638633875368</v>
      </c>
    </row>
    <row r="68" spans="1:24" x14ac:dyDescent="0.25">
      <c r="A68">
        <v>67</v>
      </c>
      <c r="B68">
        <v>1</v>
      </c>
      <c r="C68">
        <v>2</v>
      </c>
      <c r="D68" s="1" t="s">
        <v>161</v>
      </c>
      <c r="E68">
        <v>1</v>
      </c>
      <c r="F68">
        <v>29</v>
      </c>
      <c r="G68">
        <v>0</v>
      </c>
      <c r="H68">
        <v>0</v>
      </c>
      <c r="I68" s="1" t="s">
        <v>162</v>
      </c>
      <c r="J68">
        <v>10.5</v>
      </c>
      <c r="K68" s="1" t="s">
        <v>163</v>
      </c>
      <c r="L68" s="1" t="s">
        <v>14</v>
      </c>
      <c r="M68">
        <v>1</v>
      </c>
      <c r="N68">
        <v>0</v>
      </c>
      <c r="O68">
        <v>0</v>
      </c>
      <c r="P68" t="s">
        <v>1740</v>
      </c>
      <c r="Q68">
        <v>0</v>
      </c>
      <c r="R68">
        <v>1</v>
      </c>
      <c r="S68">
        <v>0</v>
      </c>
      <c r="T68">
        <v>0</v>
      </c>
      <c r="U68">
        <v>0</v>
      </c>
      <c r="V68">
        <f t="shared" si="3"/>
        <v>1.3618761518134992</v>
      </c>
      <c r="W68">
        <f t="shared" si="4"/>
        <v>0.79606445234832413</v>
      </c>
      <c r="X68">
        <f t="shared" si="5"/>
        <v>0.22807512612883141</v>
      </c>
    </row>
    <row r="69" spans="1:24" x14ac:dyDescent="0.25">
      <c r="A69">
        <v>68</v>
      </c>
      <c r="B69">
        <v>0</v>
      </c>
      <c r="C69">
        <v>3</v>
      </c>
      <c r="D69" s="1" t="s">
        <v>164</v>
      </c>
      <c r="E69">
        <v>0</v>
      </c>
      <c r="F69">
        <v>19</v>
      </c>
      <c r="G69">
        <v>0</v>
      </c>
      <c r="H69">
        <v>0</v>
      </c>
      <c r="I69" s="1" t="s">
        <v>165</v>
      </c>
      <c r="J69">
        <v>8.1583000000000006</v>
      </c>
      <c r="K69" s="1" t="s">
        <v>48</v>
      </c>
      <c r="L69" s="1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  <c r="V69">
        <f t="shared" si="3"/>
        <v>0</v>
      </c>
      <c r="W69">
        <f t="shared" si="4"/>
        <v>0.5</v>
      </c>
      <c r="X69">
        <f t="shared" si="5"/>
        <v>0.69314718055994529</v>
      </c>
    </row>
    <row r="70" spans="1:24" x14ac:dyDescent="0.25">
      <c r="A70">
        <v>69</v>
      </c>
      <c r="B70">
        <v>1</v>
      </c>
      <c r="C70">
        <v>3</v>
      </c>
      <c r="D70" s="1" t="s">
        <v>166</v>
      </c>
      <c r="E70">
        <v>1</v>
      </c>
      <c r="F70">
        <v>17</v>
      </c>
      <c r="G70">
        <v>4</v>
      </c>
      <c r="H70">
        <v>2</v>
      </c>
      <c r="I70" s="1" t="s">
        <v>167</v>
      </c>
      <c r="J70">
        <v>7.9249999999999998</v>
      </c>
      <c r="K70" s="1" t="s">
        <v>48</v>
      </c>
      <c r="L70" s="1" t="s">
        <v>14</v>
      </c>
      <c r="M70">
        <v>1</v>
      </c>
      <c r="N70">
        <v>0</v>
      </c>
      <c r="O70">
        <v>0</v>
      </c>
      <c r="P70" t="s">
        <v>1739</v>
      </c>
      <c r="Q70">
        <v>1</v>
      </c>
      <c r="R70">
        <v>0</v>
      </c>
      <c r="S70">
        <v>0</v>
      </c>
      <c r="T70">
        <v>0</v>
      </c>
      <c r="U70">
        <v>0</v>
      </c>
      <c r="V70">
        <f t="shared" si="3"/>
        <v>0.87219584275330231</v>
      </c>
      <c r="W70">
        <f t="shared" si="4"/>
        <v>0.70520240168703408</v>
      </c>
      <c r="X70">
        <f t="shared" si="5"/>
        <v>0.34927042278209691</v>
      </c>
    </row>
    <row r="71" spans="1:24" x14ac:dyDescent="0.25">
      <c r="A71">
        <v>70</v>
      </c>
      <c r="B71">
        <v>0</v>
      </c>
      <c r="C71">
        <v>3</v>
      </c>
      <c r="D71" s="1" t="s">
        <v>168</v>
      </c>
      <c r="E71">
        <v>0</v>
      </c>
      <c r="F71">
        <v>26</v>
      </c>
      <c r="G71">
        <v>2</v>
      </c>
      <c r="H71">
        <v>0</v>
      </c>
      <c r="I71" s="1" t="s">
        <v>169</v>
      </c>
      <c r="J71">
        <v>8.6624999999999996</v>
      </c>
      <c r="K71" s="1" t="s">
        <v>48</v>
      </c>
      <c r="L71" s="1" t="s">
        <v>14</v>
      </c>
      <c r="M71">
        <v>1</v>
      </c>
      <c r="N71">
        <v>0</v>
      </c>
      <c r="O71">
        <v>0</v>
      </c>
      <c r="P71" t="s">
        <v>1741</v>
      </c>
      <c r="Q71">
        <v>0</v>
      </c>
      <c r="R71">
        <v>0</v>
      </c>
      <c r="S71">
        <v>1</v>
      </c>
      <c r="T71">
        <v>0</v>
      </c>
      <c r="U71">
        <v>0</v>
      </c>
      <c r="V71">
        <f t="shared" si="3"/>
        <v>0</v>
      </c>
      <c r="W71">
        <f t="shared" si="4"/>
        <v>0.5</v>
      </c>
      <c r="X71">
        <f t="shared" si="5"/>
        <v>0.69314718055994529</v>
      </c>
    </row>
    <row r="72" spans="1:24" x14ac:dyDescent="0.25">
      <c r="A72">
        <v>71</v>
      </c>
      <c r="B72">
        <v>0</v>
      </c>
      <c r="C72">
        <v>2</v>
      </c>
      <c r="D72" s="1" t="s">
        <v>170</v>
      </c>
      <c r="E72">
        <v>0</v>
      </c>
      <c r="F72">
        <v>32</v>
      </c>
      <c r="G72">
        <v>0</v>
      </c>
      <c r="H72">
        <v>0</v>
      </c>
      <c r="I72" s="1" t="s">
        <v>171</v>
      </c>
      <c r="J72">
        <v>10.5</v>
      </c>
      <c r="K72" s="1" t="s">
        <v>48</v>
      </c>
      <c r="L72" s="1" t="s">
        <v>14</v>
      </c>
      <c r="M72">
        <v>1</v>
      </c>
      <c r="N72">
        <v>0</v>
      </c>
      <c r="O72">
        <v>0</v>
      </c>
      <c r="P72" t="s">
        <v>1741</v>
      </c>
      <c r="Q72">
        <v>0</v>
      </c>
      <c r="R72">
        <v>0</v>
      </c>
      <c r="S72">
        <v>1</v>
      </c>
      <c r="T72">
        <v>0</v>
      </c>
      <c r="U72">
        <v>0</v>
      </c>
      <c r="V72">
        <f t="shared" si="3"/>
        <v>0</v>
      </c>
      <c r="W72">
        <f t="shared" si="4"/>
        <v>0.5</v>
      </c>
      <c r="X72">
        <f t="shared" si="5"/>
        <v>0.69314718055994529</v>
      </c>
    </row>
    <row r="73" spans="1:24" x14ac:dyDescent="0.25">
      <c r="A73">
        <v>72</v>
      </c>
      <c r="B73">
        <v>0</v>
      </c>
      <c r="C73">
        <v>3</v>
      </c>
      <c r="D73" s="1" t="s">
        <v>172</v>
      </c>
      <c r="E73">
        <v>1</v>
      </c>
      <c r="F73">
        <v>16</v>
      </c>
      <c r="G73">
        <v>5</v>
      </c>
      <c r="H73">
        <v>2</v>
      </c>
      <c r="I73" s="1" t="s">
        <v>146</v>
      </c>
      <c r="J73">
        <v>46.9</v>
      </c>
      <c r="K73" s="1" t="s">
        <v>48</v>
      </c>
      <c r="L73" s="1" t="s">
        <v>14</v>
      </c>
      <c r="M73">
        <v>1</v>
      </c>
      <c r="N73">
        <v>0</v>
      </c>
      <c r="O73">
        <v>0</v>
      </c>
      <c r="P73" t="s">
        <v>1739</v>
      </c>
      <c r="Q73">
        <v>1</v>
      </c>
      <c r="R73">
        <v>0</v>
      </c>
      <c r="S73">
        <v>0</v>
      </c>
      <c r="T73">
        <v>0</v>
      </c>
      <c r="U73">
        <v>0</v>
      </c>
      <c r="V73">
        <f t="shared" si="3"/>
        <v>0.87219584275330231</v>
      </c>
      <c r="W73">
        <f t="shared" si="4"/>
        <v>0.70520240168703408</v>
      </c>
      <c r="X73">
        <f t="shared" si="5"/>
        <v>1.2214662655353992</v>
      </c>
    </row>
    <row r="74" spans="1:24" x14ac:dyDescent="0.25">
      <c r="A74">
        <v>73</v>
      </c>
      <c r="B74">
        <v>0</v>
      </c>
      <c r="C74">
        <v>2</v>
      </c>
      <c r="D74" s="1" t="s">
        <v>173</v>
      </c>
      <c r="E74">
        <v>0</v>
      </c>
      <c r="F74">
        <v>21</v>
      </c>
      <c r="G74">
        <v>0</v>
      </c>
      <c r="H74">
        <v>0</v>
      </c>
      <c r="I74" s="1" t="s">
        <v>174</v>
      </c>
      <c r="J74">
        <v>73.5</v>
      </c>
      <c r="K74" s="1" t="s">
        <v>48</v>
      </c>
      <c r="L74" s="1" t="s">
        <v>14</v>
      </c>
      <c r="M74">
        <v>1</v>
      </c>
      <c r="N74">
        <v>0</v>
      </c>
      <c r="O74">
        <v>0</v>
      </c>
      <c r="P74" t="s">
        <v>1741</v>
      </c>
      <c r="Q74">
        <v>0</v>
      </c>
      <c r="R74">
        <v>0</v>
      </c>
      <c r="S74">
        <v>1</v>
      </c>
      <c r="T74">
        <v>0</v>
      </c>
      <c r="U74">
        <v>0</v>
      </c>
      <c r="V74">
        <f t="shared" si="3"/>
        <v>0</v>
      </c>
      <c r="W74">
        <f t="shared" si="4"/>
        <v>0.5</v>
      </c>
      <c r="X74">
        <f t="shared" si="5"/>
        <v>0.69314718055994529</v>
      </c>
    </row>
    <row r="75" spans="1:24" x14ac:dyDescent="0.25">
      <c r="A75">
        <v>74</v>
      </c>
      <c r="B75">
        <v>0</v>
      </c>
      <c r="C75">
        <v>3</v>
      </c>
      <c r="D75" s="1" t="s">
        <v>175</v>
      </c>
      <c r="E75">
        <v>0</v>
      </c>
      <c r="F75">
        <v>26</v>
      </c>
      <c r="G75">
        <v>1</v>
      </c>
      <c r="H75">
        <v>0</v>
      </c>
      <c r="I75" s="1" t="s">
        <v>176</v>
      </c>
      <c r="J75">
        <v>14.4542</v>
      </c>
      <c r="K75" s="1" t="s">
        <v>48</v>
      </c>
      <c r="L75" s="1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  <c r="V75">
        <f t="shared" si="3"/>
        <v>0</v>
      </c>
      <c r="W75">
        <f t="shared" si="4"/>
        <v>0.5</v>
      </c>
      <c r="X75">
        <f t="shared" si="5"/>
        <v>0.69314718055994529</v>
      </c>
    </row>
    <row r="76" spans="1:24" x14ac:dyDescent="0.25">
      <c r="A76">
        <v>75</v>
      </c>
      <c r="B76">
        <v>1</v>
      </c>
      <c r="C76">
        <v>3</v>
      </c>
      <c r="D76" s="1" t="s">
        <v>177</v>
      </c>
      <c r="E76">
        <v>0</v>
      </c>
      <c r="F76">
        <v>32</v>
      </c>
      <c r="G76">
        <v>0</v>
      </c>
      <c r="H76">
        <v>0</v>
      </c>
      <c r="I76" s="1" t="s">
        <v>178</v>
      </c>
      <c r="J76">
        <v>56.495800000000003</v>
      </c>
      <c r="K76" s="1" t="s">
        <v>48</v>
      </c>
      <c r="L76" s="1" t="s">
        <v>14</v>
      </c>
      <c r="M76">
        <v>1</v>
      </c>
      <c r="N76">
        <v>0</v>
      </c>
      <c r="O76">
        <v>0</v>
      </c>
      <c r="P76" t="s">
        <v>1741</v>
      </c>
      <c r="Q76">
        <v>0</v>
      </c>
      <c r="R76">
        <v>0</v>
      </c>
      <c r="S76">
        <v>1</v>
      </c>
      <c r="T76">
        <v>0</v>
      </c>
      <c r="U76">
        <v>0</v>
      </c>
      <c r="V76">
        <f t="shared" si="3"/>
        <v>0</v>
      </c>
      <c r="W76">
        <f t="shared" si="4"/>
        <v>0.5</v>
      </c>
      <c r="X76">
        <f t="shared" si="5"/>
        <v>0.69314718055994529</v>
      </c>
    </row>
    <row r="77" spans="1:24" x14ac:dyDescent="0.25">
      <c r="A77">
        <v>76</v>
      </c>
      <c r="B77">
        <v>0</v>
      </c>
      <c r="C77">
        <v>3</v>
      </c>
      <c r="D77" s="1" t="s">
        <v>179</v>
      </c>
      <c r="E77">
        <v>0</v>
      </c>
      <c r="F77">
        <v>25</v>
      </c>
      <c r="G77">
        <v>0</v>
      </c>
      <c r="H77">
        <v>0</v>
      </c>
      <c r="I77" s="1" t="s">
        <v>180</v>
      </c>
      <c r="J77">
        <v>7.65</v>
      </c>
      <c r="K77" s="1" t="s">
        <v>181</v>
      </c>
      <c r="L77" s="1" t="s">
        <v>14</v>
      </c>
      <c r="M77">
        <v>1</v>
      </c>
      <c r="N77">
        <v>0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  <c r="V77">
        <f t="shared" si="3"/>
        <v>0</v>
      </c>
      <c r="W77">
        <f t="shared" si="4"/>
        <v>0.5</v>
      </c>
      <c r="X77">
        <f t="shared" si="5"/>
        <v>0.69314718055994529</v>
      </c>
    </row>
    <row r="78" spans="1:24" x14ac:dyDescent="0.25">
      <c r="A78">
        <v>77</v>
      </c>
      <c r="B78">
        <v>0</v>
      </c>
      <c r="C78">
        <v>3</v>
      </c>
      <c r="D78" s="1" t="s">
        <v>182</v>
      </c>
      <c r="E78">
        <v>0</v>
      </c>
      <c r="F78" s="1">
        <v>32.180156657963444</v>
      </c>
      <c r="G78">
        <v>0</v>
      </c>
      <c r="H78">
        <v>0</v>
      </c>
      <c r="I78" s="1" t="s">
        <v>183</v>
      </c>
      <c r="J78">
        <v>7.8958000000000004</v>
      </c>
      <c r="K78" s="1" t="s">
        <v>48</v>
      </c>
      <c r="L78" s="1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  <c r="V78">
        <f t="shared" si="3"/>
        <v>0</v>
      </c>
      <c r="W78">
        <f t="shared" si="4"/>
        <v>0.5</v>
      </c>
      <c r="X78">
        <f t="shared" si="5"/>
        <v>0.69314718055994529</v>
      </c>
    </row>
    <row r="79" spans="1:24" x14ac:dyDescent="0.25">
      <c r="A79">
        <v>78</v>
      </c>
      <c r="B79">
        <v>0</v>
      </c>
      <c r="C79">
        <v>3</v>
      </c>
      <c r="D79" s="1" t="s">
        <v>184</v>
      </c>
      <c r="E79">
        <v>0</v>
      </c>
      <c r="F79" s="1">
        <v>32.180156657963444</v>
      </c>
      <c r="G79">
        <v>0</v>
      </c>
      <c r="H79">
        <v>0</v>
      </c>
      <c r="I79" s="1" t="s">
        <v>185</v>
      </c>
      <c r="J79">
        <v>8.0500000000000007</v>
      </c>
      <c r="K79" s="1" t="s">
        <v>48</v>
      </c>
      <c r="L79" s="1" t="s">
        <v>14</v>
      </c>
      <c r="M79">
        <v>1</v>
      </c>
      <c r="N79">
        <v>0</v>
      </c>
      <c r="O79">
        <v>0</v>
      </c>
      <c r="P79" t="s">
        <v>1741</v>
      </c>
      <c r="Q79">
        <v>0</v>
      </c>
      <c r="R79">
        <v>0</v>
      </c>
      <c r="S79">
        <v>1</v>
      </c>
      <c r="T79">
        <v>0</v>
      </c>
      <c r="U79">
        <v>0</v>
      </c>
      <c r="V79">
        <f t="shared" si="3"/>
        <v>0</v>
      </c>
      <c r="W79">
        <f t="shared" si="4"/>
        <v>0.5</v>
      </c>
      <c r="X79">
        <f t="shared" si="5"/>
        <v>0.69314718055994529</v>
      </c>
    </row>
    <row r="80" spans="1:24" x14ac:dyDescent="0.25">
      <c r="A80">
        <v>79</v>
      </c>
      <c r="B80">
        <v>1</v>
      </c>
      <c r="C80">
        <v>2</v>
      </c>
      <c r="D80" s="1" t="s">
        <v>186</v>
      </c>
      <c r="E80">
        <v>0</v>
      </c>
      <c r="F80" s="1">
        <v>5.193548387096774</v>
      </c>
      <c r="G80">
        <v>0</v>
      </c>
      <c r="H80">
        <v>2</v>
      </c>
      <c r="I80" s="1" t="s">
        <v>187</v>
      </c>
      <c r="J80">
        <v>29</v>
      </c>
      <c r="K80" s="1" t="s">
        <v>48</v>
      </c>
      <c r="L80" s="1" t="s">
        <v>14</v>
      </c>
      <c r="M80">
        <v>1</v>
      </c>
      <c r="N80">
        <v>0</v>
      </c>
      <c r="O80">
        <v>0</v>
      </c>
      <c r="P80" t="s">
        <v>1742</v>
      </c>
      <c r="Q80">
        <v>0</v>
      </c>
      <c r="R80">
        <v>0</v>
      </c>
      <c r="S80">
        <v>0</v>
      </c>
      <c r="T80">
        <v>1</v>
      </c>
      <c r="U80">
        <v>0</v>
      </c>
      <c r="V80">
        <f t="shared" si="3"/>
        <v>0.21766252466937555</v>
      </c>
      <c r="W80">
        <f t="shared" si="4"/>
        <v>0.55420180681382414</v>
      </c>
      <c r="X80">
        <f t="shared" si="5"/>
        <v>0.59022638633875368</v>
      </c>
    </row>
    <row r="81" spans="1:24" x14ac:dyDescent="0.25">
      <c r="A81">
        <v>80</v>
      </c>
      <c r="B81">
        <v>1</v>
      </c>
      <c r="C81">
        <v>3</v>
      </c>
      <c r="D81" s="1" t="s">
        <v>188</v>
      </c>
      <c r="E81">
        <v>1</v>
      </c>
      <c r="F81">
        <v>30</v>
      </c>
      <c r="G81">
        <v>0</v>
      </c>
      <c r="H81">
        <v>0</v>
      </c>
      <c r="I81" s="1" t="s">
        <v>189</v>
      </c>
      <c r="J81">
        <v>12.475</v>
      </c>
      <c r="K81" s="1" t="s">
        <v>48</v>
      </c>
      <c r="L81" s="1" t="s">
        <v>14</v>
      </c>
      <c r="M81">
        <v>1</v>
      </c>
      <c r="N81">
        <v>0</v>
      </c>
      <c r="O81">
        <v>0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  <c r="V81">
        <f t="shared" si="3"/>
        <v>0.87219584275330231</v>
      </c>
      <c r="W81">
        <f t="shared" si="4"/>
        <v>0.70520240168703408</v>
      </c>
      <c r="X81">
        <f t="shared" si="5"/>
        <v>0.34927042278209691</v>
      </c>
    </row>
    <row r="82" spans="1:24" x14ac:dyDescent="0.25">
      <c r="A82">
        <v>81</v>
      </c>
      <c r="B82">
        <v>0</v>
      </c>
      <c r="C82">
        <v>3</v>
      </c>
      <c r="D82" s="1" t="s">
        <v>190</v>
      </c>
      <c r="E82">
        <v>0</v>
      </c>
      <c r="F82">
        <v>22</v>
      </c>
      <c r="G82">
        <v>0</v>
      </c>
      <c r="H82">
        <v>0</v>
      </c>
      <c r="I82" s="1" t="s">
        <v>191</v>
      </c>
      <c r="J82">
        <v>9</v>
      </c>
      <c r="K82" s="1" t="s">
        <v>48</v>
      </c>
      <c r="L82" s="1" t="s">
        <v>14</v>
      </c>
      <c r="M82">
        <v>1</v>
      </c>
      <c r="N82">
        <v>0</v>
      </c>
      <c r="O82">
        <v>0</v>
      </c>
      <c r="P82" t="s">
        <v>1741</v>
      </c>
      <c r="Q82">
        <v>0</v>
      </c>
      <c r="R82">
        <v>0</v>
      </c>
      <c r="S82">
        <v>1</v>
      </c>
      <c r="T82">
        <v>0</v>
      </c>
      <c r="U82">
        <v>0</v>
      </c>
      <c r="V82">
        <f t="shared" si="3"/>
        <v>0</v>
      </c>
      <c r="W82">
        <f t="shared" si="4"/>
        <v>0.5</v>
      </c>
      <c r="X82">
        <f t="shared" si="5"/>
        <v>0.69314718055994529</v>
      </c>
    </row>
    <row r="83" spans="1:24" x14ac:dyDescent="0.25">
      <c r="A83">
        <v>82</v>
      </c>
      <c r="B83">
        <v>1</v>
      </c>
      <c r="C83">
        <v>3</v>
      </c>
      <c r="D83" s="1" t="s">
        <v>192</v>
      </c>
      <c r="E83">
        <v>0</v>
      </c>
      <c r="F83">
        <v>29</v>
      </c>
      <c r="G83">
        <v>0</v>
      </c>
      <c r="H83">
        <v>0</v>
      </c>
      <c r="I83" s="1" t="s">
        <v>193</v>
      </c>
      <c r="J83">
        <v>9.5</v>
      </c>
      <c r="K83" s="1" t="s">
        <v>48</v>
      </c>
      <c r="L83" s="1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  <c r="V83">
        <f t="shared" si="3"/>
        <v>0</v>
      </c>
      <c r="W83">
        <f t="shared" si="4"/>
        <v>0.5</v>
      </c>
      <c r="X83">
        <f t="shared" si="5"/>
        <v>0.69314718055994529</v>
      </c>
    </row>
    <row r="84" spans="1:24" x14ac:dyDescent="0.25">
      <c r="A84">
        <v>83</v>
      </c>
      <c r="B84">
        <v>1</v>
      </c>
      <c r="C84">
        <v>3</v>
      </c>
      <c r="D84" s="1" t="s">
        <v>194</v>
      </c>
      <c r="E84">
        <v>1</v>
      </c>
      <c r="F84" s="1">
        <v>21.98581560283688</v>
      </c>
      <c r="G84">
        <v>0</v>
      </c>
      <c r="H84">
        <v>0</v>
      </c>
      <c r="I84" s="1" t="s">
        <v>195</v>
      </c>
      <c r="J84">
        <v>7.7874999999999996</v>
      </c>
      <c r="K84" s="1" t="s">
        <v>48</v>
      </c>
      <c r="L84" s="1" t="s">
        <v>28</v>
      </c>
      <c r="M84">
        <v>0</v>
      </c>
      <c r="N84">
        <v>0</v>
      </c>
      <c r="O84">
        <v>1</v>
      </c>
      <c r="P84" t="s">
        <v>1739</v>
      </c>
      <c r="Q84">
        <v>1</v>
      </c>
      <c r="R84">
        <v>0</v>
      </c>
      <c r="S84">
        <v>0</v>
      </c>
      <c r="T84">
        <v>0</v>
      </c>
      <c r="U84">
        <v>0</v>
      </c>
      <c r="V84">
        <f t="shared" si="3"/>
        <v>0.87219584275330231</v>
      </c>
      <c r="W84">
        <f t="shared" si="4"/>
        <v>0.70520240168703408</v>
      </c>
      <c r="X84">
        <f t="shared" si="5"/>
        <v>0.34927042278209691</v>
      </c>
    </row>
    <row r="85" spans="1:24" x14ac:dyDescent="0.25">
      <c r="A85">
        <v>84</v>
      </c>
      <c r="B85">
        <v>0</v>
      </c>
      <c r="C85">
        <v>1</v>
      </c>
      <c r="D85" s="1" t="s">
        <v>196</v>
      </c>
      <c r="E85">
        <v>0</v>
      </c>
      <c r="F85">
        <v>28</v>
      </c>
      <c r="G85">
        <v>0</v>
      </c>
      <c r="H85">
        <v>0</v>
      </c>
      <c r="I85" s="1" t="s">
        <v>197</v>
      </c>
      <c r="J85">
        <v>47.1</v>
      </c>
      <c r="K85" s="1" t="s">
        <v>48</v>
      </c>
      <c r="L85" s="1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  <c r="V85">
        <f t="shared" si="3"/>
        <v>0</v>
      </c>
      <c r="W85">
        <f t="shared" si="4"/>
        <v>0.5</v>
      </c>
      <c r="X85">
        <f t="shared" si="5"/>
        <v>0.69314718055994529</v>
      </c>
    </row>
    <row r="86" spans="1:24" x14ac:dyDescent="0.25">
      <c r="A86">
        <v>85</v>
      </c>
      <c r="B86">
        <v>1</v>
      </c>
      <c r="C86">
        <v>2</v>
      </c>
      <c r="D86" s="1" t="s">
        <v>198</v>
      </c>
      <c r="E86">
        <v>1</v>
      </c>
      <c r="F86">
        <v>17</v>
      </c>
      <c r="G86">
        <v>0</v>
      </c>
      <c r="H86">
        <v>0</v>
      </c>
      <c r="I86" s="1" t="s">
        <v>199</v>
      </c>
      <c r="J86">
        <v>10.5</v>
      </c>
      <c r="K86" s="1" t="s">
        <v>48</v>
      </c>
      <c r="L86" s="1" t="s">
        <v>14</v>
      </c>
      <c r="M86">
        <v>1</v>
      </c>
      <c r="N86">
        <v>0</v>
      </c>
      <c r="O86">
        <v>0</v>
      </c>
      <c r="P86" t="s">
        <v>1739</v>
      </c>
      <c r="Q86">
        <v>1</v>
      </c>
      <c r="R86">
        <v>0</v>
      </c>
      <c r="S86">
        <v>0</v>
      </c>
      <c r="T86">
        <v>0</v>
      </c>
      <c r="U86">
        <v>0</v>
      </c>
      <c r="V86">
        <f t="shared" si="3"/>
        <v>0.87219584275330231</v>
      </c>
      <c r="W86">
        <f t="shared" si="4"/>
        <v>0.70520240168703408</v>
      </c>
      <c r="X86">
        <f t="shared" si="5"/>
        <v>0.34927042278209691</v>
      </c>
    </row>
    <row r="87" spans="1:24" x14ac:dyDescent="0.25">
      <c r="A87">
        <v>86</v>
      </c>
      <c r="B87">
        <v>1</v>
      </c>
      <c r="C87">
        <v>3</v>
      </c>
      <c r="D87" s="1" t="s">
        <v>200</v>
      </c>
      <c r="E87">
        <v>1</v>
      </c>
      <c r="F87">
        <v>33</v>
      </c>
      <c r="G87">
        <v>3</v>
      </c>
      <c r="H87">
        <v>0</v>
      </c>
      <c r="I87" s="1" t="s">
        <v>201</v>
      </c>
      <c r="J87">
        <v>15.85</v>
      </c>
      <c r="K87" s="1" t="s">
        <v>48</v>
      </c>
      <c r="L87" s="1" t="s">
        <v>14</v>
      </c>
      <c r="M87">
        <v>1</v>
      </c>
      <c r="N87">
        <v>0</v>
      </c>
      <c r="O87">
        <v>0</v>
      </c>
      <c r="P87" t="s">
        <v>1740</v>
      </c>
      <c r="Q87">
        <v>0</v>
      </c>
      <c r="R87">
        <v>1</v>
      </c>
      <c r="S87">
        <v>0</v>
      </c>
      <c r="T87">
        <v>0</v>
      </c>
      <c r="U87">
        <v>0</v>
      </c>
      <c r="V87">
        <f t="shared" si="3"/>
        <v>1.3618761518134992</v>
      </c>
      <c r="W87">
        <f t="shared" si="4"/>
        <v>0.79606445234832413</v>
      </c>
      <c r="X87">
        <f t="shared" si="5"/>
        <v>0.22807512612883141</v>
      </c>
    </row>
    <row r="88" spans="1:24" x14ac:dyDescent="0.25">
      <c r="A88">
        <v>87</v>
      </c>
      <c r="B88">
        <v>0</v>
      </c>
      <c r="C88">
        <v>3</v>
      </c>
      <c r="D88" s="1" t="s">
        <v>202</v>
      </c>
      <c r="E88">
        <v>0</v>
      </c>
      <c r="F88">
        <v>16</v>
      </c>
      <c r="G88">
        <v>1</v>
      </c>
      <c r="H88">
        <v>3</v>
      </c>
      <c r="I88" s="1" t="s">
        <v>203</v>
      </c>
      <c r="J88">
        <v>34.375</v>
      </c>
      <c r="K88" s="1" t="s">
        <v>48</v>
      </c>
      <c r="L88" s="1" t="s">
        <v>14</v>
      </c>
      <c r="M88">
        <v>1</v>
      </c>
      <c r="N88">
        <v>0</v>
      </c>
      <c r="O88">
        <v>0</v>
      </c>
      <c r="P88" t="s">
        <v>1741</v>
      </c>
      <c r="Q88">
        <v>0</v>
      </c>
      <c r="R88">
        <v>0</v>
      </c>
      <c r="S88">
        <v>1</v>
      </c>
      <c r="T88">
        <v>0</v>
      </c>
      <c r="U88">
        <v>0</v>
      </c>
      <c r="V88">
        <f t="shared" si="3"/>
        <v>0</v>
      </c>
      <c r="W88">
        <f t="shared" si="4"/>
        <v>0.5</v>
      </c>
      <c r="X88">
        <f t="shared" si="5"/>
        <v>0.69314718055994529</v>
      </c>
    </row>
    <row r="89" spans="1:24" x14ac:dyDescent="0.25">
      <c r="A89">
        <v>88</v>
      </c>
      <c r="B89">
        <v>0</v>
      </c>
      <c r="C89">
        <v>3</v>
      </c>
      <c r="D89" s="1" t="s">
        <v>204</v>
      </c>
      <c r="E89">
        <v>0</v>
      </c>
      <c r="F89" s="1">
        <v>32.180156657963444</v>
      </c>
      <c r="G89">
        <v>0</v>
      </c>
      <c r="H89">
        <v>0</v>
      </c>
      <c r="I89" s="1" t="s">
        <v>205</v>
      </c>
      <c r="J89">
        <v>8.0500000000000007</v>
      </c>
      <c r="K89" s="1" t="s">
        <v>48</v>
      </c>
      <c r="L89" s="1" t="s">
        <v>14</v>
      </c>
      <c r="M89">
        <v>1</v>
      </c>
      <c r="N89">
        <v>0</v>
      </c>
      <c r="O89">
        <v>0</v>
      </c>
      <c r="P89" t="s">
        <v>1741</v>
      </c>
      <c r="Q89">
        <v>0</v>
      </c>
      <c r="R89">
        <v>0</v>
      </c>
      <c r="S89">
        <v>1</v>
      </c>
      <c r="T89">
        <v>0</v>
      </c>
      <c r="U89">
        <v>0</v>
      </c>
      <c r="V89">
        <f t="shared" si="3"/>
        <v>0</v>
      </c>
      <c r="W89">
        <f t="shared" si="4"/>
        <v>0.5</v>
      </c>
      <c r="X89">
        <f t="shared" si="5"/>
        <v>0.69314718055994529</v>
      </c>
    </row>
    <row r="90" spans="1:24" x14ac:dyDescent="0.25">
      <c r="A90">
        <v>89</v>
      </c>
      <c r="B90">
        <v>1</v>
      </c>
      <c r="C90">
        <v>1</v>
      </c>
      <c r="D90" s="1" t="s">
        <v>206</v>
      </c>
      <c r="E90">
        <v>1</v>
      </c>
      <c r="F90">
        <v>23</v>
      </c>
      <c r="G90">
        <v>3</v>
      </c>
      <c r="H90">
        <v>2</v>
      </c>
      <c r="I90" s="1" t="s">
        <v>77</v>
      </c>
      <c r="J90">
        <v>263</v>
      </c>
      <c r="K90" s="1" t="s">
        <v>78</v>
      </c>
      <c r="L90" s="1" t="s">
        <v>14</v>
      </c>
      <c r="M90">
        <v>1</v>
      </c>
      <c r="N90">
        <v>0</v>
      </c>
      <c r="O90">
        <v>0</v>
      </c>
      <c r="P90" t="s">
        <v>1739</v>
      </c>
      <c r="Q90">
        <v>1</v>
      </c>
      <c r="R90">
        <v>0</v>
      </c>
      <c r="S90">
        <v>0</v>
      </c>
      <c r="T90">
        <v>0</v>
      </c>
      <c r="U90">
        <v>0</v>
      </c>
      <c r="V90">
        <f t="shared" si="3"/>
        <v>0.87219584275330231</v>
      </c>
      <c r="W90">
        <f t="shared" si="4"/>
        <v>0.70520240168703408</v>
      </c>
      <c r="X90">
        <f t="shared" si="5"/>
        <v>0.34927042278209691</v>
      </c>
    </row>
    <row r="91" spans="1:24" x14ac:dyDescent="0.25">
      <c r="A91">
        <v>90</v>
      </c>
      <c r="B91">
        <v>0</v>
      </c>
      <c r="C91">
        <v>3</v>
      </c>
      <c r="D91" s="1" t="s">
        <v>207</v>
      </c>
      <c r="E91">
        <v>0</v>
      </c>
      <c r="F91">
        <v>24</v>
      </c>
      <c r="G91">
        <v>0</v>
      </c>
      <c r="H91">
        <v>0</v>
      </c>
      <c r="I91" s="1" t="s">
        <v>208</v>
      </c>
      <c r="J91">
        <v>8.0500000000000007</v>
      </c>
      <c r="K91" s="1" t="s">
        <v>48</v>
      </c>
      <c r="L91" s="1" t="s">
        <v>14</v>
      </c>
      <c r="M91">
        <v>1</v>
      </c>
      <c r="N91">
        <v>0</v>
      </c>
      <c r="O91">
        <v>0</v>
      </c>
      <c r="P91" t="s">
        <v>1741</v>
      </c>
      <c r="Q91">
        <v>0</v>
      </c>
      <c r="R91">
        <v>0</v>
      </c>
      <c r="S91">
        <v>1</v>
      </c>
      <c r="T91">
        <v>0</v>
      </c>
      <c r="U91">
        <v>0</v>
      </c>
      <c r="V91">
        <f t="shared" si="3"/>
        <v>0</v>
      </c>
      <c r="W91">
        <f t="shared" si="4"/>
        <v>0.5</v>
      </c>
      <c r="X91">
        <f t="shared" si="5"/>
        <v>0.69314718055994529</v>
      </c>
    </row>
    <row r="92" spans="1:24" x14ac:dyDescent="0.25">
      <c r="A92">
        <v>91</v>
      </c>
      <c r="B92">
        <v>0</v>
      </c>
      <c r="C92">
        <v>3</v>
      </c>
      <c r="D92" s="1" t="s">
        <v>209</v>
      </c>
      <c r="E92">
        <v>0</v>
      </c>
      <c r="F92">
        <v>29</v>
      </c>
      <c r="G92">
        <v>0</v>
      </c>
      <c r="H92">
        <v>0</v>
      </c>
      <c r="I92" s="1" t="s">
        <v>210</v>
      </c>
      <c r="J92">
        <v>8.0500000000000007</v>
      </c>
      <c r="K92" s="1" t="s">
        <v>48</v>
      </c>
      <c r="L92" s="1" t="s">
        <v>14</v>
      </c>
      <c r="M92">
        <v>1</v>
      </c>
      <c r="N92">
        <v>0</v>
      </c>
      <c r="O92">
        <v>0</v>
      </c>
      <c r="P92" t="s">
        <v>1741</v>
      </c>
      <c r="Q92">
        <v>0</v>
      </c>
      <c r="R92">
        <v>0</v>
      </c>
      <c r="S92">
        <v>1</v>
      </c>
      <c r="T92">
        <v>0</v>
      </c>
      <c r="U92">
        <v>0</v>
      </c>
      <c r="V92">
        <f t="shared" si="3"/>
        <v>0</v>
      </c>
      <c r="W92">
        <f t="shared" si="4"/>
        <v>0.5</v>
      </c>
      <c r="X92">
        <f t="shared" si="5"/>
        <v>0.69314718055994529</v>
      </c>
    </row>
    <row r="93" spans="1:24" x14ac:dyDescent="0.25">
      <c r="A93">
        <v>92</v>
      </c>
      <c r="B93">
        <v>0</v>
      </c>
      <c r="C93">
        <v>3</v>
      </c>
      <c r="D93" s="1" t="s">
        <v>211</v>
      </c>
      <c r="E93">
        <v>0</v>
      </c>
      <c r="F93">
        <v>20</v>
      </c>
      <c r="G93">
        <v>0</v>
      </c>
      <c r="H93">
        <v>0</v>
      </c>
      <c r="I93" s="1" t="s">
        <v>212</v>
      </c>
      <c r="J93">
        <v>7.8541999999999996</v>
      </c>
      <c r="K93" s="1" t="s">
        <v>48</v>
      </c>
      <c r="L93" s="1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  <c r="V93">
        <f t="shared" si="3"/>
        <v>0</v>
      </c>
      <c r="W93">
        <f t="shared" si="4"/>
        <v>0.5</v>
      </c>
      <c r="X93">
        <f t="shared" si="5"/>
        <v>0.69314718055994529</v>
      </c>
    </row>
    <row r="94" spans="1:24" x14ac:dyDescent="0.25">
      <c r="A94">
        <v>93</v>
      </c>
      <c r="B94">
        <v>0</v>
      </c>
      <c r="C94">
        <v>1</v>
      </c>
      <c r="D94" s="1" t="s">
        <v>213</v>
      </c>
      <c r="E94">
        <v>0</v>
      </c>
      <c r="F94">
        <v>46</v>
      </c>
      <c r="G94">
        <v>1</v>
      </c>
      <c r="H94">
        <v>0</v>
      </c>
      <c r="I94" s="1" t="s">
        <v>214</v>
      </c>
      <c r="J94">
        <v>61.174999999999997</v>
      </c>
      <c r="K94" s="1" t="s">
        <v>215</v>
      </c>
      <c r="L94" s="1" t="s">
        <v>14</v>
      </c>
      <c r="M94">
        <v>1</v>
      </c>
      <c r="N94">
        <v>0</v>
      </c>
      <c r="O94">
        <v>0</v>
      </c>
      <c r="P94" t="s">
        <v>1741</v>
      </c>
      <c r="Q94">
        <v>0</v>
      </c>
      <c r="R94">
        <v>0</v>
      </c>
      <c r="S94">
        <v>1</v>
      </c>
      <c r="T94">
        <v>0</v>
      </c>
      <c r="U94">
        <v>0</v>
      </c>
      <c r="V94">
        <f t="shared" si="3"/>
        <v>0</v>
      </c>
      <c r="W94">
        <f t="shared" si="4"/>
        <v>0.5</v>
      </c>
      <c r="X94">
        <f t="shared" si="5"/>
        <v>0.69314718055994529</v>
      </c>
    </row>
    <row r="95" spans="1:24" x14ac:dyDescent="0.25">
      <c r="A95">
        <v>94</v>
      </c>
      <c r="B95">
        <v>0</v>
      </c>
      <c r="C95">
        <v>3</v>
      </c>
      <c r="D95" s="1" t="s">
        <v>216</v>
      </c>
      <c r="E95">
        <v>0</v>
      </c>
      <c r="F95">
        <v>26</v>
      </c>
      <c r="G95">
        <v>1</v>
      </c>
      <c r="H95">
        <v>2</v>
      </c>
      <c r="I95" s="1" t="s">
        <v>217</v>
      </c>
      <c r="J95">
        <v>20.574999999999999</v>
      </c>
      <c r="K95" s="1" t="s">
        <v>48</v>
      </c>
      <c r="L95" s="1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  <c r="V95">
        <f t="shared" si="3"/>
        <v>0</v>
      </c>
      <c r="W95">
        <f t="shared" si="4"/>
        <v>0.5</v>
      </c>
      <c r="X95">
        <f t="shared" si="5"/>
        <v>0.69314718055994529</v>
      </c>
    </row>
    <row r="96" spans="1:24" x14ac:dyDescent="0.25">
      <c r="A96">
        <v>95</v>
      </c>
      <c r="B96">
        <v>0</v>
      </c>
      <c r="C96">
        <v>3</v>
      </c>
      <c r="D96" s="1" t="s">
        <v>218</v>
      </c>
      <c r="E96">
        <v>0</v>
      </c>
      <c r="F96">
        <v>59</v>
      </c>
      <c r="G96">
        <v>0</v>
      </c>
      <c r="H96">
        <v>0</v>
      </c>
      <c r="I96" s="1" t="s">
        <v>219</v>
      </c>
      <c r="J96">
        <v>7.25</v>
      </c>
      <c r="K96" s="1" t="s">
        <v>48</v>
      </c>
      <c r="L96" s="1" t="s">
        <v>14</v>
      </c>
      <c r="M96">
        <v>1</v>
      </c>
      <c r="N96">
        <v>0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  <c r="V96">
        <f t="shared" si="3"/>
        <v>0</v>
      </c>
      <c r="W96">
        <f t="shared" si="4"/>
        <v>0.5</v>
      </c>
      <c r="X96">
        <f t="shared" si="5"/>
        <v>0.69314718055994529</v>
      </c>
    </row>
    <row r="97" spans="1:24" x14ac:dyDescent="0.25">
      <c r="A97">
        <v>96</v>
      </c>
      <c r="B97">
        <v>0</v>
      </c>
      <c r="C97">
        <v>3</v>
      </c>
      <c r="D97" s="1" t="s">
        <v>220</v>
      </c>
      <c r="E97">
        <v>0</v>
      </c>
      <c r="F97" s="1">
        <v>32.180156657963444</v>
      </c>
      <c r="G97">
        <v>0</v>
      </c>
      <c r="H97">
        <v>0</v>
      </c>
      <c r="I97" s="1" t="s">
        <v>221</v>
      </c>
      <c r="J97">
        <v>8.0500000000000007</v>
      </c>
      <c r="K97" s="1" t="s">
        <v>48</v>
      </c>
      <c r="L97" s="1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  <c r="V97">
        <f t="shared" si="3"/>
        <v>0</v>
      </c>
      <c r="W97">
        <f t="shared" si="4"/>
        <v>0.5</v>
      </c>
      <c r="X97">
        <f t="shared" si="5"/>
        <v>0.69314718055994529</v>
      </c>
    </row>
    <row r="98" spans="1:24" x14ac:dyDescent="0.25">
      <c r="A98">
        <v>97</v>
      </c>
      <c r="B98">
        <v>0</v>
      </c>
      <c r="C98">
        <v>1</v>
      </c>
      <c r="D98" s="1" t="s">
        <v>222</v>
      </c>
      <c r="E98">
        <v>0</v>
      </c>
      <c r="F98">
        <v>71</v>
      </c>
      <c r="G98">
        <v>0</v>
      </c>
      <c r="H98">
        <v>0</v>
      </c>
      <c r="I98" s="1" t="s">
        <v>223</v>
      </c>
      <c r="J98">
        <v>34.654200000000003</v>
      </c>
      <c r="K98" s="1" t="s">
        <v>224</v>
      </c>
      <c r="L98" s="1" t="s">
        <v>18</v>
      </c>
      <c r="M98">
        <v>0</v>
      </c>
      <c r="N98">
        <v>1</v>
      </c>
      <c r="O98">
        <v>0</v>
      </c>
      <c r="P98" t="s">
        <v>1741</v>
      </c>
      <c r="Q98">
        <v>0</v>
      </c>
      <c r="R98">
        <v>0</v>
      </c>
      <c r="S98">
        <v>1</v>
      </c>
      <c r="T98">
        <v>0</v>
      </c>
      <c r="U98">
        <v>0</v>
      </c>
      <c r="V98">
        <f t="shared" si="3"/>
        <v>0</v>
      </c>
      <c r="W98">
        <f t="shared" si="4"/>
        <v>0.5</v>
      </c>
      <c r="X98">
        <f t="shared" si="5"/>
        <v>0.69314718055994529</v>
      </c>
    </row>
    <row r="99" spans="1:24" x14ac:dyDescent="0.25">
      <c r="A99">
        <v>98</v>
      </c>
      <c r="B99">
        <v>1</v>
      </c>
      <c r="C99">
        <v>1</v>
      </c>
      <c r="D99" s="1" t="s">
        <v>225</v>
      </c>
      <c r="E99">
        <v>0</v>
      </c>
      <c r="F99">
        <v>23</v>
      </c>
      <c r="G99">
        <v>0</v>
      </c>
      <c r="H99">
        <v>1</v>
      </c>
      <c r="I99" s="1" t="s">
        <v>226</v>
      </c>
      <c r="J99">
        <v>63.3583</v>
      </c>
      <c r="K99" s="1" t="s">
        <v>227</v>
      </c>
      <c r="L99" s="1" t="s">
        <v>18</v>
      </c>
      <c r="M99">
        <v>0</v>
      </c>
      <c r="N99">
        <v>1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  <c r="V99">
        <f t="shared" si="3"/>
        <v>0</v>
      </c>
      <c r="W99">
        <f t="shared" si="4"/>
        <v>0.5</v>
      </c>
      <c r="X99">
        <f t="shared" si="5"/>
        <v>0.69314718055994529</v>
      </c>
    </row>
    <row r="100" spans="1:24" x14ac:dyDescent="0.25">
      <c r="A100">
        <v>99</v>
      </c>
      <c r="B100">
        <v>1</v>
      </c>
      <c r="C100">
        <v>2</v>
      </c>
      <c r="D100" s="1" t="s">
        <v>228</v>
      </c>
      <c r="E100">
        <v>1</v>
      </c>
      <c r="F100">
        <v>34</v>
      </c>
      <c r="G100">
        <v>0</v>
      </c>
      <c r="H100">
        <v>1</v>
      </c>
      <c r="I100" s="1" t="s">
        <v>229</v>
      </c>
      <c r="J100">
        <v>23</v>
      </c>
      <c r="K100" s="1" t="s">
        <v>48</v>
      </c>
      <c r="L100" s="1" t="s">
        <v>14</v>
      </c>
      <c r="M100">
        <v>1</v>
      </c>
      <c r="N100">
        <v>0</v>
      </c>
      <c r="O100">
        <v>0</v>
      </c>
      <c r="P100" t="s">
        <v>1740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f t="shared" si="3"/>
        <v>1.3618761518134992</v>
      </c>
      <c r="W100">
        <f t="shared" si="4"/>
        <v>0.79606445234832413</v>
      </c>
      <c r="X100">
        <f t="shared" si="5"/>
        <v>0.22807512612883141</v>
      </c>
    </row>
    <row r="101" spans="1:24" x14ac:dyDescent="0.25">
      <c r="A101">
        <v>100</v>
      </c>
      <c r="B101">
        <v>0</v>
      </c>
      <c r="C101">
        <v>2</v>
      </c>
      <c r="D101" s="1" t="s">
        <v>230</v>
      </c>
      <c r="E101">
        <v>0</v>
      </c>
      <c r="F101">
        <v>34</v>
      </c>
      <c r="G101">
        <v>1</v>
      </c>
      <c r="H101">
        <v>0</v>
      </c>
      <c r="I101" s="1" t="s">
        <v>231</v>
      </c>
      <c r="J101">
        <v>26</v>
      </c>
      <c r="K101" s="1" t="s">
        <v>48</v>
      </c>
      <c r="L101" s="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f t="shared" si="3"/>
        <v>0</v>
      </c>
      <c r="W101">
        <f t="shared" si="4"/>
        <v>0.5</v>
      </c>
      <c r="X101">
        <f t="shared" si="5"/>
        <v>0.69314718055994529</v>
      </c>
    </row>
    <row r="102" spans="1:24" x14ac:dyDescent="0.25">
      <c r="A102">
        <v>101</v>
      </c>
      <c r="B102">
        <v>0</v>
      </c>
      <c r="C102">
        <v>3</v>
      </c>
      <c r="D102" s="1" t="s">
        <v>232</v>
      </c>
      <c r="E102">
        <v>1</v>
      </c>
      <c r="F102">
        <v>28</v>
      </c>
      <c r="G102">
        <v>0</v>
      </c>
      <c r="H102">
        <v>0</v>
      </c>
      <c r="I102" s="1" t="s">
        <v>233</v>
      </c>
      <c r="J102">
        <v>7.8958000000000004</v>
      </c>
      <c r="K102" s="1" t="s">
        <v>48</v>
      </c>
      <c r="L102" s="1" t="s">
        <v>14</v>
      </c>
      <c r="M102">
        <v>1</v>
      </c>
      <c r="N102">
        <v>0</v>
      </c>
      <c r="O102">
        <v>0</v>
      </c>
      <c r="P102" t="s">
        <v>1739</v>
      </c>
      <c r="Q102">
        <v>1</v>
      </c>
      <c r="R102">
        <v>0</v>
      </c>
      <c r="S102">
        <v>0</v>
      </c>
      <c r="T102">
        <v>0</v>
      </c>
      <c r="U102">
        <v>0</v>
      </c>
      <c r="V102">
        <f t="shared" si="3"/>
        <v>0.87219584275330231</v>
      </c>
      <c r="W102">
        <f t="shared" si="4"/>
        <v>0.70520240168703408</v>
      </c>
      <c r="X102">
        <f t="shared" si="5"/>
        <v>1.2214662655353992</v>
      </c>
    </row>
    <row r="103" spans="1:24" x14ac:dyDescent="0.25">
      <c r="A103">
        <v>102</v>
      </c>
      <c r="B103">
        <v>0</v>
      </c>
      <c r="C103">
        <v>3</v>
      </c>
      <c r="D103" s="1" t="s">
        <v>234</v>
      </c>
      <c r="E103">
        <v>0</v>
      </c>
      <c r="F103" s="1">
        <v>32.180156657963444</v>
      </c>
      <c r="G103">
        <v>0</v>
      </c>
      <c r="H103">
        <v>0</v>
      </c>
      <c r="I103" s="1" t="s">
        <v>235</v>
      </c>
      <c r="J103">
        <v>7.8958000000000004</v>
      </c>
      <c r="K103" s="1" t="s">
        <v>48</v>
      </c>
      <c r="L103" s="1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f t="shared" si="3"/>
        <v>0</v>
      </c>
      <c r="W103">
        <f t="shared" si="4"/>
        <v>0.5</v>
      </c>
      <c r="X103">
        <f t="shared" si="5"/>
        <v>0.69314718055994529</v>
      </c>
    </row>
    <row r="104" spans="1:24" x14ac:dyDescent="0.25">
      <c r="A104">
        <v>103</v>
      </c>
      <c r="B104">
        <v>0</v>
      </c>
      <c r="C104">
        <v>1</v>
      </c>
      <c r="D104" s="1" t="s">
        <v>236</v>
      </c>
      <c r="E104">
        <v>0</v>
      </c>
      <c r="F104">
        <v>21</v>
      </c>
      <c r="G104">
        <v>0</v>
      </c>
      <c r="H104">
        <v>1</v>
      </c>
      <c r="I104" s="1" t="s">
        <v>237</v>
      </c>
      <c r="J104">
        <v>77.287499999999994</v>
      </c>
      <c r="K104" s="1" t="s">
        <v>238</v>
      </c>
      <c r="L104" s="1" t="s">
        <v>14</v>
      </c>
      <c r="M104">
        <v>1</v>
      </c>
      <c r="N104">
        <v>0</v>
      </c>
      <c r="O104">
        <v>0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f t="shared" si="3"/>
        <v>0</v>
      </c>
      <c r="W104">
        <f t="shared" si="4"/>
        <v>0.5</v>
      </c>
      <c r="X104">
        <f t="shared" si="5"/>
        <v>0.69314718055994529</v>
      </c>
    </row>
    <row r="105" spans="1:24" x14ac:dyDescent="0.25">
      <c r="A105">
        <v>104</v>
      </c>
      <c r="B105">
        <v>0</v>
      </c>
      <c r="C105">
        <v>3</v>
      </c>
      <c r="D105" s="1" t="s">
        <v>239</v>
      </c>
      <c r="E105">
        <v>0</v>
      </c>
      <c r="F105">
        <v>33</v>
      </c>
      <c r="G105">
        <v>0</v>
      </c>
      <c r="H105">
        <v>0</v>
      </c>
      <c r="I105" s="1" t="s">
        <v>240</v>
      </c>
      <c r="J105">
        <v>8.6541999999999994</v>
      </c>
      <c r="K105" s="1" t="s">
        <v>48</v>
      </c>
      <c r="L105" s="1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f t="shared" si="3"/>
        <v>0</v>
      </c>
      <c r="W105">
        <f t="shared" si="4"/>
        <v>0.5</v>
      </c>
      <c r="X105">
        <f t="shared" si="5"/>
        <v>0.69314718055994529</v>
      </c>
    </row>
    <row r="106" spans="1:24" x14ac:dyDescent="0.25">
      <c r="A106">
        <v>105</v>
      </c>
      <c r="B106">
        <v>0</v>
      </c>
      <c r="C106">
        <v>3</v>
      </c>
      <c r="D106" s="1" t="s">
        <v>241</v>
      </c>
      <c r="E106">
        <v>0</v>
      </c>
      <c r="F106">
        <v>37</v>
      </c>
      <c r="G106">
        <v>2</v>
      </c>
      <c r="H106">
        <v>0</v>
      </c>
      <c r="I106" s="1" t="s">
        <v>242</v>
      </c>
      <c r="J106">
        <v>7.9249999999999998</v>
      </c>
      <c r="K106" s="1" t="s">
        <v>48</v>
      </c>
      <c r="L106" s="1" t="s">
        <v>14</v>
      </c>
      <c r="M106">
        <v>1</v>
      </c>
      <c r="N106">
        <v>0</v>
      </c>
      <c r="O106">
        <v>0</v>
      </c>
      <c r="P106" t="s">
        <v>1741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f t="shared" si="3"/>
        <v>0</v>
      </c>
      <c r="W106">
        <f t="shared" si="4"/>
        <v>0.5</v>
      </c>
      <c r="X106">
        <f t="shared" si="5"/>
        <v>0.69314718055994529</v>
      </c>
    </row>
    <row r="107" spans="1:24" x14ac:dyDescent="0.25">
      <c r="A107">
        <v>106</v>
      </c>
      <c r="B107">
        <v>0</v>
      </c>
      <c r="C107">
        <v>3</v>
      </c>
      <c r="D107" s="1" t="s">
        <v>243</v>
      </c>
      <c r="E107">
        <v>0</v>
      </c>
      <c r="F107">
        <v>28</v>
      </c>
      <c r="G107">
        <v>0</v>
      </c>
      <c r="H107">
        <v>0</v>
      </c>
      <c r="I107" s="1" t="s">
        <v>244</v>
      </c>
      <c r="J107">
        <v>7.8958000000000004</v>
      </c>
      <c r="K107" s="1" t="s">
        <v>48</v>
      </c>
      <c r="L107" s="1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f t="shared" si="3"/>
        <v>0</v>
      </c>
      <c r="W107">
        <f t="shared" si="4"/>
        <v>0.5</v>
      </c>
      <c r="X107">
        <f t="shared" si="5"/>
        <v>0.69314718055994529</v>
      </c>
    </row>
    <row r="108" spans="1:24" x14ac:dyDescent="0.25">
      <c r="A108">
        <v>107</v>
      </c>
      <c r="B108">
        <v>1</v>
      </c>
      <c r="C108">
        <v>3</v>
      </c>
      <c r="D108" s="1" t="s">
        <v>245</v>
      </c>
      <c r="E108">
        <v>1</v>
      </c>
      <c r="F108">
        <v>21</v>
      </c>
      <c r="G108">
        <v>0</v>
      </c>
      <c r="H108">
        <v>0</v>
      </c>
      <c r="I108" s="1" t="s">
        <v>246</v>
      </c>
      <c r="J108">
        <v>7.65</v>
      </c>
      <c r="K108" s="1" t="s">
        <v>48</v>
      </c>
      <c r="L108" s="1" t="s">
        <v>14</v>
      </c>
      <c r="M108">
        <v>1</v>
      </c>
      <c r="N108">
        <v>0</v>
      </c>
      <c r="O108">
        <v>0</v>
      </c>
      <c r="P108" t="s">
        <v>1739</v>
      </c>
      <c r="Q108">
        <v>1</v>
      </c>
      <c r="R108">
        <v>0</v>
      </c>
      <c r="S108">
        <v>0</v>
      </c>
      <c r="T108">
        <v>0</v>
      </c>
      <c r="U108">
        <v>0</v>
      </c>
      <c r="V108">
        <f t="shared" si="3"/>
        <v>0.87219584275330231</v>
      </c>
      <c r="W108">
        <f t="shared" si="4"/>
        <v>0.70520240168703408</v>
      </c>
      <c r="X108">
        <f t="shared" si="5"/>
        <v>0.34927042278209691</v>
      </c>
    </row>
    <row r="109" spans="1:24" x14ac:dyDescent="0.25">
      <c r="A109">
        <v>108</v>
      </c>
      <c r="B109">
        <v>1</v>
      </c>
      <c r="C109">
        <v>3</v>
      </c>
      <c r="D109" s="1" t="s">
        <v>247</v>
      </c>
      <c r="E109">
        <v>0</v>
      </c>
      <c r="F109" s="1">
        <v>32.180156657963444</v>
      </c>
      <c r="G109">
        <v>0</v>
      </c>
      <c r="H109">
        <v>0</v>
      </c>
      <c r="I109" s="1" t="s">
        <v>248</v>
      </c>
      <c r="J109">
        <v>7.7750000000000004</v>
      </c>
      <c r="K109" s="1" t="s">
        <v>48</v>
      </c>
      <c r="L109" s="1" t="s">
        <v>14</v>
      </c>
      <c r="M109">
        <v>1</v>
      </c>
      <c r="N109">
        <v>0</v>
      </c>
      <c r="O109">
        <v>0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f t="shared" si="3"/>
        <v>0</v>
      </c>
      <c r="W109">
        <f t="shared" si="4"/>
        <v>0.5</v>
      </c>
      <c r="X109">
        <f t="shared" si="5"/>
        <v>0.69314718055994529</v>
      </c>
    </row>
    <row r="110" spans="1:24" x14ac:dyDescent="0.25">
      <c r="A110">
        <v>109</v>
      </c>
      <c r="B110">
        <v>0</v>
      </c>
      <c r="C110">
        <v>3</v>
      </c>
      <c r="D110" s="1" t="s">
        <v>249</v>
      </c>
      <c r="E110">
        <v>0</v>
      </c>
      <c r="F110">
        <v>38</v>
      </c>
      <c r="G110">
        <v>0</v>
      </c>
      <c r="H110">
        <v>0</v>
      </c>
      <c r="I110" s="1" t="s">
        <v>250</v>
      </c>
      <c r="J110">
        <v>7.8958000000000004</v>
      </c>
      <c r="K110" s="1" t="s">
        <v>48</v>
      </c>
      <c r="L110" s="1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f t="shared" si="3"/>
        <v>0</v>
      </c>
      <c r="W110">
        <f t="shared" si="4"/>
        <v>0.5</v>
      </c>
      <c r="X110">
        <f t="shared" si="5"/>
        <v>0.69314718055994529</v>
      </c>
    </row>
    <row r="111" spans="1:24" x14ac:dyDescent="0.25">
      <c r="A111">
        <v>110</v>
      </c>
      <c r="B111">
        <v>1</v>
      </c>
      <c r="C111">
        <v>3</v>
      </c>
      <c r="D111" s="1" t="s">
        <v>251</v>
      </c>
      <c r="E111">
        <v>1</v>
      </c>
      <c r="F111" s="1">
        <v>21.98581560283688</v>
      </c>
      <c r="G111">
        <v>1</v>
      </c>
      <c r="H111">
        <v>0</v>
      </c>
      <c r="I111" s="1" t="s">
        <v>252</v>
      </c>
      <c r="J111">
        <v>24.15</v>
      </c>
      <c r="K111" s="1" t="s">
        <v>48</v>
      </c>
      <c r="L111" s="1" t="s">
        <v>28</v>
      </c>
      <c r="M111">
        <v>0</v>
      </c>
      <c r="N111">
        <v>0</v>
      </c>
      <c r="O111">
        <v>1</v>
      </c>
      <c r="P111" t="s">
        <v>1739</v>
      </c>
      <c r="Q111">
        <v>1</v>
      </c>
      <c r="R111">
        <v>0</v>
      </c>
      <c r="S111">
        <v>0</v>
      </c>
      <c r="T111">
        <v>0</v>
      </c>
      <c r="U111">
        <v>0</v>
      </c>
      <c r="V111">
        <f t="shared" si="3"/>
        <v>0.87219584275330231</v>
      </c>
      <c r="W111">
        <f t="shared" si="4"/>
        <v>0.70520240168703408</v>
      </c>
      <c r="X111">
        <f t="shared" si="5"/>
        <v>0.34927042278209691</v>
      </c>
    </row>
    <row r="112" spans="1:24" x14ac:dyDescent="0.25">
      <c r="A112">
        <v>111</v>
      </c>
      <c r="B112">
        <v>0</v>
      </c>
      <c r="C112">
        <v>1</v>
      </c>
      <c r="D112" s="1" t="s">
        <v>253</v>
      </c>
      <c r="E112">
        <v>0</v>
      </c>
      <c r="F112">
        <v>47</v>
      </c>
      <c r="G112">
        <v>0</v>
      </c>
      <c r="H112">
        <v>0</v>
      </c>
      <c r="I112" s="1" t="s">
        <v>254</v>
      </c>
      <c r="J112">
        <v>52</v>
      </c>
      <c r="K112" s="1" t="s">
        <v>255</v>
      </c>
      <c r="L112" s="1" t="s">
        <v>14</v>
      </c>
      <c r="M112">
        <v>1</v>
      </c>
      <c r="N112">
        <v>0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f t="shared" si="3"/>
        <v>0</v>
      </c>
      <c r="W112">
        <f t="shared" si="4"/>
        <v>0.5</v>
      </c>
      <c r="X112">
        <f t="shared" si="5"/>
        <v>0.69314718055994529</v>
      </c>
    </row>
    <row r="113" spans="1:24" x14ac:dyDescent="0.25">
      <c r="A113">
        <v>112</v>
      </c>
      <c r="B113">
        <v>0</v>
      </c>
      <c r="C113">
        <v>3</v>
      </c>
      <c r="D113" s="1" t="s">
        <v>256</v>
      </c>
      <c r="E113">
        <v>1</v>
      </c>
      <c r="F113" s="1">
        <v>21.98581560283688</v>
      </c>
      <c r="G113">
        <v>1</v>
      </c>
      <c r="H113">
        <v>0</v>
      </c>
      <c r="I113" s="1" t="s">
        <v>257</v>
      </c>
      <c r="J113">
        <v>14.4542</v>
      </c>
      <c r="K113" s="1" t="s">
        <v>48</v>
      </c>
      <c r="L113" s="1" t="s">
        <v>18</v>
      </c>
      <c r="M113">
        <v>0</v>
      </c>
      <c r="N113">
        <v>1</v>
      </c>
      <c r="O113">
        <v>0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  <c r="V113">
        <f t="shared" si="3"/>
        <v>0.87219584275330231</v>
      </c>
      <c r="W113">
        <f t="shared" si="4"/>
        <v>0.70520240168703408</v>
      </c>
      <c r="X113">
        <f t="shared" si="5"/>
        <v>1.2214662655353992</v>
      </c>
    </row>
    <row r="114" spans="1:24" x14ac:dyDescent="0.25">
      <c r="A114">
        <v>113</v>
      </c>
      <c r="B114">
        <v>0</v>
      </c>
      <c r="C114">
        <v>3</v>
      </c>
      <c r="D114" s="1" t="s">
        <v>258</v>
      </c>
      <c r="E114">
        <v>0</v>
      </c>
      <c r="F114">
        <v>22</v>
      </c>
      <c r="G114">
        <v>0</v>
      </c>
      <c r="H114">
        <v>0</v>
      </c>
      <c r="I114" s="1" t="s">
        <v>259</v>
      </c>
      <c r="J114">
        <v>8.0500000000000007</v>
      </c>
      <c r="K114" s="1" t="s">
        <v>48</v>
      </c>
      <c r="L114" s="1" t="s">
        <v>14</v>
      </c>
      <c r="M114">
        <v>1</v>
      </c>
      <c r="N114">
        <v>0</v>
      </c>
      <c r="O114">
        <v>0</v>
      </c>
      <c r="P114" t="s">
        <v>1741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f t="shared" si="3"/>
        <v>0</v>
      </c>
      <c r="W114">
        <f t="shared" si="4"/>
        <v>0.5</v>
      </c>
      <c r="X114">
        <f t="shared" si="5"/>
        <v>0.69314718055994529</v>
      </c>
    </row>
    <row r="115" spans="1:24" x14ac:dyDescent="0.25">
      <c r="A115">
        <v>114</v>
      </c>
      <c r="B115">
        <v>0</v>
      </c>
      <c r="C115">
        <v>3</v>
      </c>
      <c r="D115" s="1" t="s">
        <v>260</v>
      </c>
      <c r="E115">
        <v>1</v>
      </c>
      <c r="F115">
        <v>20</v>
      </c>
      <c r="G115">
        <v>1</v>
      </c>
      <c r="H115">
        <v>0</v>
      </c>
      <c r="I115" s="1" t="s">
        <v>261</v>
      </c>
      <c r="J115">
        <v>9.8249999999999993</v>
      </c>
      <c r="K115" s="1" t="s">
        <v>48</v>
      </c>
      <c r="L115" s="1" t="s">
        <v>14</v>
      </c>
      <c r="M115">
        <v>1</v>
      </c>
      <c r="N115">
        <v>0</v>
      </c>
      <c r="O115">
        <v>0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  <c r="V115">
        <f t="shared" si="3"/>
        <v>0.87219584275330231</v>
      </c>
      <c r="W115">
        <f t="shared" si="4"/>
        <v>0.70520240168703408</v>
      </c>
      <c r="X115">
        <f t="shared" si="5"/>
        <v>1.2214662655353992</v>
      </c>
    </row>
    <row r="116" spans="1:24" x14ac:dyDescent="0.25">
      <c r="A116">
        <v>115</v>
      </c>
      <c r="B116">
        <v>0</v>
      </c>
      <c r="C116">
        <v>3</v>
      </c>
      <c r="D116" s="1" t="s">
        <v>262</v>
      </c>
      <c r="E116">
        <v>1</v>
      </c>
      <c r="F116">
        <v>17</v>
      </c>
      <c r="G116">
        <v>0</v>
      </c>
      <c r="H116">
        <v>0</v>
      </c>
      <c r="I116" s="1" t="s">
        <v>263</v>
      </c>
      <c r="J116">
        <v>14.458299999999999</v>
      </c>
      <c r="K116" s="1" t="s">
        <v>48</v>
      </c>
      <c r="L116" s="1" t="s">
        <v>18</v>
      </c>
      <c r="M116">
        <v>0</v>
      </c>
      <c r="N116">
        <v>1</v>
      </c>
      <c r="O116">
        <v>0</v>
      </c>
      <c r="P116" t="s">
        <v>1739</v>
      </c>
      <c r="Q116">
        <v>1</v>
      </c>
      <c r="R116">
        <v>0</v>
      </c>
      <c r="S116">
        <v>0</v>
      </c>
      <c r="T116">
        <v>0</v>
      </c>
      <c r="U116">
        <v>0</v>
      </c>
      <c r="V116">
        <f t="shared" si="3"/>
        <v>0.87219584275330231</v>
      </c>
      <c r="W116">
        <f t="shared" si="4"/>
        <v>0.70520240168703408</v>
      </c>
      <c r="X116">
        <f t="shared" si="5"/>
        <v>1.2214662655353992</v>
      </c>
    </row>
    <row r="117" spans="1:24" x14ac:dyDescent="0.25">
      <c r="A117">
        <v>116</v>
      </c>
      <c r="B117">
        <v>0</v>
      </c>
      <c r="C117">
        <v>3</v>
      </c>
      <c r="D117" s="1" t="s">
        <v>264</v>
      </c>
      <c r="E117">
        <v>0</v>
      </c>
      <c r="F117">
        <v>21</v>
      </c>
      <c r="G117">
        <v>0</v>
      </c>
      <c r="H117">
        <v>0</v>
      </c>
      <c r="I117" s="1" t="s">
        <v>265</v>
      </c>
      <c r="J117">
        <v>7.9249999999999998</v>
      </c>
      <c r="K117" s="1" t="s">
        <v>48</v>
      </c>
      <c r="L117" s="1" t="s">
        <v>14</v>
      </c>
      <c r="M117">
        <v>1</v>
      </c>
      <c r="N117">
        <v>0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f t="shared" si="3"/>
        <v>0</v>
      </c>
      <c r="W117">
        <f t="shared" si="4"/>
        <v>0.5</v>
      </c>
      <c r="X117">
        <f t="shared" si="5"/>
        <v>0.69314718055994529</v>
      </c>
    </row>
    <row r="118" spans="1:24" x14ac:dyDescent="0.25">
      <c r="A118">
        <v>117</v>
      </c>
      <c r="B118">
        <v>0</v>
      </c>
      <c r="C118">
        <v>3</v>
      </c>
      <c r="D118" s="1" t="s">
        <v>266</v>
      </c>
      <c r="E118">
        <v>0</v>
      </c>
      <c r="F118" s="1">
        <v>32.180156657963444</v>
      </c>
      <c r="G118">
        <v>0</v>
      </c>
      <c r="H118">
        <v>0</v>
      </c>
      <c r="I118" s="1" t="s">
        <v>267</v>
      </c>
      <c r="J118">
        <v>7.75</v>
      </c>
      <c r="K118" s="1" t="s">
        <v>48</v>
      </c>
      <c r="L118" s="1" t="s">
        <v>28</v>
      </c>
      <c r="M118">
        <v>0</v>
      </c>
      <c r="N118">
        <v>0</v>
      </c>
      <c r="O118">
        <v>1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f t="shared" si="3"/>
        <v>0</v>
      </c>
      <c r="W118">
        <f t="shared" si="4"/>
        <v>0.5</v>
      </c>
      <c r="X118">
        <f t="shared" si="5"/>
        <v>0.69314718055994529</v>
      </c>
    </row>
    <row r="119" spans="1:24" x14ac:dyDescent="0.25">
      <c r="A119">
        <v>118</v>
      </c>
      <c r="B119">
        <v>0</v>
      </c>
      <c r="C119">
        <v>2</v>
      </c>
      <c r="D119" s="1" t="s">
        <v>268</v>
      </c>
      <c r="E119">
        <v>0</v>
      </c>
      <c r="F119">
        <v>29</v>
      </c>
      <c r="G119">
        <v>1</v>
      </c>
      <c r="H119">
        <v>0</v>
      </c>
      <c r="I119" s="1" t="s">
        <v>107</v>
      </c>
      <c r="J119">
        <v>21</v>
      </c>
      <c r="K119" s="1" t="s">
        <v>48</v>
      </c>
      <c r="L119" s="1" t="s">
        <v>14</v>
      </c>
      <c r="M119">
        <v>1</v>
      </c>
      <c r="N119">
        <v>0</v>
      </c>
      <c r="O119">
        <v>0</v>
      </c>
      <c r="P119" t="s">
        <v>1741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f t="shared" si="3"/>
        <v>0</v>
      </c>
      <c r="W119">
        <f t="shared" si="4"/>
        <v>0.5</v>
      </c>
      <c r="X119">
        <f t="shared" si="5"/>
        <v>0.69314718055994529</v>
      </c>
    </row>
    <row r="120" spans="1:24" x14ac:dyDescent="0.25">
      <c r="A120">
        <v>119</v>
      </c>
      <c r="B120">
        <v>0</v>
      </c>
      <c r="C120">
        <v>1</v>
      </c>
      <c r="D120" s="1" t="s">
        <v>269</v>
      </c>
      <c r="E120">
        <v>0</v>
      </c>
      <c r="F120">
        <v>24</v>
      </c>
      <c r="G120">
        <v>0</v>
      </c>
      <c r="H120">
        <v>1</v>
      </c>
      <c r="I120" s="1" t="s">
        <v>270</v>
      </c>
      <c r="J120">
        <v>247.52080000000001</v>
      </c>
      <c r="K120" s="1" t="s">
        <v>271</v>
      </c>
      <c r="L120" s="1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f t="shared" si="3"/>
        <v>0</v>
      </c>
      <c r="W120">
        <f t="shared" si="4"/>
        <v>0.5</v>
      </c>
      <c r="X120">
        <f t="shared" si="5"/>
        <v>0.69314718055994529</v>
      </c>
    </row>
    <row r="121" spans="1:24" x14ac:dyDescent="0.25">
      <c r="A121">
        <v>120</v>
      </c>
      <c r="B121">
        <v>0</v>
      </c>
      <c r="C121">
        <v>3</v>
      </c>
      <c r="D121" s="1" t="s">
        <v>272</v>
      </c>
      <c r="E121">
        <v>1</v>
      </c>
      <c r="F121">
        <v>2</v>
      </c>
      <c r="G121">
        <v>4</v>
      </c>
      <c r="H121">
        <v>2</v>
      </c>
      <c r="I121" s="1" t="s">
        <v>47</v>
      </c>
      <c r="J121">
        <v>31.274999999999999</v>
      </c>
      <c r="K121" s="1" t="s">
        <v>48</v>
      </c>
      <c r="L121" s="1" t="s">
        <v>14</v>
      </c>
      <c r="M121">
        <v>1</v>
      </c>
      <c r="N121">
        <v>0</v>
      </c>
      <c r="O121">
        <v>0</v>
      </c>
      <c r="P121" t="s">
        <v>1739</v>
      </c>
      <c r="Q121">
        <v>1</v>
      </c>
      <c r="R121">
        <v>0</v>
      </c>
      <c r="S121">
        <v>0</v>
      </c>
      <c r="T121">
        <v>0</v>
      </c>
      <c r="U121">
        <v>0</v>
      </c>
      <c r="V121">
        <f t="shared" si="3"/>
        <v>0.87219584275330231</v>
      </c>
      <c r="W121">
        <f t="shared" si="4"/>
        <v>0.70520240168703408</v>
      </c>
      <c r="X121">
        <f t="shared" si="5"/>
        <v>1.2214662655353992</v>
      </c>
    </row>
    <row r="122" spans="1:24" x14ac:dyDescent="0.25">
      <c r="A122">
        <v>121</v>
      </c>
      <c r="B122">
        <v>0</v>
      </c>
      <c r="C122">
        <v>2</v>
      </c>
      <c r="D122" s="1" t="s">
        <v>273</v>
      </c>
      <c r="E122">
        <v>0</v>
      </c>
      <c r="F122">
        <v>21</v>
      </c>
      <c r="G122">
        <v>2</v>
      </c>
      <c r="H122">
        <v>0</v>
      </c>
      <c r="I122" s="1" t="s">
        <v>174</v>
      </c>
      <c r="J122">
        <v>73.5</v>
      </c>
      <c r="K122" s="1" t="s">
        <v>48</v>
      </c>
      <c r="L122" s="1" t="s">
        <v>14</v>
      </c>
      <c r="M122">
        <v>1</v>
      </c>
      <c r="N122">
        <v>0</v>
      </c>
      <c r="O122">
        <v>0</v>
      </c>
      <c r="P122" t="s">
        <v>1741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f t="shared" si="3"/>
        <v>0</v>
      </c>
      <c r="W122">
        <f t="shared" si="4"/>
        <v>0.5</v>
      </c>
      <c r="X122">
        <f t="shared" si="5"/>
        <v>0.69314718055994529</v>
      </c>
    </row>
    <row r="123" spans="1:24" x14ac:dyDescent="0.25">
      <c r="A123">
        <v>122</v>
      </c>
      <c r="B123">
        <v>0</v>
      </c>
      <c r="C123">
        <v>3</v>
      </c>
      <c r="D123" s="1" t="s">
        <v>274</v>
      </c>
      <c r="E123">
        <v>0</v>
      </c>
      <c r="F123" s="1">
        <v>32.180156657963444</v>
      </c>
      <c r="G123">
        <v>0</v>
      </c>
      <c r="H123">
        <v>0</v>
      </c>
      <c r="I123" s="1" t="s">
        <v>275</v>
      </c>
      <c r="J123">
        <v>8.0500000000000007</v>
      </c>
      <c r="K123" s="1" t="s">
        <v>48</v>
      </c>
      <c r="L123" s="1" t="s">
        <v>14</v>
      </c>
      <c r="M123">
        <v>1</v>
      </c>
      <c r="N123">
        <v>0</v>
      </c>
      <c r="O123">
        <v>0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f t="shared" si="3"/>
        <v>0</v>
      </c>
      <c r="W123">
        <f t="shared" si="4"/>
        <v>0.5</v>
      </c>
      <c r="X123">
        <f t="shared" si="5"/>
        <v>0.69314718055994529</v>
      </c>
    </row>
    <row r="124" spans="1:24" x14ac:dyDescent="0.25">
      <c r="A124">
        <v>123</v>
      </c>
      <c r="B124">
        <v>0</v>
      </c>
      <c r="C124">
        <v>2</v>
      </c>
      <c r="D124" s="1" t="s">
        <v>276</v>
      </c>
      <c r="E124">
        <v>0</v>
      </c>
      <c r="F124" s="1">
        <v>32.180156657963444</v>
      </c>
      <c r="G124">
        <v>1</v>
      </c>
      <c r="H124">
        <v>0</v>
      </c>
      <c r="I124" s="1" t="s">
        <v>37</v>
      </c>
      <c r="J124">
        <v>30.070799999999998</v>
      </c>
      <c r="K124" s="1" t="s">
        <v>48</v>
      </c>
      <c r="L124" s="1" t="s">
        <v>18</v>
      </c>
      <c r="M124">
        <v>0</v>
      </c>
      <c r="N124">
        <v>1</v>
      </c>
      <c r="O124">
        <v>0</v>
      </c>
      <c r="P124" t="s">
        <v>1741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f t="shared" si="3"/>
        <v>0</v>
      </c>
      <c r="W124">
        <f t="shared" si="4"/>
        <v>0.5</v>
      </c>
      <c r="X124">
        <f t="shared" si="5"/>
        <v>0.69314718055994529</v>
      </c>
    </row>
    <row r="125" spans="1:24" x14ac:dyDescent="0.25">
      <c r="A125">
        <v>124</v>
      </c>
      <c r="B125">
        <v>1</v>
      </c>
      <c r="C125">
        <v>2</v>
      </c>
      <c r="D125" s="1" t="s">
        <v>277</v>
      </c>
      <c r="E125">
        <v>1</v>
      </c>
      <c r="F125" s="1">
        <v>21.98581560283688</v>
      </c>
      <c r="G125">
        <v>0</v>
      </c>
      <c r="H125">
        <v>0</v>
      </c>
      <c r="I125" s="1" t="s">
        <v>278</v>
      </c>
      <c r="J125">
        <v>13</v>
      </c>
      <c r="K125" s="1" t="s">
        <v>279</v>
      </c>
      <c r="L125" s="1" t="s">
        <v>14</v>
      </c>
      <c r="M125">
        <v>1</v>
      </c>
      <c r="N125">
        <v>0</v>
      </c>
      <c r="O125">
        <v>0</v>
      </c>
      <c r="P125" t="s">
        <v>1739</v>
      </c>
      <c r="Q125">
        <v>1</v>
      </c>
      <c r="R125">
        <v>0</v>
      </c>
      <c r="S125">
        <v>0</v>
      </c>
      <c r="T125">
        <v>0</v>
      </c>
      <c r="U125">
        <v>0</v>
      </c>
      <c r="V125">
        <f t="shared" si="3"/>
        <v>0.87219584275330231</v>
      </c>
      <c r="W125">
        <f t="shared" si="4"/>
        <v>0.70520240168703408</v>
      </c>
      <c r="X125">
        <f t="shared" si="5"/>
        <v>0.34927042278209691</v>
      </c>
    </row>
    <row r="126" spans="1:24" x14ac:dyDescent="0.25">
      <c r="A126">
        <v>125</v>
      </c>
      <c r="B126">
        <v>0</v>
      </c>
      <c r="C126">
        <v>1</v>
      </c>
      <c r="D126" s="1" t="s">
        <v>280</v>
      </c>
      <c r="E126">
        <v>0</v>
      </c>
      <c r="F126">
        <v>54</v>
      </c>
      <c r="G126">
        <v>0</v>
      </c>
      <c r="H126">
        <v>1</v>
      </c>
      <c r="I126" s="1" t="s">
        <v>237</v>
      </c>
      <c r="J126">
        <v>77.287499999999994</v>
      </c>
      <c r="K126" s="1" t="s">
        <v>238</v>
      </c>
      <c r="L126" s="1" t="s">
        <v>14</v>
      </c>
      <c r="M126">
        <v>1</v>
      </c>
      <c r="N126">
        <v>0</v>
      </c>
      <c r="O126">
        <v>0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f t="shared" si="3"/>
        <v>0</v>
      </c>
      <c r="W126">
        <f t="shared" si="4"/>
        <v>0.5</v>
      </c>
      <c r="X126">
        <f t="shared" si="5"/>
        <v>0.69314718055994529</v>
      </c>
    </row>
    <row r="127" spans="1:24" x14ac:dyDescent="0.25">
      <c r="A127">
        <v>126</v>
      </c>
      <c r="B127">
        <v>1</v>
      </c>
      <c r="C127">
        <v>3</v>
      </c>
      <c r="D127" s="1" t="s">
        <v>281</v>
      </c>
      <c r="E127">
        <v>0</v>
      </c>
      <c r="F127">
        <v>12</v>
      </c>
      <c r="G127">
        <v>1</v>
      </c>
      <c r="H127">
        <v>0</v>
      </c>
      <c r="I127" s="1" t="s">
        <v>103</v>
      </c>
      <c r="J127">
        <v>11.2417</v>
      </c>
      <c r="K127" s="1" t="s">
        <v>48</v>
      </c>
      <c r="L127" s="1" t="s">
        <v>18</v>
      </c>
      <c r="M127">
        <v>0</v>
      </c>
      <c r="N127">
        <v>1</v>
      </c>
      <c r="O127">
        <v>0</v>
      </c>
      <c r="P127" t="s">
        <v>1742</v>
      </c>
      <c r="Q127">
        <v>0</v>
      </c>
      <c r="R127">
        <v>0</v>
      </c>
      <c r="S127">
        <v>0</v>
      </c>
      <c r="T127">
        <v>1</v>
      </c>
      <c r="U127">
        <v>0</v>
      </c>
      <c r="V127">
        <f t="shared" si="3"/>
        <v>0.21766252466937555</v>
      </c>
      <c r="W127">
        <f t="shared" si="4"/>
        <v>0.55420180681382414</v>
      </c>
      <c r="X127">
        <f t="shared" si="5"/>
        <v>0.59022638633875368</v>
      </c>
    </row>
    <row r="128" spans="1:24" x14ac:dyDescent="0.25">
      <c r="A128">
        <v>127</v>
      </c>
      <c r="B128">
        <v>0</v>
      </c>
      <c r="C128">
        <v>3</v>
      </c>
      <c r="D128" s="1" t="s">
        <v>282</v>
      </c>
      <c r="E128">
        <v>0</v>
      </c>
      <c r="F128" s="1">
        <v>32.180156657963444</v>
      </c>
      <c r="G128">
        <v>0</v>
      </c>
      <c r="H128">
        <v>0</v>
      </c>
      <c r="I128" s="1" t="s">
        <v>283</v>
      </c>
      <c r="J128">
        <v>7.75</v>
      </c>
      <c r="K128" s="1" t="s">
        <v>48</v>
      </c>
      <c r="L128" s="1" t="s">
        <v>28</v>
      </c>
      <c r="M128">
        <v>0</v>
      </c>
      <c r="N128">
        <v>0</v>
      </c>
      <c r="O128">
        <v>1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f t="shared" si="3"/>
        <v>0</v>
      </c>
      <c r="W128">
        <f t="shared" si="4"/>
        <v>0.5</v>
      </c>
      <c r="X128">
        <f t="shared" si="5"/>
        <v>0.69314718055994529</v>
      </c>
    </row>
    <row r="129" spans="1:24" x14ac:dyDescent="0.25">
      <c r="A129">
        <v>128</v>
      </c>
      <c r="B129">
        <v>1</v>
      </c>
      <c r="C129">
        <v>3</v>
      </c>
      <c r="D129" s="1" t="s">
        <v>284</v>
      </c>
      <c r="E129">
        <v>0</v>
      </c>
      <c r="F129">
        <v>24</v>
      </c>
      <c r="G129">
        <v>0</v>
      </c>
      <c r="H129">
        <v>0</v>
      </c>
      <c r="I129" s="1" t="s">
        <v>285</v>
      </c>
      <c r="J129">
        <v>7.1417000000000002</v>
      </c>
      <c r="K129" s="1" t="s">
        <v>48</v>
      </c>
      <c r="L129" s="1" t="s">
        <v>14</v>
      </c>
      <c r="M129">
        <v>1</v>
      </c>
      <c r="N129">
        <v>0</v>
      </c>
      <c r="O129">
        <v>0</v>
      </c>
      <c r="P129" t="s">
        <v>1741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f t="shared" si="3"/>
        <v>0</v>
      </c>
      <c r="W129">
        <f t="shared" si="4"/>
        <v>0.5</v>
      </c>
      <c r="X129">
        <f t="shared" si="5"/>
        <v>0.69314718055994529</v>
      </c>
    </row>
    <row r="130" spans="1:24" x14ac:dyDescent="0.25">
      <c r="A130">
        <v>129</v>
      </c>
      <c r="B130">
        <v>1</v>
      </c>
      <c r="C130">
        <v>3</v>
      </c>
      <c r="D130" s="1" t="s">
        <v>286</v>
      </c>
      <c r="E130">
        <v>1</v>
      </c>
      <c r="F130" s="1">
        <v>21.98581560283688</v>
      </c>
      <c r="G130">
        <v>1</v>
      </c>
      <c r="H130">
        <v>1</v>
      </c>
      <c r="I130" s="1" t="s">
        <v>287</v>
      </c>
      <c r="J130">
        <v>22.3583</v>
      </c>
      <c r="K130" s="1" t="s">
        <v>288</v>
      </c>
      <c r="L130" s="1" t="s">
        <v>18</v>
      </c>
      <c r="M130">
        <v>0</v>
      </c>
      <c r="N130">
        <v>1</v>
      </c>
      <c r="O130">
        <v>0</v>
      </c>
      <c r="P130" t="s">
        <v>1739</v>
      </c>
      <c r="Q130">
        <v>1</v>
      </c>
      <c r="R130">
        <v>0</v>
      </c>
      <c r="S130">
        <v>0</v>
      </c>
      <c r="T130">
        <v>0</v>
      </c>
      <c r="U130">
        <v>0</v>
      </c>
      <c r="V130">
        <f t="shared" si="3"/>
        <v>0.87219584275330231</v>
      </c>
      <c r="W130">
        <f t="shared" si="4"/>
        <v>0.70520240168703408</v>
      </c>
      <c r="X130">
        <f t="shared" si="5"/>
        <v>0.34927042278209691</v>
      </c>
    </row>
    <row r="131" spans="1:24" x14ac:dyDescent="0.25">
      <c r="A131">
        <v>130</v>
      </c>
      <c r="B131">
        <v>0</v>
      </c>
      <c r="C131">
        <v>3</v>
      </c>
      <c r="D131" s="1" t="s">
        <v>289</v>
      </c>
      <c r="E131">
        <v>0</v>
      </c>
      <c r="F131">
        <v>45</v>
      </c>
      <c r="G131">
        <v>0</v>
      </c>
      <c r="H131">
        <v>0</v>
      </c>
      <c r="I131" s="1" t="s">
        <v>290</v>
      </c>
      <c r="J131">
        <v>6.9749999999999996</v>
      </c>
      <c r="K131" s="1" t="s">
        <v>48</v>
      </c>
      <c r="L131" s="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f t="shared" ref="V131:V194" si="6">$AB$1+C131*$AB$2+E131*$AB$3+F131*$AB$4+G131*$AB$5+H131*$AB$6+J131*$AB$7+M131*$AB$8+N131*$AB$9+O131*$AB$10+Q131*$AB$11+R131*$AB$12+S131*$AB$13+T131*$AB$14+U131*$AB$15</f>
        <v>0</v>
      </c>
      <c r="W131">
        <f t="shared" ref="W131:W194" si="7">1/(1+EXP(-V131))</f>
        <v>0.5</v>
      </c>
      <c r="X131">
        <f t="shared" ref="X131:X194" si="8">-(B131*LN(MAX(0.000001,MIN(0.999999,W131))) +(1-B131)*LN(MAX(0.000001,MIN(0.999999,1-W131))))</f>
        <v>0.69314718055994529</v>
      </c>
    </row>
    <row r="132" spans="1:24" x14ac:dyDescent="0.25">
      <c r="A132">
        <v>131</v>
      </c>
      <c r="B132">
        <v>0</v>
      </c>
      <c r="C132">
        <v>3</v>
      </c>
      <c r="D132" s="1" t="s">
        <v>291</v>
      </c>
      <c r="E132">
        <v>0</v>
      </c>
      <c r="F132">
        <v>33</v>
      </c>
      <c r="G132">
        <v>0</v>
      </c>
      <c r="H132">
        <v>0</v>
      </c>
      <c r="I132" s="1" t="s">
        <v>292</v>
      </c>
      <c r="J132">
        <v>7.8958000000000004</v>
      </c>
      <c r="K132" s="1" t="s">
        <v>48</v>
      </c>
      <c r="L132" s="1" t="s">
        <v>18</v>
      </c>
      <c r="M132">
        <v>0</v>
      </c>
      <c r="N132">
        <v>1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f t="shared" si="6"/>
        <v>0</v>
      </c>
      <c r="W132">
        <f t="shared" si="7"/>
        <v>0.5</v>
      </c>
      <c r="X132">
        <f t="shared" si="8"/>
        <v>0.69314718055994529</v>
      </c>
    </row>
    <row r="133" spans="1:24" x14ac:dyDescent="0.25">
      <c r="A133">
        <v>132</v>
      </c>
      <c r="B133">
        <v>0</v>
      </c>
      <c r="C133">
        <v>3</v>
      </c>
      <c r="D133" s="1" t="s">
        <v>293</v>
      </c>
      <c r="E133">
        <v>0</v>
      </c>
      <c r="F133">
        <v>20</v>
      </c>
      <c r="G133">
        <v>0</v>
      </c>
      <c r="H133">
        <v>0</v>
      </c>
      <c r="I133" s="1" t="s">
        <v>294</v>
      </c>
      <c r="J133">
        <v>7.05</v>
      </c>
      <c r="K133" s="1" t="s">
        <v>48</v>
      </c>
      <c r="L133" s="1" t="s">
        <v>14</v>
      </c>
      <c r="M133">
        <v>1</v>
      </c>
      <c r="N133">
        <v>0</v>
      </c>
      <c r="O133">
        <v>0</v>
      </c>
      <c r="P133" t="s">
        <v>1741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f t="shared" si="6"/>
        <v>0</v>
      </c>
      <c r="W133">
        <f t="shared" si="7"/>
        <v>0.5</v>
      </c>
      <c r="X133">
        <f t="shared" si="8"/>
        <v>0.69314718055994529</v>
      </c>
    </row>
    <row r="134" spans="1:24" x14ac:dyDescent="0.25">
      <c r="A134">
        <v>133</v>
      </c>
      <c r="B134">
        <v>0</v>
      </c>
      <c r="C134">
        <v>3</v>
      </c>
      <c r="D134" s="1" t="s">
        <v>295</v>
      </c>
      <c r="E134">
        <v>1</v>
      </c>
      <c r="F134">
        <v>47</v>
      </c>
      <c r="G134">
        <v>1</v>
      </c>
      <c r="H134">
        <v>0</v>
      </c>
      <c r="I134" s="1" t="s">
        <v>296</v>
      </c>
      <c r="J134">
        <v>14.5</v>
      </c>
      <c r="K134" s="1" t="s">
        <v>48</v>
      </c>
      <c r="L134" s="1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f t="shared" si="6"/>
        <v>1.3618761518134992</v>
      </c>
      <c r="W134">
        <f t="shared" si="7"/>
        <v>0.79606445234832413</v>
      </c>
      <c r="X134">
        <f t="shared" si="8"/>
        <v>1.5899512779423304</v>
      </c>
    </row>
    <row r="135" spans="1:24" x14ac:dyDescent="0.25">
      <c r="A135">
        <v>134</v>
      </c>
      <c r="B135">
        <v>1</v>
      </c>
      <c r="C135">
        <v>2</v>
      </c>
      <c r="D135" s="1" t="s">
        <v>297</v>
      </c>
      <c r="E135">
        <v>1</v>
      </c>
      <c r="F135">
        <v>29</v>
      </c>
      <c r="G135">
        <v>1</v>
      </c>
      <c r="H135">
        <v>0</v>
      </c>
      <c r="I135" s="1" t="s">
        <v>298</v>
      </c>
      <c r="J135">
        <v>26</v>
      </c>
      <c r="K135" s="1" t="s">
        <v>48</v>
      </c>
      <c r="L135" s="1" t="s">
        <v>14</v>
      </c>
      <c r="M135">
        <v>1</v>
      </c>
      <c r="N135">
        <v>0</v>
      </c>
      <c r="O135">
        <v>0</v>
      </c>
      <c r="P135" t="s">
        <v>1740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f t="shared" si="6"/>
        <v>1.3618761518134992</v>
      </c>
      <c r="W135">
        <f t="shared" si="7"/>
        <v>0.79606445234832413</v>
      </c>
      <c r="X135">
        <f t="shared" si="8"/>
        <v>0.22807512612883141</v>
      </c>
    </row>
    <row r="136" spans="1:24" x14ac:dyDescent="0.25">
      <c r="A136">
        <v>135</v>
      </c>
      <c r="B136">
        <v>0</v>
      </c>
      <c r="C136">
        <v>2</v>
      </c>
      <c r="D136" s="1" t="s">
        <v>299</v>
      </c>
      <c r="E136">
        <v>0</v>
      </c>
      <c r="F136">
        <v>25</v>
      </c>
      <c r="G136">
        <v>0</v>
      </c>
      <c r="H136">
        <v>0</v>
      </c>
      <c r="I136" s="1" t="s">
        <v>300</v>
      </c>
      <c r="J136">
        <v>13</v>
      </c>
      <c r="K136" s="1" t="s">
        <v>48</v>
      </c>
      <c r="L136" s="1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f t="shared" si="6"/>
        <v>0</v>
      </c>
      <c r="W136">
        <f t="shared" si="7"/>
        <v>0.5</v>
      </c>
      <c r="X136">
        <f t="shared" si="8"/>
        <v>0.69314718055994529</v>
      </c>
    </row>
    <row r="137" spans="1:24" x14ac:dyDescent="0.25">
      <c r="A137">
        <v>136</v>
      </c>
      <c r="B137">
        <v>0</v>
      </c>
      <c r="C137">
        <v>2</v>
      </c>
      <c r="D137" s="1" t="s">
        <v>301</v>
      </c>
      <c r="E137">
        <v>0</v>
      </c>
      <c r="F137">
        <v>23</v>
      </c>
      <c r="G137">
        <v>0</v>
      </c>
      <c r="H137">
        <v>0</v>
      </c>
      <c r="I137" s="1" t="s">
        <v>302</v>
      </c>
      <c r="J137">
        <v>15.0458</v>
      </c>
      <c r="K137" s="1" t="s">
        <v>48</v>
      </c>
      <c r="L137" s="1" t="s">
        <v>18</v>
      </c>
      <c r="M137">
        <v>0</v>
      </c>
      <c r="N137">
        <v>1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f t="shared" si="6"/>
        <v>0</v>
      </c>
      <c r="W137">
        <f t="shared" si="7"/>
        <v>0.5</v>
      </c>
      <c r="X137">
        <f t="shared" si="8"/>
        <v>0.69314718055994529</v>
      </c>
    </row>
    <row r="138" spans="1:24" x14ac:dyDescent="0.25">
      <c r="A138">
        <v>137</v>
      </c>
      <c r="B138">
        <v>1</v>
      </c>
      <c r="C138">
        <v>1</v>
      </c>
      <c r="D138" s="1" t="s">
        <v>303</v>
      </c>
      <c r="E138">
        <v>1</v>
      </c>
      <c r="F138">
        <v>19</v>
      </c>
      <c r="G138">
        <v>0</v>
      </c>
      <c r="H138">
        <v>2</v>
      </c>
      <c r="I138" s="1" t="s">
        <v>304</v>
      </c>
      <c r="J138">
        <v>26.283300000000001</v>
      </c>
      <c r="K138" s="1" t="s">
        <v>305</v>
      </c>
      <c r="L138" s="1" t="s">
        <v>14</v>
      </c>
      <c r="M138">
        <v>1</v>
      </c>
      <c r="N138">
        <v>0</v>
      </c>
      <c r="O138">
        <v>0</v>
      </c>
      <c r="P138" t="s">
        <v>1739</v>
      </c>
      <c r="Q138">
        <v>1</v>
      </c>
      <c r="R138">
        <v>0</v>
      </c>
      <c r="S138">
        <v>0</v>
      </c>
      <c r="T138">
        <v>0</v>
      </c>
      <c r="U138">
        <v>0</v>
      </c>
      <c r="V138">
        <f t="shared" si="6"/>
        <v>0.87219584275330231</v>
      </c>
      <c r="W138">
        <f t="shared" si="7"/>
        <v>0.70520240168703408</v>
      </c>
      <c r="X138">
        <f t="shared" si="8"/>
        <v>0.34927042278209691</v>
      </c>
    </row>
    <row r="139" spans="1:24" x14ac:dyDescent="0.25">
      <c r="A139">
        <v>138</v>
      </c>
      <c r="B139">
        <v>0</v>
      </c>
      <c r="C139">
        <v>1</v>
      </c>
      <c r="D139" s="1" t="s">
        <v>306</v>
      </c>
      <c r="E139">
        <v>0</v>
      </c>
      <c r="F139">
        <v>37</v>
      </c>
      <c r="G139">
        <v>1</v>
      </c>
      <c r="H139">
        <v>0</v>
      </c>
      <c r="I139" s="1" t="s">
        <v>22</v>
      </c>
      <c r="J139">
        <v>53.1</v>
      </c>
      <c r="K139" s="1" t="s">
        <v>23</v>
      </c>
      <c r="L139" s="1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f t="shared" si="6"/>
        <v>0</v>
      </c>
      <c r="W139">
        <f t="shared" si="7"/>
        <v>0.5</v>
      </c>
      <c r="X139">
        <f t="shared" si="8"/>
        <v>0.69314718055994529</v>
      </c>
    </row>
    <row r="140" spans="1:24" x14ac:dyDescent="0.25">
      <c r="A140">
        <v>139</v>
      </c>
      <c r="B140">
        <v>0</v>
      </c>
      <c r="C140">
        <v>3</v>
      </c>
      <c r="D140" s="1" t="s">
        <v>307</v>
      </c>
      <c r="E140">
        <v>0</v>
      </c>
      <c r="F140">
        <v>16</v>
      </c>
      <c r="G140">
        <v>0</v>
      </c>
      <c r="H140">
        <v>0</v>
      </c>
      <c r="I140" s="1" t="s">
        <v>308</v>
      </c>
      <c r="J140">
        <v>9.2166999999999994</v>
      </c>
      <c r="K140" s="1" t="s">
        <v>48</v>
      </c>
      <c r="L140" s="1" t="s">
        <v>14</v>
      </c>
      <c r="M140">
        <v>1</v>
      </c>
      <c r="N140">
        <v>0</v>
      </c>
      <c r="O140">
        <v>0</v>
      </c>
      <c r="P140" t="s">
        <v>1741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f t="shared" si="6"/>
        <v>0</v>
      </c>
      <c r="W140">
        <f t="shared" si="7"/>
        <v>0.5</v>
      </c>
      <c r="X140">
        <f t="shared" si="8"/>
        <v>0.69314718055994529</v>
      </c>
    </row>
    <row r="141" spans="1:24" x14ac:dyDescent="0.25">
      <c r="A141">
        <v>140</v>
      </c>
      <c r="B141">
        <v>0</v>
      </c>
      <c r="C141">
        <v>1</v>
      </c>
      <c r="D141" s="1" t="s">
        <v>309</v>
      </c>
      <c r="E141">
        <v>0</v>
      </c>
      <c r="F141">
        <v>24</v>
      </c>
      <c r="G141">
        <v>0</v>
      </c>
      <c r="H141">
        <v>0</v>
      </c>
      <c r="I141" s="1" t="s">
        <v>310</v>
      </c>
      <c r="J141">
        <v>79.2</v>
      </c>
      <c r="K141" s="1" t="s">
        <v>311</v>
      </c>
      <c r="L141" s="1" t="s">
        <v>18</v>
      </c>
      <c r="M141">
        <v>0</v>
      </c>
      <c r="N141">
        <v>1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f t="shared" si="6"/>
        <v>0</v>
      </c>
      <c r="W141">
        <f t="shared" si="7"/>
        <v>0.5</v>
      </c>
      <c r="X141">
        <f t="shared" si="8"/>
        <v>0.69314718055994529</v>
      </c>
    </row>
    <row r="142" spans="1:24" x14ac:dyDescent="0.25">
      <c r="A142">
        <v>141</v>
      </c>
      <c r="B142">
        <v>0</v>
      </c>
      <c r="C142">
        <v>3</v>
      </c>
      <c r="D142" s="1" t="s">
        <v>312</v>
      </c>
      <c r="E142">
        <v>1</v>
      </c>
      <c r="F142" s="1">
        <v>35.898148148148145</v>
      </c>
      <c r="G142">
        <v>0</v>
      </c>
      <c r="H142">
        <v>2</v>
      </c>
      <c r="I142" s="1" t="s">
        <v>313</v>
      </c>
      <c r="J142">
        <v>15.245799999999999</v>
      </c>
      <c r="K142" s="1" t="s">
        <v>48</v>
      </c>
      <c r="L142" s="1" t="s">
        <v>18</v>
      </c>
      <c r="M142">
        <v>0</v>
      </c>
      <c r="N142">
        <v>1</v>
      </c>
      <c r="O142">
        <v>0</v>
      </c>
      <c r="P142" t="s">
        <v>1740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f t="shared" si="6"/>
        <v>1.3618761518134992</v>
      </c>
      <c r="W142">
        <f t="shared" si="7"/>
        <v>0.79606445234832413</v>
      </c>
      <c r="X142">
        <f t="shared" si="8"/>
        <v>1.5899512779423304</v>
      </c>
    </row>
    <row r="143" spans="1:24" x14ac:dyDescent="0.25">
      <c r="A143">
        <v>142</v>
      </c>
      <c r="B143">
        <v>1</v>
      </c>
      <c r="C143">
        <v>3</v>
      </c>
      <c r="D143" s="1" t="s">
        <v>314</v>
      </c>
      <c r="E143">
        <v>1</v>
      </c>
      <c r="F143">
        <v>22</v>
      </c>
      <c r="G143">
        <v>0</v>
      </c>
      <c r="H143">
        <v>0</v>
      </c>
      <c r="I143" s="1" t="s">
        <v>315</v>
      </c>
      <c r="J143">
        <v>7.75</v>
      </c>
      <c r="K143" s="1" t="s">
        <v>48</v>
      </c>
      <c r="L143" s="1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  <c r="V143">
        <f t="shared" si="6"/>
        <v>0.87219584275330231</v>
      </c>
      <c r="W143">
        <f t="shared" si="7"/>
        <v>0.70520240168703408</v>
      </c>
      <c r="X143">
        <f t="shared" si="8"/>
        <v>0.34927042278209691</v>
      </c>
    </row>
    <row r="144" spans="1:24" x14ac:dyDescent="0.25">
      <c r="A144">
        <v>143</v>
      </c>
      <c r="B144">
        <v>1</v>
      </c>
      <c r="C144">
        <v>3</v>
      </c>
      <c r="D144" s="1" t="s">
        <v>316</v>
      </c>
      <c r="E144">
        <v>1</v>
      </c>
      <c r="F144">
        <v>24</v>
      </c>
      <c r="G144">
        <v>1</v>
      </c>
      <c r="H144">
        <v>0</v>
      </c>
      <c r="I144" s="1" t="s">
        <v>317</v>
      </c>
      <c r="J144">
        <v>15.85</v>
      </c>
      <c r="K144" s="1" t="s">
        <v>48</v>
      </c>
      <c r="L144" s="1" t="s">
        <v>14</v>
      </c>
      <c r="M144">
        <v>1</v>
      </c>
      <c r="N144">
        <v>0</v>
      </c>
      <c r="O144">
        <v>0</v>
      </c>
      <c r="P144" t="s">
        <v>1740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f t="shared" si="6"/>
        <v>1.3618761518134992</v>
      </c>
      <c r="W144">
        <f t="shared" si="7"/>
        <v>0.79606445234832413</v>
      </c>
      <c r="X144">
        <f t="shared" si="8"/>
        <v>0.22807512612883141</v>
      </c>
    </row>
    <row r="145" spans="1:24" x14ac:dyDescent="0.25">
      <c r="A145">
        <v>144</v>
      </c>
      <c r="B145">
        <v>0</v>
      </c>
      <c r="C145">
        <v>3</v>
      </c>
      <c r="D145" s="1" t="s">
        <v>318</v>
      </c>
      <c r="E145">
        <v>0</v>
      </c>
      <c r="F145">
        <v>19</v>
      </c>
      <c r="G145">
        <v>0</v>
      </c>
      <c r="H145">
        <v>0</v>
      </c>
      <c r="I145" s="1" t="s">
        <v>319</v>
      </c>
      <c r="J145">
        <v>6.75</v>
      </c>
      <c r="K145" s="1" t="s">
        <v>48</v>
      </c>
      <c r="L145" s="1" t="s">
        <v>28</v>
      </c>
      <c r="M145">
        <v>0</v>
      </c>
      <c r="N145">
        <v>0</v>
      </c>
      <c r="O145">
        <v>1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f t="shared" si="6"/>
        <v>0</v>
      </c>
      <c r="W145">
        <f t="shared" si="7"/>
        <v>0.5</v>
      </c>
      <c r="X145">
        <f t="shared" si="8"/>
        <v>0.69314718055994529</v>
      </c>
    </row>
    <row r="146" spans="1:24" x14ac:dyDescent="0.25">
      <c r="A146">
        <v>145</v>
      </c>
      <c r="B146">
        <v>0</v>
      </c>
      <c r="C146">
        <v>2</v>
      </c>
      <c r="D146" s="1" t="s">
        <v>320</v>
      </c>
      <c r="E146">
        <v>0</v>
      </c>
      <c r="F146">
        <v>18</v>
      </c>
      <c r="G146">
        <v>0</v>
      </c>
      <c r="H146">
        <v>0</v>
      </c>
      <c r="I146" s="1" t="s">
        <v>321</v>
      </c>
      <c r="J146">
        <v>11.5</v>
      </c>
      <c r="K146" s="1" t="s">
        <v>48</v>
      </c>
      <c r="L146" s="1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f t="shared" si="6"/>
        <v>0</v>
      </c>
      <c r="W146">
        <f t="shared" si="7"/>
        <v>0.5</v>
      </c>
      <c r="X146">
        <f t="shared" si="8"/>
        <v>0.69314718055994529</v>
      </c>
    </row>
    <row r="147" spans="1:24" x14ac:dyDescent="0.25">
      <c r="A147">
        <v>146</v>
      </c>
      <c r="B147">
        <v>0</v>
      </c>
      <c r="C147">
        <v>2</v>
      </c>
      <c r="D147" s="1" t="s">
        <v>322</v>
      </c>
      <c r="E147">
        <v>0</v>
      </c>
      <c r="F147">
        <v>19</v>
      </c>
      <c r="G147">
        <v>1</v>
      </c>
      <c r="H147">
        <v>1</v>
      </c>
      <c r="I147" s="1" t="s">
        <v>323</v>
      </c>
      <c r="J147">
        <v>36.75</v>
      </c>
      <c r="K147" s="1" t="s">
        <v>48</v>
      </c>
      <c r="L147" s="1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f t="shared" si="6"/>
        <v>0</v>
      </c>
      <c r="W147">
        <f t="shared" si="7"/>
        <v>0.5</v>
      </c>
      <c r="X147">
        <f t="shared" si="8"/>
        <v>0.69314718055994529</v>
      </c>
    </row>
    <row r="148" spans="1:24" x14ac:dyDescent="0.25">
      <c r="A148">
        <v>147</v>
      </c>
      <c r="B148">
        <v>1</v>
      </c>
      <c r="C148">
        <v>3</v>
      </c>
      <c r="D148" s="1" t="s">
        <v>324</v>
      </c>
      <c r="E148">
        <v>0</v>
      </c>
      <c r="F148">
        <v>27</v>
      </c>
      <c r="G148">
        <v>0</v>
      </c>
      <c r="H148">
        <v>0</v>
      </c>
      <c r="I148" s="1" t="s">
        <v>325</v>
      </c>
      <c r="J148">
        <v>7.7957999999999998</v>
      </c>
      <c r="K148" s="1" t="s">
        <v>48</v>
      </c>
      <c r="L148" s="1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f t="shared" si="6"/>
        <v>0</v>
      </c>
      <c r="W148">
        <f t="shared" si="7"/>
        <v>0.5</v>
      </c>
      <c r="X148">
        <f t="shared" si="8"/>
        <v>0.69314718055994529</v>
      </c>
    </row>
    <row r="149" spans="1:24" x14ac:dyDescent="0.25">
      <c r="A149">
        <v>148</v>
      </c>
      <c r="B149">
        <v>0</v>
      </c>
      <c r="C149">
        <v>3</v>
      </c>
      <c r="D149" s="1" t="s">
        <v>326</v>
      </c>
      <c r="E149">
        <v>1</v>
      </c>
      <c r="F149">
        <v>9</v>
      </c>
      <c r="G149">
        <v>2</v>
      </c>
      <c r="H149">
        <v>2</v>
      </c>
      <c r="I149" s="1" t="s">
        <v>203</v>
      </c>
      <c r="J149">
        <v>34.375</v>
      </c>
      <c r="K149" s="1" t="s">
        <v>48</v>
      </c>
      <c r="L149" s="1" t="s">
        <v>14</v>
      </c>
      <c r="M149">
        <v>1</v>
      </c>
      <c r="N149">
        <v>0</v>
      </c>
      <c r="O149">
        <v>0</v>
      </c>
      <c r="P149" t="s">
        <v>1739</v>
      </c>
      <c r="Q149">
        <v>1</v>
      </c>
      <c r="R149">
        <v>0</v>
      </c>
      <c r="S149">
        <v>0</v>
      </c>
      <c r="T149">
        <v>0</v>
      </c>
      <c r="U149">
        <v>0</v>
      </c>
      <c r="V149">
        <f t="shared" si="6"/>
        <v>0.87219584275330231</v>
      </c>
      <c r="W149">
        <f t="shared" si="7"/>
        <v>0.70520240168703408</v>
      </c>
      <c r="X149">
        <f t="shared" si="8"/>
        <v>1.2214662655353992</v>
      </c>
    </row>
    <row r="150" spans="1:24" x14ac:dyDescent="0.25">
      <c r="A150">
        <v>149</v>
      </c>
      <c r="B150">
        <v>0</v>
      </c>
      <c r="C150">
        <v>2</v>
      </c>
      <c r="D150" s="1" t="s">
        <v>327</v>
      </c>
      <c r="E150">
        <v>0</v>
      </c>
      <c r="F150" s="1">
        <v>32.180156657963444</v>
      </c>
      <c r="G150">
        <v>0</v>
      </c>
      <c r="H150">
        <v>2</v>
      </c>
      <c r="I150" s="1" t="s">
        <v>328</v>
      </c>
      <c r="J150">
        <v>26</v>
      </c>
      <c r="K150" s="1" t="s">
        <v>329</v>
      </c>
      <c r="L150" s="1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f t="shared" si="6"/>
        <v>0</v>
      </c>
      <c r="W150">
        <f t="shared" si="7"/>
        <v>0.5</v>
      </c>
      <c r="X150">
        <f t="shared" si="8"/>
        <v>0.69314718055994529</v>
      </c>
    </row>
    <row r="151" spans="1:24" x14ac:dyDescent="0.25">
      <c r="A151">
        <v>150</v>
      </c>
      <c r="B151">
        <v>0</v>
      </c>
      <c r="C151">
        <v>2</v>
      </c>
      <c r="D151" s="1" t="s">
        <v>330</v>
      </c>
      <c r="E151">
        <v>0</v>
      </c>
      <c r="F151">
        <v>42</v>
      </c>
      <c r="G151">
        <v>0</v>
      </c>
      <c r="H151">
        <v>0</v>
      </c>
      <c r="I151" s="1" t="s">
        <v>331</v>
      </c>
      <c r="J151">
        <v>13</v>
      </c>
      <c r="K151" s="1" t="s">
        <v>48</v>
      </c>
      <c r="L151" s="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  <c r="V151">
        <f t="shared" si="6"/>
        <v>0</v>
      </c>
      <c r="W151">
        <f t="shared" si="7"/>
        <v>0.5</v>
      </c>
      <c r="X151">
        <f t="shared" si="8"/>
        <v>0.69314718055994529</v>
      </c>
    </row>
    <row r="152" spans="1:24" x14ac:dyDescent="0.25">
      <c r="A152">
        <v>151</v>
      </c>
      <c r="B152">
        <v>0</v>
      </c>
      <c r="C152">
        <v>2</v>
      </c>
      <c r="D152" s="1" t="s">
        <v>332</v>
      </c>
      <c r="E152">
        <v>0</v>
      </c>
      <c r="F152">
        <v>51</v>
      </c>
      <c r="G152">
        <v>0</v>
      </c>
      <c r="H152">
        <v>0</v>
      </c>
      <c r="I152" s="1" t="s">
        <v>333</v>
      </c>
      <c r="J152">
        <v>12.525</v>
      </c>
      <c r="K152" s="1" t="s">
        <v>48</v>
      </c>
      <c r="L152" s="1" t="s">
        <v>14</v>
      </c>
      <c r="M152">
        <v>1</v>
      </c>
      <c r="N152">
        <v>0</v>
      </c>
      <c r="O152">
        <v>0</v>
      </c>
      <c r="P152" t="s">
        <v>1745</v>
      </c>
      <c r="Q152">
        <v>0</v>
      </c>
      <c r="R152">
        <v>0</v>
      </c>
      <c r="S152">
        <v>0</v>
      </c>
      <c r="T152">
        <v>0</v>
      </c>
      <c r="U152">
        <v>1</v>
      </c>
      <c r="V152">
        <f t="shared" si="6"/>
        <v>0</v>
      </c>
      <c r="W152">
        <f t="shared" si="7"/>
        <v>0.5</v>
      </c>
      <c r="X152">
        <f t="shared" si="8"/>
        <v>0.69314718055994529</v>
      </c>
    </row>
    <row r="153" spans="1:24" x14ac:dyDescent="0.25">
      <c r="A153">
        <v>152</v>
      </c>
      <c r="B153">
        <v>1</v>
      </c>
      <c r="C153">
        <v>1</v>
      </c>
      <c r="D153" s="1" t="s">
        <v>334</v>
      </c>
      <c r="E153">
        <v>1</v>
      </c>
      <c r="F153">
        <v>22</v>
      </c>
      <c r="G153">
        <v>1</v>
      </c>
      <c r="H153">
        <v>0</v>
      </c>
      <c r="I153" s="1" t="s">
        <v>335</v>
      </c>
      <c r="J153">
        <v>66.599999999999994</v>
      </c>
      <c r="K153" s="1" t="s">
        <v>336</v>
      </c>
      <c r="L153" s="1" t="s">
        <v>14</v>
      </c>
      <c r="M153">
        <v>1</v>
      </c>
      <c r="N153">
        <v>0</v>
      </c>
      <c r="O153">
        <v>0</v>
      </c>
      <c r="P153" t="s">
        <v>1740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f t="shared" si="6"/>
        <v>1.3618761518134992</v>
      </c>
      <c r="W153">
        <f t="shared" si="7"/>
        <v>0.79606445234832413</v>
      </c>
      <c r="X153">
        <f t="shared" si="8"/>
        <v>0.22807512612883141</v>
      </c>
    </row>
    <row r="154" spans="1:24" x14ac:dyDescent="0.25">
      <c r="A154">
        <v>153</v>
      </c>
      <c r="B154">
        <v>0</v>
      </c>
      <c r="C154">
        <v>3</v>
      </c>
      <c r="D154" s="1" t="s">
        <v>337</v>
      </c>
      <c r="E154">
        <v>0</v>
      </c>
      <c r="F154" s="1">
        <v>32.180156657963444</v>
      </c>
      <c r="G154">
        <v>0</v>
      </c>
      <c r="H154">
        <v>0</v>
      </c>
      <c r="I154" s="1" t="s">
        <v>338</v>
      </c>
      <c r="J154">
        <v>8.0500000000000007</v>
      </c>
      <c r="K154" s="1" t="s">
        <v>48</v>
      </c>
      <c r="L154" s="1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f t="shared" si="6"/>
        <v>0</v>
      </c>
      <c r="W154">
        <f t="shared" si="7"/>
        <v>0.5</v>
      </c>
      <c r="X154">
        <f t="shared" si="8"/>
        <v>0.69314718055994529</v>
      </c>
    </row>
    <row r="155" spans="1:24" x14ac:dyDescent="0.25">
      <c r="A155">
        <v>154</v>
      </c>
      <c r="B155">
        <v>0</v>
      </c>
      <c r="C155">
        <v>3</v>
      </c>
      <c r="D155" s="1" t="s">
        <v>339</v>
      </c>
      <c r="E155">
        <v>0</v>
      </c>
      <c r="F155" s="1">
        <v>32.180156657963444</v>
      </c>
      <c r="G155">
        <v>0</v>
      </c>
      <c r="H155">
        <v>2</v>
      </c>
      <c r="I155" s="1" t="s">
        <v>340</v>
      </c>
      <c r="J155">
        <v>14.5</v>
      </c>
      <c r="K155" s="1" t="s">
        <v>48</v>
      </c>
      <c r="L155" s="1" t="s">
        <v>14</v>
      </c>
      <c r="M155">
        <v>1</v>
      </c>
      <c r="N155">
        <v>0</v>
      </c>
      <c r="O155">
        <v>0</v>
      </c>
      <c r="P155" t="s">
        <v>1741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f t="shared" si="6"/>
        <v>0</v>
      </c>
      <c r="W155">
        <f t="shared" si="7"/>
        <v>0.5</v>
      </c>
      <c r="X155">
        <f t="shared" si="8"/>
        <v>0.69314718055994529</v>
      </c>
    </row>
    <row r="156" spans="1:24" x14ac:dyDescent="0.25">
      <c r="A156">
        <v>155</v>
      </c>
      <c r="B156">
        <v>0</v>
      </c>
      <c r="C156">
        <v>3</v>
      </c>
      <c r="D156" s="1" t="s">
        <v>341</v>
      </c>
      <c r="E156">
        <v>0</v>
      </c>
      <c r="F156" s="1">
        <v>32.180156657963444</v>
      </c>
      <c r="G156">
        <v>0</v>
      </c>
      <c r="H156">
        <v>0</v>
      </c>
      <c r="I156" s="1" t="s">
        <v>342</v>
      </c>
      <c r="J156">
        <v>7.3125</v>
      </c>
      <c r="K156" s="1" t="s">
        <v>48</v>
      </c>
      <c r="L156" s="1" t="s">
        <v>14</v>
      </c>
      <c r="M156">
        <v>1</v>
      </c>
      <c r="N156">
        <v>0</v>
      </c>
      <c r="O156">
        <v>0</v>
      </c>
      <c r="P156" t="s">
        <v>1741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f t="shared" si="6"/>
        <v>0</v>
      </c>
      <c r="W156">
        <f t="shared" si="7"/>
        <v>0.5</v>
      </c>
      <c r="X156">
        <f t="shared" si="8"/>
        <v>0.69314718055994529</v>
      </c>
    </row>
    <row r="157" spans="1:24" x14ac:dyDescent="0.25">
      <c r="A157">
        <v>156</v>
      </c>
      <c r="B157">
        <v>0</v>
      </c>
      <c r="C157">
        <v>1</v>
      </c>
      <c r="D157" s="1" t="s">
        <v>343</v>
      </c>
      <c r="E157">
        <v>0</v>
      </c>
      <c r="F157">
        <v>51</v>
      </c>
      <c r="G157">
        <v>0</v>
      </c>
      <c r="H157">
        <v>1</v>
      </c>
      <c r="I157" s="1" t="s">
        <v>344</v>
      </c>
      <c r="J157">
        <v>61.379199999999997</v>
      </c>
      <c r="K157" s="1" t="s">
        <v>48</v>
      </c>
      <c r="L157" s="1" t="s">
        <v>18</v>
      </c>
      <c r="M157">
        <v>0</v>
      </c>
      <c r="N157">
        <v>1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f t="shared" si="6"/>
        <v>0</v>
      </c>
      <c r="W157">
        <f t="shared" si="7"/>
        <v>0.5</v>
      </c>
      <c r="X157">
        <f t="shared" si="8"/>
        <v>0.69314718055994529</v>
      </c>
    </row>
    <row r="158" spans="1:24" x14ac:dyDescent="0.25">
      <c r="A158">
        <v>157</v>
      </c>
      <c r="B158">
        <v>1</v>
      </c>
      <c r="C158">
        <v>3</v>
      </c>
      <c r="D158" s="1" t="s">
        <v>345</v>
      </c>
      <c r="E158">
        <v>1</v>
      </c>
      <c r="F158">
        <v>16</v>
      </c>
      <c r="G158">
        <v>0</v>
      </c>
      <c r="H158">
        <v>0</v>
      </c>
      <c r="I158" s="1" t="s">
        <v>346</v>
      </c>
      <c r="J158">
        <v>7.7332999999999998</v>
      </c>
      <c r="K158" s="1" t="s">
        <v>48</v>
      </c>
      <c r="L158" s="1" t="s">
        <v>28</v>
      </c>
      <c r="M158">
        <v>0</v>
      </c>
      <c r="N158">
        <v>0</v>
      </c>
      <c r="O158">
        <v>1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f t="shared" si="6"/>
        <v>0.87219584275330231</v>
      </c>
      <c r="W158">
        <f t="shared" si="7"/>
        <v>0.70520240168703408</v>
      </c>
      <c r="X158">
        <f t="shared" si="8"/>
        <v>0.34927042278209691</v>
      </c>
    </row>
    <row r="159" spans="1:24" x14ac:dyDescent="0.25">
      <c r="A159">
        <v>158</v>
      </c>
      <c r="B159">
        <v>0</v>
      </c>
      <c r="C159">
        <v>3</v>
      </c>
      <c r="D159" s="1" t="s">
        <v>347</v>
      </c>
      <c r="E159">
        <v>0</v>
      </c>
      <c r="F159">
        <v>30</v>
      </c>
      <c r="G159">
        <v>0</v>
      </c>
      <c r="H159">
        <v>0</v>
      </c>
      <c r="I159" s="1" t="s">
        <v>348</v>
      </c>
      <c r="J159">
        <v>8.0500000000000007</v>
      </c>
      <c r="K159" s="1" t="s">
        <v>48</v>
      </c>
      <c r="L159" s="1" t="s">
        <v>14</v>
      </c>
      <c r="M159">
        <v>1</v>
      </c>
      <c r="N159">
        <v>0</v>
      </c>
      <c r="O159">
        <v>0</v>
      </c>
      <c r="P159" t="s">
        <v>1741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f t="shared" si="6"/>
        <v>0</v>
      </c>
      <c r="W159">
        <f t="shared" si="7"/>
        <v>0.5</v>
      </c>
      <c r="X159">
        <f t="shared" si="8"/>
        <v>0.69314718055994529</v>
      </c>
    </row>
    <row r="160" spans="1:24" x14ac:dyDescent="0.25">
      <c r="A160">
        <v>159</v>
      </c>
      <c r="B160">
        <v>0</v>
      </c>
      <c r="C160">
        <v>3</v>
      </c>
      <c r="D160" s="1" t="s">
        <v>349</v>
      </c>
      <c r="E160">
        <v>0</v>
      </c>
      <c r="F160" s="1">
        <v>32.180156657963444</v>
      </c>
      <c r="G160">
        <v>0</v>
      </c>
      <c r="H160">
        <v>0</v>
      </c>
      <c r="I160" s="1" t="s">
        <v>350</v>
      </c>
      <c r="J160">
        <v>8.6624999999999996</v>
      </c>
      <c r="K160" s="1" t="s">
        <v>48</v>
      </c>
      <c r="L160" s="1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f t="shared" si="6"/>
        <v>0</v>
      </c>
      <c r="W160">
        <f t="shared" si="7"/>
        <v>0.5</v>
      </c>
      <c r="X160">
        <f t="shared" si="8"/>
        <v>0.69314718055994529</v>
      </c>
    </row>
    <row r="161" spans="1:24" x14ac:dyDescent="0.25">
      <c r="A161">
        <v>160</v>
      </c>
      <c r="B161">
        <v>0</v>
      </c>
      <c r="C161">
        <v>3</v>
      </c>
      <c r="D161" s="1" t="s">
        <v>351</v>
      </c>
      <c r="E161">
        <v>0</v>
      </c>
      <c r="F161" s="1">
        <v>5.193548387096774</v>
      </c>
      <c r="G161">
        <v>8</v>
      </c>
      <c r="H161">
        <v>2</v>
      </c>
      <c r="I161" s="1" t="s">
        <v>352</v>
      </c>
      <c r="J161">
        <v>69.55</v>
      </c>
      <c r="K161" s="1" t="s">
        <v>48</v>
      </c>
      <c r="L161" s="1" t="s">
        <v>14</v>
      </c>
      <c r="M161">
        <v>1</v>
      </c>
      <c r="N161">
        <v>0</v>
      </c>
      <c r="O161">
        <v>0</v>
      </c>
      <c r="P161" t="s">
        <v>1742</v>
      </c>
      <c r="Q161">
        <v>0</v>
      </c>
      <c r="R161">
        <v>0</v>
      </c>
      <c r="S161">
        <v>0</v>
      </c>
      <c r="T161">
        <v>1</v>
      </c>
      <c r="U161">
        <v>0</v>
      </c>
      <c r="V161">
        <f t="shared" si="6"/>
        <v>0.21766252466937555</v>
      </c>
      <c r="W161">
        <f t="shared" si="7"/>
        <v>0.55420180681382414</v>
      </c>
      <c r="X161">
        <f t="shared" si="8"/>
        <v>0.8078889110081291</v>
      </c>
    </row>
    <row r="162" spans="1:24" x14ac:dyDescent="0.25">
      <c r="A162">
        <v>161</v>
      </c>
      <c r="B162">
        <v>0</v>
      </c>
      <c r="C162">
        <v>3</v>
      </c>
      <c r="D162" s="1" t="s">
        <v>353</v>
      </c>
      <c r="E162">
        <v>0</v>
      </c>
      <c r="F162">
        <v>44</v>
      </c>
      <c r="G162">
        <v>0</v>
      </c>
      <c r="H162">
        <v>1</v>
      </c>
      <c r="I162" s="1" t="s">
        <v>354</v>
      </c>
      <c r="J162">
        <v>16.100000000000001</v>
      </c>
      <c r="K162" s="1" t="s">
        <v>48</v>
      </c>
      <c r="L162" s="1" t="s">
        <v>14</v>
      </c>
      <c r="M162">
        <v>1</v>
      </c>
      <c r="N162">
        <v>0</v>
      </c>
      <c r="O162">
        <v>0</v>
      </c>
      <c r="P162" t="s">
        <v>1741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f t="shared" si="6"/>
        <v>0</v>
      </c>
      <c r="W162">
        <f t="shared" si="7"/>
        <v>0.5</v>
      </c>
      <c r="X162">
        <f t="shared" si="8"/>
        <v>0.69314718055994529</v>
      </c>
    </row>
    <row r="163" spans="1:24" x14ac:dyDescent="0.25">
      <c r="A163">
        <v>162</v>
      </c>
      <c r="B163">
        <v>1</v>
      </c>
      <c r="C163">
        <v>2</v>
      </c>
      <c r="D163" s="1" t="s">
        <v>355</v>
      </c>
      <c r="E163">
        <v>1</v>
      </c>
      <c r="F163">
        <v>40</v>
      </c>
      <c r="G163">
        <v>0</v>
      </c>
      <c r="H163">
        <v>0</v>
      </c>
      <c r="I163" s="1" t="s">
        <v>356</v>
      </c>
      <c r="J163">
        <v>15.75</v>
      </c>
      <c r="K163" s="1" t="s">
        <v>48</v>
      </c>
      <c r="L163" s="1" t="s">
        <v>14</v>
      </c>
      <c r="M163">
        <v>1</v>
      </c>
      <c r="N163">
        <v>0</v>
      </c>
      <c r="O163">
        <v>0</v>
      </c>
      <c r="P163" t="s">
        <v>1740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f t="shared" si="6"/>
        <v>1.3618761518134992</v>
      </c>
      <c r="W163">
        <f t="shared" si="7"/>
        <v>0.79606445234832413</v>
      </c>
      <c r="X163">
        <f t="shared" si="8"/>
        <v>0.22807512612883141</v>
      </c>
    </row>
    <row r="164" spans="1:24" x14ac:dyDescent="0.25">
      <c r="A164">
        <v>163</v>
      </c>
      <c r="B164">
        <v>0</v>
      </c>
      <c r="C164">
        <v>3</v>
      </c>
      <c r="D164" s="1" t="s">
        <v>357</v>
      </c>
      <c r="E164">
        <v>0</v>
      </c>
      <c r="F164">
        <v>26</v>
      </c>
      <c r="G164">
        <v>0</v>
      </c>
      <c r="H164">
        <v>0</v>
      </c>
      <c r="I164" s="1" t="s">
        <v>358</v>
      </c>
      <c r="J164">
        <v>7.7750000000000004</v>
      </c>
      <c r="K164" s="1" t="s">
        <v>48</v>
      </c>
      <c r="L164" s="1" t="s">
        <v>14</v>
      </c>
      <c r="M164">
        <v>1</v>
      </c>
      <c r="N164">
        <v>0</v>
      </c>
      <c r="O164">
        <v>0</v>
      </c>
      <c r="P164" t="s">
        <v>1741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f t="shared" si="6"/>
        <v>0</v>
      </c>
      <c r="W164">
        <f t="shared" si="7"/>
        <v>0.5</v>
      </c>
      <c r="X164">
        <f t="shared" si="8"/>
        <v>0.69314718055994529</v>
      </c>
    </row>
    <row r="165" spans="1:24" x14ac:dyDescent="0.25">
      <c r="A165">
        <v>164</v>
      </c>
      <c r="B165">
        <v>0</v>
      </c>
      <c r="C165">
        <v>3</v>
      </c>
      <c r="D165" s="1" t="s">
        <v>359</v>
      </c>
      <c r="E165">
        <v>0</v>
      </c>
      <c r="F165">
        <v>17</v>
      </c>
      <c r="G165">
        <v>0</v>
      </c>
      <c r="H165">
        <v>0</v>
      </c>
      <c r="I165" s="1" t="s">
        <v>360</v>
      </c>
      <c r="J165">
        <v>8.6624999999999996</v>
      </c>
      <c r="K165" s="1" t="s">
        <v>48</v>
      </c>
      <c r="L165" s="1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f t="shared" si="6"/>
        <v>0</v>
      </c>
      <c r="W165">
        <f t="shared" si="7"/>
        <v>0.5</v>
      </c>
      <c r="X165">
        <f t="shared" si="8"/>
        <v>0.69314718055994529</v>
      </c>
    </row>
    <row r="166" spans="1:24" x14ac:dyDescent="0.25">
      <c r="A166">
        <v>165</v>
      </c>
      <c r="B166">
        <v>0</v>
      </c>
      <c r="C166">
        <v>3</v>
      </c>
      <c r="D166" s="1" t="s">
        <v>361</v>
      </c>
      <c r="E166">
        <v>0</v>
      </c>
      <c r="F166">
        <v>1</v>
      </c>
      <c r="G166">
        <v>4</v>
      </c>
      <c r="H166">
        <v>1</v>
      </c>
      <c r="I166" s="1" t="s">
        <v>125</v>
      </c>
      <c r="J166">
        <v>39.6875</v>
      </c>
      <c r="K166" s="1" t="s">
        <v>48</v>
      </c>
      <c r="L166" s="1" t="s">
        <v>14</v>
      </c>
      <c r="M166">
        <v>1</v>
      </c>
      <c r="N166">
        <v>0</v>
      </c>
      <c r="O166">
        <v>0</v>
      </c>
      <c r="P166" t="s">
        <v>1742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f t="shared" si="6"/>
        <v>0.21766252466937555</v>
      </c>
      <c r="W166">
        <f t="shared" si="7"/>
        <v>0.55420180681382414</v>
      </c>
      <c r="X166">
        <f t="shared" si="8"/>
        <v>0.8078889110081291</v>
      </c>
    </row>
    <row r="167" spans="1:24" x14ac:dyDescent="0.25">
      <c r="A167">
        <v>166</v>
      </c>
      <c r="B167">
        <v>1</v>
      </c>
      <c r="C167">
        <v>3</v>
      </c>
      <c r="D167" s="1" t="s">
        <v>362</v>
      </c>
      <c r="E167">
        <v>0</v>
      </c>
      <c r="F167">
        <v>9</v>
      </c>
      <c r="G167">
        <v>0</v>
      </c>
      <c r="H167">
        <v>2</v>
      </c>
      <c r="I167" s="1" t="s">
        <v>363</v>
      </c>
      <c r="J167">
        <v>20.524999999999999</v>
      </c>
      <c r="K167" s="1" t="s">
        <v>48</v>
      </c>
      <c r="L167" s="1" t="s">
        <v>14</v>
      </c>
      <c r="M167">
        <v>1</v>
      </c>
      <c r="N167">
        <v>0</v>
      </c>
      <c r="O167">
        <v>0</v>
      </c>
      <c r="P167" t="s">
        <v>1742</v>
      </c>
      <c r="Q167">
        <v>0</v>
      </c>
      <c r="R167">
        <v>0</v>
      </c>
      <c r="S167">
        <v>0</v>
      </c>
      <c r="T167">
        <v>1</v>
      </c>
      <c r="U167">
        <v>0</v>
      </c>
      <c r="V167">
        <f t="shared" si="6"/>
        <v>0.21766252466937555</v>
      </c>
      <c r="W167">
        <f t="shared" si="7"/>
        <v>0.55420180681382414</v>
      </c>
      <c r="X167">
        <f t="shared" si="8"/>
        <v>0.59022638633875368</v>
      </c>
    </row>
    <row r="168" spans="1:24" x14ac:dyDescent="0.25">
      <c r="A168">
        <v>167</v>
      </c>
      <c r="B168">
        <v>1</v>
      </c>
      <c r="C168">
        <v>1</v>
      </c>
      <c r="D168" s="1" t="s">
        <v>364</v>
      </c>
      <c r="E168">
        <v>1</v>
      </c>
      <c r="F168" s="1">
        <v>35.898148148148145</v>
      </c>
      <c r="G168">
        <v>0</v>
      </c>
      <c r="H168">
        <v>1</v>
      </c>
      <c r="I168" s="1" t="s">
        <v>365</v>
      </c>
      <c r="J168">
        <v>55</v>
      </c>
      <c r="K168" s="1" t="s">
        <v>366</v>
      </c>
      <c r="L168" s="1" t="s">
        <v>14</v>
      </c>
      <c r="M168">
        <v>1</v>
      </c>
      <c r="N168">
        <v>0</v>
      </c>
      <c r="O168">
        <v>0</v>
      </c>
      <c r="P168" t="s">
        <v>1740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f t="shared" si="6"/>
        <v>1.3618761518134992</v>
      </c>
      <c r="W168">
        <f t="shared" si="7"/>
        <v>0.79606445234832413</v>
      </c>
      <c r="X168">
        <f t="shared" si="8"/>
        <v>0.22807512612883141</v>
      </c>
    </row>
    <row r="169" spans="1:24" x14ac:dyDescent="0.25">
      <c r="A169">
        <v>168</v>
      </c>
      <c r="B169">
        <v>0</v>
      </c>
      <c r="C169">
        <v>3</v>
      </c>
      <c r="D169" s="1" t="s">
        <v>367</v>
      </c>
      <c r="E169">
        <v>1</v>
      </c>
      <c r="F169">
        <v>45</v>
      </c>
      <c r="G169">
        <v>1</v>
      </c>
      <c r="H169">
        <v>4</v>
      </c>
      <c r="I169" s="1" t="s">
        <v>156</v>
      </c>
      <c r="J169">
        <v>27.9</v>
      </c>
      <c r="K169" s="1" t="s">
        <v>48</v>
      </c>
      <c r="L169" s="1" t="s">
        <v>14</v>
      </c>
      <c r="M169">
        <v>1</v>
      </c>
      <c r="N169">
        <v>0</v>
      </c>
      <c r="O169">
        <v>0</v>
      </c>
      <c r="P169" t="s">
        <v>1740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f t="shared" si="6"/>
        <v>1.3618761518134992</v>
      </c>
      <c r="W169">
        <f t="shared" si="7"/>
        <v>0.79606445234832413</v>
      </c>
      <c r="X169">
        <f t="shared" si="8"/>
        <v>1.5899512779423304</v>
      </c>
    </row>
    <row r="170" spans="1:24" x14ac:dyDescent="0.25">
      <c r="A170">
        <v>169</v>
      </c>
      <c r="B170">
        <v>0</v>
      </c>
      <c r="C170">
        <v>1</v>
      </c>
      <c r="D170" s="1" t="s">
        <v>368</v>
      </c>
      <c r="E170">
        <v>0</v>
      </c>
      <c r="F170" s="1">
        <v>32.180156657963444</v>
      </c>
      <c r="G170">
        <v>0</v>
      </c>
      <c r="H170">
        <v>0</v>
      </c>
      <c r="I170" s="1" t="s">
        <v>369</v>
      </c>
      <c r="J170">
        <v>25.925000000000001</v>
      </c>
      <c r="K170" s="1" t="s">
        <v>48</v>
      </c>
      <c r="L170" s="1" t="s">
        <v>14</v>
      </c>
      <c r="M170">
        <v>1</v>
      </c>
      <c r="N170">
        <v>0</v>
      </c>
      <c r="O170">
        <v>0</v>
      </c>
      <c r="P170" t="s">
        <v>1741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f t="shared" si="6"/>
        <v>0</v>
      </c>
      <c r="W170">
        <f t="shared" si="7"/>
        <v>0.5</v>
      </c>
      <c r="X170">
        <f t="shared" si="8"/>
        <v>0.69314718055994529</v>
      </c>
    </row>
    <row r="171" spans="1:24" x14ac:dyDescent="0.25">
      <c r="A171">
        <v>170</v>
      </c>
      <c r="B171">
        <v>0</v>
      </c>
      <c r="C171">
        <v>3</v>
      </c>
      <c r="D171" s="1" t="s">
        <v>370</v>
      </c>
      <c r="E171">
        <v>0</v>
      </c>
      <c r="F171">
        <v>28</v>
      </c>
      <c r="G171">
        <v>0</v>
      </c>
      <c r="H171">
        <v>0</v>
      </c>
      <c r="I171" s="1" t="s">
        <v>178</v>
      </c>
      <c r="J171">
        <v>56.495800000000003</v>
      </c>
      <c r="K171" s="1" t="s">
        <v>48</v>
      </c>
      <c r="L171" s="1" t="s">
        <v>14</v>
      </c>
      <c r="M171">
        <v>1</v>
      </c>
      <c r="N171">
        <v>0</v>
      </c>
      <c r="O171">
        <v>0</v>
      </c>
      <c r="P171" t="s">
        <v>1741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f t="shared" si="6"/>
        <v>0</v>
      </c>
      <c r="W171">
        <f t="shared" si="7"/>
        <v>0.5</v>
      </c>
      <c r="X171">
        <f t="shared" si="8"/>
        <v>0.69314718055994529</v>
      </c>
    </row>
    <row r="172" spans="1:24" x14ac:dyDescent="0.25">
      <c r="A172">
        <v>171</v>
      </c>
      <c r="B172">
        <v>0</v>
      </c>
      <c r="C172">
        <v>1</v>
      </c>
      <c r="D172" s="1" t="s">
        <v>371</v>
      </c>
      <c r="E172">
        <v>0</v>
      </c>
      <c r="F172">
        <v>61</v>
      </c>
      <c r="G172">
        <v>0</v>
      </c>
      <c r="H172">
        <v>0</v>
      </c>
      <c r="I172" s="1" t="s">
        <v>372</v>
      </c>
      <c r="J172">
        <v>33.5</v>
      </c>
      <c r="K172" s="1" t="s">
        <v>373</v>
      </c>
      <c r="L172" s="1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f t="shared" si="6"/>
        <v>0</v>
      </c>
      <c r="W172">
        <f t="shared" si="7"/>
        <v>0.5</v>
      </c>
      <c r="X172">
        <f t="shared" si="8"/>
        <v>0.69314718055994529</v>
      </c>
    </row>
    <row r="173" spans="1:24" x14ac:dyDescent="0.25">
      <c r="A173">
        <v>172</v>
      </c>
      <c r="B173">
        <v>0</v>
      </c>
      <c r="C173">
        <v>3</v>
      </c>
      <c r="D173" s="1" t="s">
        <v>374</v>
      </c>
      <c r="E173">
        <v>0</v>
      </c>
      <c r="F173">
        <v>4</v>
      </c>
      <c r="G173">
        <v>4</v>
      </c>
      <c r="H173">
        <v>1</v>
      </c>
      <c r="I173" s="1" t="s">
        <v>54</v>
      </c>
      <c r="J173">
        <v>29.125</v>
      </c>
      <c r="K173" s="1" t="s">
        <v>48</v>
      </c>
      <c r="L173" s="1" t="s">
        <v>28</v>
      </c>
      <c r="M173">
        <v>0</v>
      </c>
      <c r="N173">
        <v>0</v>
      </c>
      <c r="O173">
        <v>1</v>
      </c>
      <c r="P173" t="s">
        <v>1742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f t="shared" si="6"/>
        <v>0.21766252466937555</v>
      </c>
      <c r="W173">
        <f t="shared" si="7"/>
        <v>0.55420180681382414</v>
      </c>
      <c r="X173">
        <f t="shared" si="8"/>
        <v>0.8078889110081291</v>
      </c>
    </row>
    <row r="174" spans="1:24" x14ac:dyDescent="0.25">
      <c r="A174">
        <v>173</v>
      </c>
      <c r="B174">
        <v>1</v>
      </c>
      <c r="C174">
        <v>3</v>
      </c>
      <c r="D174" s="1" t="s">
        <v>375</v>
      </c>
      <c r="E174">
        <v>1</v>
      </c>
      <c r="F174">
        <v>1</v>
      </c>
      <c r="G174">
        <v>1</v>
      </c>
      <c r="H174">
        <v>1</v>
      </c>
      <c r="I174" s="1" t="s">
        <v>35</v>
      </c>
      <c r="J174">
        <v>11.1333</v>
      </c>
      <c r="K174" s="1" t="s">
        <v>48</v>
      </c>
      <c r="L174" s="1" t="s">
        <v>14</v>
      </c>
      <c r="M174">
        <v>1</v>
      </c>
      <c r="N174">
        <v>0</v>
      </c>
      <c r="O174">
        <v>0</v>
      </c>
      <c r="P174" t="s">
        <v>1739</v>
      </c>
      <c r="Q174">
        <v>1</v>
      </c>
      <c r="R174">
        <v>0</v>
      </c>
      <c r="S174">
        <v>0</v>
      </c>
      <c r="T174">
        <v>0</v>
      </c>
      <c r="U174">
        <v>0</v>
      </c>
      <c r="V174">
        <f t="shared" si="6"/>
        <v>0.87219584275330231</v>
      </c>
      <c r="W174">
        <f t="shared" si="7"/>
        <v>0.70520240168703408</v>
      </c>
      <c r="X174">
        <f t="shared" si="8"/>
        <v>0.34927042278209691</v>
      </c>
    </row>
    <row r="175" spans="1:24" x14ac:dyDescent="0.25">
      <c r="A175">
        <v>174</v>
      </c>
      <c r="B175">
        <v>0</v>
      </c>
      <c r="C175">
        <v>3</v>
      </c>
      <c r="D175" s="1" t="s">
        <v>376</v>
      </c>
      <c r="E175">
        <v>0</v>
      </c>
      <c r="F175">
        <v>21</v>
      </c>
      <c r="G175">
        <v>0</v>
      </c>
      <c r="H175">
        <v>0</v>
      </c>
      <c r="I175" s="1" t="s">
        <v>377</v>
      </c>
      <c r="J175">
        <v>7.9249999999999998</v>
      </c>
      <c r="K175" s="1" t="s">
        <v>48</v>
      </c>
      <c r="L175" s="1" t="s">
        <v>14</v>
      </c>
      <c r="M175">
        <v>1</v>
      </c>
      <c r="N175">
        <v>0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f t="shared" si="6"/>
        <v>0</v>
      </c>
      <c r="W175">
        <f t="shared" si="7"/>
        <v>0.5</v>
      </c>
      <c r="X175">
        <f t="shared" si="8"/>
        <v>0.69314718055994529</v>
      </c>
    </row>
    <row r="176" spans="1:24" x14ac:dyDescent="0.25">
      <c r="A176">
        <v>175</v>
      </c>
      <c r="B176">
        <v>0</v>
      </c>
      <c r="C176">
        <v>1</v>
      </c>
      <c r="D176" s="1" t="s">
        <v>378</v>
      </c>
      <c r="E176">
        <v>0</v>
      </c>
      <c r="F176">
        <v>56</v>
      </c>
      <c r="G176">
        <v>0</v>
      </c>
      <c r="H176">
        <v>0</v>
      </c>
      <c r="I176" s="1" t="s">
        <v>379</v>
      </c>
      <c r="J176">
        <v>30.695799999999998</v>
      </c>
      <c r="K176" s="1" t="s">
        <v>380</v>
      </c>
      <c r="L176" s="1" t="s">
        <v>18</v>
      </c>
      <c r="M176">
        <v>0</v>
      </c>
      <c r="N176">
        <v>1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f t="shared" si="6"/>
        <v>0</v>
      </c>
      <c r="W176">
        <f t="shared" si="7"/>
        <v>0.5</v>
      </c>
      <c r="X176">
        <f t="shared" si="8"/>
        <v>0.69314718055994529</v>
      </c>
    </row>
    <row r="177" spans="1:24" x14ac:dyDescent="0.25">
      <c r="A177">
        <v>176</v>
      </c>
      <c r="B177">
        <v>0</v>
      </c>
      <c r="C177">
        <v>3</v>
      </c>
      <c r="D177" s="1" t="s">
        <v>381</v>
      </c>
      <c r="E177">
        <v>0</v>
      </c>
      <c r="F177">
        <v>18</v>
      </c>
      <c r="G177">
        <v>1</v>
      </c>
      <c r="H177">
        <v>1</v>
      </c>
      <c r="I177" s="1" t="s">
        <v>382</v>
      </c>
      <c r="J177">
        <v>7.8541999999999996</v>
      </c>
      <c r="K177" s="1" t="s">
        <v>48</v>
      </c>
      <c r="L177" s="1" t="s">
        <v>14</v>
      </c>
      <c r="M177">
        <v>1</v>
      </c>
      <c r="N177">
        <v>0</v>
      </c>
      <c r="O177">
        <v>0</v>
      </c>
      <c r="P177" t="s">
        <v>1741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f t="shared" si="6"/>
        <v>0</v>
      </c>
      <c r="W177">
        <f t="shared" si="7"/>
        <v>0.5</v>
      </c>
      <c r="X177">
        <f t="shared" si="8"/>
        <v>0.69314718055994529</v>
      </c>
    </row>
    <row r="178" spans="1:24" x14ac:dyDescent="0.25">
      <c r="A178">
        <v>177</v>
      </c>
      <c r="B178">
        <v>0</v>
      </c>
      <c r="C178">
        <v>3</v>
      </c>
      <c r="D178" s="1" t="s">
        <v>383</v>
      </c>
      <c r="E178">
        <v>0</v>
      </c>
      <c r="F178" s="1">
        <v>5.193548387096774</v>
      </c>
      <c r="G178">
        <v>3</v>
      </c>
      <c r="H178">
        <v>1</v>
      </c>
      <c r="I178" s="1" t="s">
        <v>384</v>
      </c>
      <c r="J178">
        <v>25.466699999999999</v>
      </c>
      <c r="K178" s="1" t="s">
        <v>48</v>
      </c>
      <c r="L178" s="1" t="s">
        <v>14</v>
      </c>
      <c r="M178">
        <v>1</v>
      </c>
      <c r="N178">
        <v>0</v>
      </c>
      <c r="O178">
        <v>0</v>
      </c>
      <c r="P178" t="s">
        <v>1742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f t="shared" si="6"/>
        <v>0.21766252466937555</v>
      </c>
      <c r="W178">
        <f t="shared" si="7"/>
        <v>0.55420180681382414</v>
      </c>
      <c r="X178">
        <f t="shared" si="8"/>
        <v>0.8078889110081291</v>
      </c>
    </row>
    <row r="179" spans="1:24" x14ac:dyDescent="0.25">
      <c r="A179">
        <v>178</v>
      </c>
      <c r="B179">
        <v>0</v>
      </c>
      <c r="C179">
        <v>1</v>
      </c>
      <c r="D179" s="1" t="s">
        <v>385</v>
      </c>
      <c r="E179">
        <v>1</v>
      </c>
      <c r="F179">
        <v>50</v>
      </c>
      <c r="G179">
        <v>0</v>
      </c>
      <c r="H179">
        <v>0</v>
      </c>
      <c r="I179" s="1" t="s">
        <v>386</v>
      </c>
      <c r="J179">
        <v>28.712499999999999</v>
      </c>
      <c r="K179" s="1" t="s">
        <v>387</v>
      </c>
      <c r="L179" s="1" t="s">
        <v>18</v>
      </c>
      <c r="M179">
        <v>0</v>
      </c>
      <c r="N179">
        <v>1</v>
      </c>
      <c r="O179">
        <v>0</v>
      </c>
      <c r="P179" t="s">
        <v>1739</v>
      </c>
      <c r="Q179">
        <v>1</v>
      </c>
      <c r="R179">
        <v>0</v>
      </c>
      <c r="S179">
        <v>0</v>
      </c>
      <c r="T179">
        <v>0</v>
      </c>
      <c r="U179">
        <v>0</v>
      </c>
      <c r="V179">
        <f t="shared" si="6"/>
        <v>0.87219584275330231</v>
      </c>
      <c r="W179">
        <f t="shared" si="7"/>
        <v>0.70520240168703408</v>
      </c>
      <c r="X179">
        <f t="shared" si="8"/>
        <v>1.2214662655353992</v>
      </c>
    </row>
    <row r="180" spans="1:24" x14ac:dyDescent="0.25">
      <c r="A180">
        <v>179</v>
      </c>
      <c r="B180">
        <v>0</v>
      </c>
      <c r="C180">
        <v>2</v>
      </c>
      <c r="D180" s="1" t="s">
        <v>388</v>
      </c>
      <c r="E180">
        <v>0</v>
      </c>
      <c r="F180">
        <v>30</v>
      </c>
      <c r="G180">
        <v>0</v>
      </c>
      <c r="H180">
        <v>0</v>
      </c>
      <c r="I180" s="1" t="s">
        <v>389</v>
      </c>
      <c r="J180">
        <v>13</v>
      </c>
      <c r="K180" s="1" t="s">
        <v>48</v>
      </c>
      <c r="L180" s="1" t="s">
        <v>14</v>
      </c>
      <c r="M180">
        <v>1</v>
      </c>
      <c r="N180">
        <v>0</v>
      </c>
      <c r="O180">
        <v>0</v>
      </c>
      <c r="P180" t="s">
        <v>1741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f t="shared" si="6"/>
        <v>0</v>
      </c>
      <c r="W180">
        <f t="shared" si="7"/>
        <v>0.5</v>
      </c>
      <c r="X180">
        <f t="shared" si="8"/>
        <v>0.69314718055994529</v>
      </c>
    </row>
    <row r="181" spans="1:24" x14ac:dyDescent="0.25">
      <c r="A181">
        <v>180</v>
      </c>
      <c r="B181">
        <v>0</v>
      </c>
      <c r="C181">
        <v>3</v>
      </c>
      <c r="D181" s="1" t="s">
        <v>390</v>
      </c>
      <c r="E181">
        <v>0</v>
      </c>
      <c r="F181">
        <v>36</v>
      </c>
      <c r="G181">
        <v>0</v>
      </c>
      <c r="H181">
        <v>0</v>
      </c>
      <c r="I181" s="1" t="s">
        <v>391</v>
      </c>
      <c r="J181">
        <v>0</v>
      </c>
      <c r="K181" s="1" t="s">
        <v>48</v>
      </c>
      <c r="L181" s="1" t="s">
        <v>14</v>
      </c>
      <c r="M181">
        <v>1</v>
      </c>
      <c r="N181">
        <v>0</v>
      </c>
      <c r="O181">
        <v>0</v>
      </c>
      <c r="P181" t="s">
        <v>1741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f t="shared" si="6"/>
        <v>0</v>
      </c>
      <c r="W181">
        <f t="shared" si="7"/>
        <v>0.5</v>
      </c>
      <c r="X181">
        <f t="shared" si="8"/>
        <v>0.69314718055994529</v>
      </c>
    </row>
    <row r="182" spans="1:24" x14ac:dyDescent="0.25">
      <c r="A182">
        <v>181</v>
      </c>
      <c r="B182">
        <v>0</v>
      </c>
      <c r="C182">
        <v>3</v>
      </c>
      <c r="D182" s="1" t="s">
        <v>392</v>
      </c>
      <c r="E182">
        <v>1</v>
      </c>
      <c r="F182" s="1">
        <v>21.98581560283688</v>
      </c>
      <c r="G182">
        <v>8</v>
      </c>
      <c r="H182">
        <v>2</v>
      </c>
      <c r="I182" s="1" t="s">
        <v>352</v>
      </c>
      <c r="J182">
        <v>69.55</v>
      </c>
      <c r="K182" s="1" t="s">
        <v>48</v>
      </c>
      <c r="L182" s="1" t="s">
        <v>14</v>
      </c>
      <c r="M182">
        <v>1</v>
      </c>
      <c r="N182">
        <v>0</v>
      </c>
      <c r="O182">
        <v>0</v>
      </c>
      <c r="P182" t="s">
        <v>1739</v>
      </c>
      <c r="Q182">
        <v>1</v>
      </c>
      <c r="R182">
        <v>0</v>
      </c>
      <c r="S182">
        <v>0</v>
      </c>
      <c r="T182">
        <v>0</v>
      </c>
      <c r="U182">
        <v>0</v>
      </c>
      <c r="V182">
        <f t="shared" si="6"/>
        <v>0.87219584275330231</v>
      </c>
      <c r="W182">
        <f t="shared" si="7"/>
        <v>0.70520240168703408</v>
      </c>
      <c r="X182">
        <f t="shared" si="8"/>
        <v>1.2214662655353992</v>
      </c>
    </row>
    <row r="183" spans="1:24" x14ac:dyDescent="0.25">
      <c r="A183">
        <v>182</v>
      </c>
      <c r="B183">
        <v>0</v>
      </c>
      <c r="C183">
        <v>2</v>
      </c>
      <c r="D183" s="1" t="s">
        <v>393</v>
      </c>
      <c r="E183">
        <v>0</v>
      </c>
      <c r="F183" s="1">
        <v>32.180156657963444</v>
      </c>
      <c r="G183">
        <v>0</v>
      </c>
      <c r="H183">
        <v>0</v>
      </c>
      <c r="I183" s="1" t="s">
        <v>394</v>
      </c>
      <c r="J183">
        <v>15.05</v>
      </c>
      <c r="K183" s="1" t="s">
        <v>48</v>
      </c>
      <c r="L183" s="1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f t="shared" si="6"/>
        <v>0</v>
      </c>
      <c r="W183">
        <f t="shared" si="7"/>
        <v>0.5</v>
      </c>
      <c r="X183">
        <f t="shared" si="8"/>
        <v>0.69314718055994529</v>
      </c>
    </row>
    <row r="184" spans="1:24" x14ac:dyDescent="0.25">
      <c r="A184">
        <v>183</v>
      </c>
      <c r="B184">
        <v>0</v>
      </c>
      <c r="C184">
        <v>3</v>
      </c>
      <c r="D184" s="1" t="s">
        <v>395</v>
      </c>
      <c r="E184">
        <v>0</v>
      </c>
      <c r="F184">
        <v>9</v>
      </c>
      <c r="G184">
        <v>4</v>
      </c>
      <c r="H184">
        <v>2</v>
      </c>
      <c r="I184" s="1" t="s">
        <v>73</v>
      </c>
      <c r="J184">
        <v>31.387499999999999</v>
      </c>
      <c r="K184" s="1" t="s">
        <v>48</v>
      </c>
      <c r="L184" s="1" t="s">
        <v>14</v>
      </c>
      <c r="M184">
        <v>1</v>
      </c>
      <c r="N184">
        <v>0</v>
      </c>
      <c r="O184">
        <v>0</v>
      </c>
      <c r="P184" t="s">
        <v>1742</v>
      </c>
      <c r="Q184">
        <v>0</v>
      </c>
      <c r="R184">
        <v>0</v>
      </c>
      <c r="S184">
        <v>0</v>
      </c>
      <c r="T184">
        <v>1</v>
      </c>
      <c r="U184">
        <v>0</v>
      </c>
      <c r="V184">
        <f t="shared" si="6"/>
        <v>0.21766252466937555</v>
      </c>
      <c r="W184">
        <f t="shared" si="7"/>
        <v>0.55420180681382414</v>
      </c>
      <c r="X184">
        <f t="shared" si="8"/>
        <v>0.8078889110081291</v>
      </c>
    </row>
    <row r="185" spans="1:24" x14ac:dyDescent="0.25">
      <c r="A185">
        <v>184</v>
      </c>
      <c r="B185">
        <v>1</v>
      </c>
      <c r="C185">
        <v>2</v>
      </c>
      <c r="D185" s="1" t="s">
        <v>396</v>
      </c>
      <c r="E185">
        <v>0</v>
      </c>
      <c r="F185">
        <v>1</v>
      </c>
      <c r="G185">
        <v>2</v>
      </c>
      <c r="H185">
        <v>1</v>
      </c>
      <c r="I185" s="1" t="s">
        <v>397</v>
      </c>
      <c r="J185">
        <v>39</v>
      </c>
      <c r="K185" s="1" t="s">
        <v>398</v>
      </c>
      <c r="L185" s="1" t="s">
        <v>14</v>
      </c>
      <c r="M185">
        <v>1</v>
      </c>
      <c r="N185">
        <v>0</v>
      </c>
      <c r="O185">
        <v>0</v>
      </c>
      <c r="P185" t="s">
        <v>1742</v>
      </c>
      <c r="Q185">
        <v>0</v>
      </c>
      <c r="R185">
        <v>0</v>
      </c>
      <c r="S185">
        <v>0</v>
      </c>
      <c r="T185">
        <v>1</v>
      </c>
      <c r="U185">
        <v>0</v>
      </c>
      <c r="V185">
        <f t="shared" si="6"/>
        <v>0.21766252466937555</v>
      </c>
      <c r="W185">
        <f t="shared" si="7"/>
        <v>0.55420180681382414</v>
      </c>
      <c r="X185">
        <f t="shared" si="8"/>
        <v>0.59022638633875368</v>
      </c>
    </row>
    <row r="186" spans="1:24" x14ac:dyDescent="0.25">
      <c r="A186">
        <v>185</v>
      </c>
      <c r="B186">
        <v>1</v>
      </c>
      <c r="C186">
        <v>3</v>
      </c>
      <c r="D186" s="1" t="s">
        <v>399</v>
      </c>
      <c r="E186">
        <v>1</v>
      </c>
      <c r="F186">
        <v>4</v>
      </c>
      <c r="G186">
        <v>0</v>
      </c>
      <c r="H186">
        <v>2</v>
      </c>
      <c r="I186" s="1" t="s">
        <v>400</v>
      </c>
      <c r="J186">
        <v>22.024999999999999</v>
      </c>
      <c r="K186" s="1" t="s">
        <v>48</v>
      </c>
      <c r="L186" s="1" t="s">
        <v>14</v>
      </c>
      <c r="M186">
        <v>1</v>
      </c>
      <c r="N186">
        <v>0</v>
      </c>
      <c r="O186">
        <v>0</v>
      </c>
      <c r="P186" t="s">
        <v>1739</v>
      </c>
      <c r="Q186">
        <v>1</v>
      </c>
      <c r="R186">
        <v>0</v>
      </c>
      <c r="S186">
        <v>0</v>
      </c>
      <c r="T186">
        <v>0</v>
      </c>
      <c r="U186">
        <v>0</v>
      </c>
      <c r="V186">
        <f t="shared" si="6"/>
        <v>0.87219584275330231</v>
      </c>
      <c r="W186">
        <f t="shared" si="7"/>
        <v>0.70520240168703408</v>
      </c>
      <c r="X186">
        <f t="shared" si="8"/>
        <v>0.34927042278209691</v>
      </c>
    </row>
    <row r="187" spans="1:24" x14ac:dyDescent="0.25">
      <c r="A187">
        <v>186</v>
      </c>
      <c r="B187">
        <v>0</v>
      </c>
      <c r="C187">
        <v>1</v>
      </c>
      <c r="D187" s="1" t="s">
        <v>401</v>
      </c>
      <c r="E187">
        <v>0</v>
      </c>
      <c r="F187" s="1">
        <v>32.180156657963444</v>
      </c>
      <c r="G187">
        <v>0</v>
      </c>
      <c r="H187">
        <v>0</v>
      </c>
      <c r="I187" s="1" t="s">
        <v>402</v>
      </c>
      <c r="J187">
        <v>50</v>
      </c>
      <c r="K187" s="1" t="s">
        <v>403</v>
      </c>
      <c r="L187" s="1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f t="shared" si="6"/>
        <v>0</v>
      </c>
      <c r="W187">
        <f t="shared" si="7"/>
        <v>0.5</v>
      </c>
      <c r="X187">
        <f t="shared" si="8"/>
        <v>0.69314718055994529</v>
      </c>
    </row>
    <row r="188" spans="1:24" x14ac:dyDescent="0.25">
      <c r="A188">
        <v>187</v>
      </c>
      <c r="B188">
        <v>1</v>
      </c>
      <c r="C188">
        <v>3</v>
      </c>
      <c r="D188" s="1" t="s">
        <v>404</v>
      </c>
      <c r="E188">
        <v>1</v>
      </c>
      <c r="F188" s="1">
        <v>35.898148148148145</v>
      </c>
      <c r="G188">
        <v>1</v>
      </c>
      <c r="H188">
        <v>0</v>
      </c>
      <c r="I188" s="1" t="s">
        <v>405</v>
      </c>
      <c r="J188">
        <v>15.5</v>
      </c>
      <c r="K188" s="1" t="s">
        <v>48</v>
      </c>
      <c r="L188" s="1" t="s">
        <v>28</v>
      </c>
      <c r="M188">
        <v>0</v>
      </c>
      <c r="N188">
        <v>0</v>
      </c>
      <c r="O188">
        <v>1</v>
      </c>
      <c r="P188" t="s">
        <v>1740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f t="shared" si="6"/>
        <v>1.3618761518134992</v>
      </c>
      <c r="W188">
        <f t="shared" si="7"/>
        <v>0.79606445234832413</v>
      </c>
      <c r="X188">
        <f t="shared" si="8"/>
        <v>0.22807512612883141</v>
      </c>
    </row>
    <row r="189" spans="1:24" x14ac:dyDescent="0.25">
      <c r="A189">
        <v>188</v>
      </c>
      <c r="B189">
        <v>1</v>
      </c>
      <c r="C189">
        <v>1</v>
      </c>
      <c r="D189" s="1" t="s">
        <v>406</v>
      </c>
      <c r="E189">
        <v>0</v>
      </c>
      <c r="F189">
        <v>45</v>
      </c>
      <c r="G189">
        <v>0</v>
      </c>
      <c r="H189">
        <v>0</v>
      </c>
      <c r="I189" s="1" t="s">
        <v>407</v>
      </c>
      <c r="J189">
        <v>26.55</v>
      </c>
      <c r="K189" s="1" t="s">
        <v>48</v>
      </c>
      <c r="L189" s="1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f t="shared" si="6"/>
        <v>0</v>
      </c>
      <c r="W189">
        <f t="shared" si="7"/>
        <v>0.5</v>
      </c>
      <c r="X189">
        <f t="shared" si="8"/>
        <v>0.69314718055994529</v>
      </c>
    </row>
    <row r="190" spans="1:24" x14ac:dyDescent="0.25">
      <c r="A190">
        <v>189</v>
      </c>
      <c r="B190">
        <v>0</v>
      </c>
      <c r="C190">
        <v>3</v>
      </c>
      <c r="D190" s="1" t="s">
        <v>408</v>
      </c>
      <c r="E190">
        <v>0</v>
      </c>
      <c r="F190">
        <v>40</v>
      </c>
      <c r="G190">
        <v>1</v>
      </c>
      <c r="H190">
        <v>1</v>
      </c>
      <c r="I190" s="1" t="s">
        <v>409</v>
      </c>
      <c r="J190">
        <v>15.5</v>
      </c>
      <c r="K190" s="1" t="s">
        <v>48</v>
      </c>
      <c r="L190" s="1" t="s">
        <v>28</v>
      </c>
      <c r="M190">
        <v>0</v>
      </c>
      <c r="N190">
        <v>0</v>
      </c>
      <c r="O190">
        <v>1</v>
      </c>
      <c r="P190" t="s">
        <v>1741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f t="shared" si="6"/>
        <v>0</v>
      </c>
      <c r="W190">
        <f t="shared" si="7"/>
        <v>0.5</v>
      </c>
      <c r="X190">
        <f t="shared" si="8"/>
        <v>0.69314718055994529</v>
      </c>
    </row>
    <row r="191" spans="1:24" x14ac:dyDescent="0.25">
      <c r="A191">
        <v>190</v>
      </c>
      <c r="B191">
        <v>0</v>
      </c>
      <c r="C191">
        <v>3</v>
      </c>
      <c r="D191" s="1" t="s">
        <v>410</v>
      </c>
      <c r="E191">
        <v>0</v>
      </c>
      <c r="F191">
        <v>36</v>
      </c>
      <c r="G191">
        <v>0</v>
      </c>
      <c r="H191">
        <v>0</v>
      </c>
      <c r="I191" s="1" t="s">
        <v>411</v>
      </c>
      <c r="J191">
        <v>7.8958000000000004</v>
      </c>
      <c r="K191" s="1" t="s">
        <v>48</v>
      </c>
      <c r="L191" s="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f t="shared" si="6"/>
        <v>0</v>
      </c>
      <c r="W191">
        <f t="shared" si="7"/>
        <v>0.5</v>
      </c>
      <c r="X191">
        <f t="shared" si="8"/>
        <v>0.69314718055994529</v>
      </c>
    </row>
    <row r="192" spans="1:24" x14ac:dyDescent="0.25">
      <c r="A192">
        <v>191</v>
      </c>
      <c r="B192">
        <v>1</v>
      </c>
      <c r="C192">
        <v>2</v>
      </c>
      <c r="D192" s="1" t="s">
        <v>412</v>
      </c>
      <c r="E192">
        <v>1</v>
      </c>
      <c r="F192">
        <v>32</v>
      </c>
      <c r="G192">
        <v>0</v>
      </c>
      <c r="H192">
        <v>0</v>
      </c>
      <c r="I192" s="1" t="s">
        <v>413</v>
      </c>
      <c r="J192">
        <v>13</v>
      </c>
      <c r="K192" s="1" t="s">
        <v>48</v>
      </c>
      <c r="L192" s="1" t="s">
        <v>14</v>
      </c>
      <c r="M192">
        <v>1</v>
      </c>
      <c r="N192">
        <v>0</v>
      </c>
      <c r="O192">
        <v>0</v>
      </c>
      <c r="P192" t="s">
        <v>1740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f t="shared" si="6"/>
        <v>1.3618761518134992</v>
      </c>
      <c r="W192">
        <f t="shared" si="7"/>
        <v>0.79606445234832413</v>
      </c>
      <c r="X192">
        <f t="shared" si="8"/>
        <v>0.22807512612883141</v>
      </c>
    </row>
    <row r="193" spans="1:24" x14ac:dyDescent="0.25">
      <c r="A193">
        <v>192</v>
      </c>
      <c r="B193">
        <v>0</v>
      </c>
      <c r="C193">
        <v>2</v>
      </c>
      <c r="D193" s="1" t="s">
        <v>414</v>
      </c>
      <c r="E193">
        <v>0</v>
      </c>
      <c r="F193">
        <v>19</v>
      </c>
      <c r="G193">
        <v>0</v>
      </c>
      <c r="H193">
        <v>0</v>
      </c>
      <c r="I193" s="1" t="s">
        <v>415</v>
      </c>
      <c r="J193">
        <v>13</v>
      </c>
      <c r="K193" s="1" t="s">
        <v>48</v>
      </c>
      <c r="L193" s="1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f t="shared" si="6"/>
        <v>0</v>
      </c>
      <c r="W193">
        <f t="shared" si="7"/>
        <v>0.5</v>
      </c>
      <c r="X193">
        <f t="shared" si="8"/>
        <v>0.69314718055994529</v>
      </c>
    </row>
    <row r="194" spans="1:24" x14ac:dyDescent="0.25">
      <c r="A194">
        <v>193</v>
      </c>
      <c r="B194">
        <v>1</v>
      </c>
      <c r="C194">
        <v>3</v>
      </c>
      <c r="D194" s="1" t="s">
        <v>416</v>
      </c>
      <c r="E194">
        <v>1</v>
      </c>
      <c r="F194">
        <v>19</v>
      </c>
      <c r="G194">
        <v>1</v>
      </c>
      <c r="H194">
        <v>0</v>
      </c>
      <c r="I194" s="1" t="s">
        <v>417</v>
      </c>
      <c r="J194">
        <v>7.8541999999999996</v>
      </c>
      <c r="K194" s="1" t="s">
        <v>48</v>
      </c>
      <c r="L194" s="1" t="s">
        <v>14</v>
      </c>
      <c r="M194">
        <v>1</v>
      </c>
      <c r="N194">
        <v>0</v>
      </c>
      <c r="O194">
        <v>0</v>
      </c>
      <c r="P194" t="s">
        <v>1739</v>
      </c>
      <c r="Q194">
        <v>1</v>
      </c>
      <c r="R194">
        <v>0</v>
      </c>
      <c r="S194">
        <v>0</v>
      </c>
      <c r="T194">
        <v>0</v>
      </c>
      <c r="U194">
        <v>0</v>
      </c>
      <c r="V194">
        <f t="shared" si="6"/>
        <v>0.87219584275330231</v>
      </c>
      <c r="W194">
        <f t="shared" si="7"/>
        <v>0.70520240168703408</v>
      </c>
      <c r="X194">
        <f t="shared" si="8"/>
        <v>0.34927042278209691</v>
      </c>
    </row>
    <row r="195" spans="1:24" x14ac:dyDescent="0.25">
      <c r="A195">
        <v>194</v>
      </c>
      <c r="B195">
        <v>1</v>
      </c>
      <c r="C195">
        <v>2</v>
      </c>
      <c r="D195" s="1" t="s">
        <v>418</v>
      </c>
      <c r="E195">
        <v>0</v>
      </c>
      <c r="F195">
        <v>3</v>
      </c>
      <c r="G195">
        <v>1</v>
      </c>
      <c r="H195">
        <v>1</v>
      </c>
      <c r="I195" s="1" t="s">
        <v>328</v>
      </c>
      <c r="J195">
        <v>26</v>
      </c>
      <c r="K195" s="1" t="s">
        <v>329</v>
      </c>
      <c r="L195" s="1" t="s">
        <v>14</v>
      </c>
      <c r="M195">
        <v>1</v>
      </c>
      <c r="N195">
        <v>0</v>
      </c>
      <c r="O195">
        <v>0</v>
      </c>
      <c r="P195" t="s">
        <v>1742</v>
      </c>
      <c r="Q195">
        <v>0</v>
      </c>
      <c r="R195">
        <v>0</v>
      </c>
      <c r="S195">
        <v>0</v>
      </c>
      <c r="T195">
        <v>1</v>
      </c>
      <c r="U195">
        <v>0</v>
      </c>
      <c r="V195">
        <f t="shared" ref="V195:V258" si="9">$AB$1+C195*$AB$2+E195*$AB$3+F195*$AB$4+G195*$AB$5+H195*$AB$6+J195*$AB$7+M195*$AB$8+N195*$AB$9+O195*$AB$10+Q195*$AB$11+R195*$AB$12+S195*$AB$13+T195*$AB$14+U195*$AB$15</f>
        <v>0.21766252466937555</v>
      </c>
      <c r="W195">
        <f t="shared" ref="W195:W258" si="10">1/(1+EXP(-V195))</f>
        <v>0.55420180681382414</v>
      </c>
      <c r="X195">
        <f t="shared" ref="X195:X258" si="11">-(B195*LN(MAX(0.000001,MIN(0.999999,W195))) +(1-B195)*LN(MAX(0.000001,MIN(0.999999,1-W195))))</f>
        <v>0.59022638633875368</v>
      </c>
    </row>
    <row r="196" spans="1:24" x14ac:dyDescent="0.25">
      <c r="A196">
        <v>195</v>
      </c>
      <c r="B196">
        <v>1</v>
      </c>
      <c r="C196">
        <v>1</v>
      </c>
      <c r="D196" s="1" t="s">
        <v>419</v>
      </c>
      <c r="E196">
        <v>1</v>
      </c>
      <c r="F196">
        <v>44</v>
      </c>
      <c r="G196">
        <v>0</v>
      </c>
      <c r="H196">
        <v>0</v>
      </c>
      <c r="I196" s="1" t="s">
        <v>420</v>
      </c>
      <c r="J196">
        <v>27.720800000000001</v>
      </c>
      <c r="K196" s="1" t="s">
        <v>421</v>
      </c>
      <c r="L196" s="1" t="s">
        <v>18</v>
      </c>
      <c r="M196">
        <v>0</v>
      </c>
      <c r="N196">
        <v>1</v>
      </c>
      <c r="O196">
        <v>0</v>
      </c>
      <c r="P196" t="s">
        <v>1740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f t="shared" si="9"/>
        <v>1.3618761518134992</v>
      </c>
      <c r="W196">
        <f t="shared" si="10"/>
        <v>0.79606445234832413</v>
      </c>
      <c r="X196">
        <f t="shared" si="11"/>
        <v>0.22807512612883141</v>
      </c>
    </row>
    <row r="197" spans="1:24" x14ac:dyDescent="0.25">
      <c r="A197">
        <v>196</v>
      </c>
      <c r="B197">
        <v>1</v>
      </c>
      <c r="C197">
        <v>1</v>
      </c>
      <c r="D197" s="1" t="s">
        <v>422</v>
      </c>
      <c r="E197">
        <v>1</v>
      </c>
      <c r="F197">
        <v>58</v>
      </c>
      <c r="G197">
        <v>0</v>
      </c>
      <c r="H197">
        <v>0</v>
      </c>
      <c r="I197" s="1" t="s">
        <v>86</v>
      </c>
      <c r="J197">
        <v>146.52080000000001</v>
      </c>
      <c r="K197" s="1" t="s">
        <v>423</v>
      </c>
      <c r="L197" s="1" t="s">
        <v>18</v>
      </c>
      <c r="M197">
        <v>0</v>
      </c>
      <c r="N197">
        <v>1</v>
      </c>
      <c r="O197">
        <v>0</v>
      </c>
      <c r="P197" t="s">
        <v>1739</v>
      </c>
      <c r="Q197">
        <v>1</v>
      </c>
      <c r="R197">
        <v>0</v>
      </c>
      <c r="S197">
        <v>0</v>
      </c>
      <c r="T197">
        <v>0</v>
      </c>
      <c r="U197">
        <v>0</v>
      </c>
      <c r="V197">
        <f t="shared" si="9"/>
        <v>0.87219584275330231</v>
      </c>
      <c r="W197">
        <f t="shared" si="10"/>
        <v>0.70520240168703408</v>
      </c>
      <c r="X197">
        <f t="shared" si="11"/>
        <v>0.34927042278209691</v>
      </c>
    </row>
    <row r="198" spans="1:24" x14ac:dyDescent="0.25">
      <c r="A198">
        <v>197</v>
      </c>
      <c r="B198">
        <v>0</v>
      </c>
      <c r="C198">
        <v>3</v>
      </c>
      <c r="D198" s="1" t="s">
        <v>424</v>
      </c>
      <c r="E198">
        <v>0</v>
      </c>
      <c r="F198" s="1">
        <v>32.180156657963444</v>
      </c>
      <c r="G198">
        <v>0</v>
      </c>
      <c r="H198">
        <v>0</v>
      </c>
      <c r="I198" s="1" t="s">
        <v>425</v>
      </c>
      <c r="J198">
        <v>7.75</v>
      </c>
      <c r="K198" s="1" t="s">
        <v>48</v>
      </c>
      <c r="L198" s="1" t="s">
        <v>28</v>
      </c>
      <c r="M198">
        <v>0</v>
      </c>
      <c r="N198">
        <v>0</v>
      </c>
      <c r="O198">
        <v>1</v>
      </c>
      <c r="P198" t="s">
        <v>1741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f t="shared" si="9"/>
        <v>0</v>
      </c>
      <c r="W198">
        <f t="shared" si="10"/>
        <v>0.5</v>
      </c>
      <c r="X198">
        <f t="shared" si="11"/>
        <v>0.69314718055994529</v>
      </c>
    </row>
    <row r="199" spans="1:24" x14ac:dyDescent="0.25">
      <c r="A199">
        <v>198</v>
      </c>
      <c r="B199">
        <v>0</v>
      </c>
      <c r="C199">
        <v>3</v>
      </c>
      <c r="D199" s="1" t="s">
        <v>426</v>
      </c>
      <c r="E199">
        <v>0</v>
      </c>
      <c r="F199">
        <v>42</v>
      </c>
      <c r="G199">
        <v>0</v>
      </c>
      <c r="H199">
        <v>1</v>
      </c>
      <c r="I199" s="1" t="s">
        <v>427</v>
      </c>
      <c r="J199">
        <v>8.4041999999999994</v>
      </c>
      <c r="K199" s="1" t="s">
        <v>48</v>
      </c>
      <c r="L199" s="1" t="s">
        <v>14</v>
      </c>
      <c r="M199">
        <v>1</v>
      </c>
      <c r="N199">
        <v>0</v>
      </c>
      <c r="O199">
        <v>0</v>
      </c>
      <c r="P199" t="s">
        <v>1741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f t="shared" si="9"/>
        <v>0</v>
      </c>
      <c r="W199">
        <f t="shared" si="10"/>
        <v>0.5</v>
      </c>
      <c r="X199">
        <f t="shared" si="11"/>
        <v>0.69314718055994529</v>
      </c>
    </row>
    <row r="200" spans="1:24" x14ac:dyDescent="0.25">
      <c r="A200">
        <v>199</v>
      </c>
      <c r="B200">
        <v>1</v>
      </c>
      <c r="C200">
        <v>3</v>
      </c>
      <c r="D200" s="1" t="s">
        <v>428</v>
      </c>
      <c r="E200">
        <v>1</v>
      </c>
      <c r="F200" s="1">
        <v>21.98581560283688</v>
      </c>
      <c r="G200">
        <v>0</v>
      </c>
      <c r="H200">
        <v>0</v>
      </c>
      <c r="I200" s="1" t="s">
        <v>429</v>
      </c>
      <c r="J200">
        <v>7.75</v>
      </c>
      <c r="K200" s="1" t="s">
        <v>48</v>
      </c>
      <c r="L200" s="1" t="s">
        <v>28</v>
      </c>
      <c r="M200">
        <v>0</v>
      </c>
      <c r="N200">
        <v>0</v>
      </c>
      <c r="O200">
        <v>1</v>
      </c>
      <c r="P200" t="s">
        <v>1739</v>
      </c>
      <c r="Q200">
        <v>1</v>
      </c>
      <c r="R200">
        <v>0</v>
      </c>
      <c r="S200">
        <v>0</v>
      </c>
      <c r="T200">
        <v>0</v>
      </c>
      <c r="U200">
        <v>0</v>
      </c>
      <c r="V200">
        <f t="shared" si="9"/>
        <v>0.87219584275330231</v>
      </c>
      <c r="W200">
        <f t="shared" si="10"/>
        <v>0.70520240168703408</v>
      </c>
      <c r="X200">
        <f t="shared" si="11"/>
        <v>0.34927042278209691</v>
      </c>
    </row>
    <row r="201" spans="1:24" x14ac:dyDescent="0.25">
      <c r="A201">
        <v>200</v>
      </c>
      <c r="B201">
        <v>0</v>
      </c>
      <c r="C201">
        <v>2</v>
      </c>
      <c r="D201" s="1" t="s">
        <v>430</v>
      </c>
      <c r="E201">
        <v>1</v>
      </c>
      <c r="F201">
        <v>24</v>
      </c>
      <c r="G201">
        <v>0</v>
      </c>
      <c r="H201">
        <v>0</v>
      </c>
      <c r="I201" s="1" t="s">
        <v>431</v>
      </c>
      <c r="J201">
        <v>13</v>
      </c>
      <c r="K201" s="1" t="s">
        <v>48</v>
      </c>
      <c r="L201" s="1" t="s">
        <v>14</v>
      </c>
      <c r="M201">
        <v>1</v>
      </c>
      <c r="N201">
        <v>0</v>
      </c>
      <c r="O201">
        <v>0</v>
      </c>
      <c r="P201" t="s">
        <v>1739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f t="shared" si="9"/>
        <v>0.87219584275330231</v>
      </c>
      <c r="W201">
        <f t="shared" si="10"/>
        <v>0.70520240168703408</v>
      </c>
      <c r="X201">
        <f t="shared" si="11"/>
        <v>1.2214662655353992</v>
      </c>
    </row>
    <row r="202" spans="1:24" x14ac:dyDescent="0.25">
      <c r="A202">
        <v>201</v>
      </c>
      <c r="B202">
        <v>0</v>
      </c>
      <c r="C202">
        <v>3</v>
      </c>
      <c r="D202" s="1" t="s">
        <v>432</v>
      </c>
      <c r="E202">
        <v>0</v>
      </c>
      <c r="F202">
        <v>28</v>
      </c>
      <c r="G202">
        <v>0</v>
      </c>
      <c r="H202">
        <v>0</v>
      </c>
      <c r="I202" s="1" t="s">
        <v>433</v>
      </c>
      <c r="J202">
        <v>9.5</v>
      </c>
      <c r="K202" s="1" t="s">
        <v>48</v>
      </c>
      <c r="L202" s="1" t="s">
        <v>14</v>
      </c>
      <c r="M202">
        <v>1</v>
      </c>
      <c r="N202">
        <v>0</v>
      </c>
      <c r="O202">
        <v>0</v>
      </c>
      <c r="P202" t="s">
        <v>1741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f t="shared" si="9"/>
        <v>0</v>
      </c>
      <c r="W202">
        <f t="shared" si="10"/>
        <v>0.5</v>
      </c>
      <c r="X202">
        <f t="shared" si="11"/>
        <v>0.69314718055994529</v>
      </c>
    </row>
    <row r="203" spans="1:24" x14ac:dyDescent="0.25">
      <c r="A203">
        <v>202</v>
      </c>
      <c r="B203">
        <v>0</v>
      </c>
      <c r="C203">
        <v>3</v>
      </c>
      <c r="D203" s="1" t="s">
        <v>434</v>
      </c>
      <c r="E203">
        <v>0</v>
      </c>
      <c r="F203" s="1">
        <v>32.180156657963444</v>
      </c>
      <c r="G203">
        <v>8</v>
      </c>
      <c r="H203">
        <v>2</v>
      </c>
      <c r="I203" s="1" t="s">
        <v>352</v>
      </c>
      <c r="J203">
        <v>69.55</v>
      </c>
      <c r="K203" s="1" t="s">
        <v>48</v>
      </c>
      <c r="L203" s="1" t="s">
        <v>14</v>
      </c>
      <c r="M203">
        <v>1</v>
      </c>
      <c r="N203">
        <v>0</v>
      </c>
      <c r="O203">
        <v>0</v>
      </c>
      <c r="P203" t="s">
        <v>1741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f t="shared" si="9"/>
        <v>0</v>
      </c>
      <c r="W203">
        <f t="shared" si="10"/>
        <v>0.5</v>
      </c>
      <c r="X203">
        <f t="shared" si="11"/>
        <v>0.69314718055994529</v>
      </c>
    </row>
    <row r="204" spans="1:24" x14ac:dyDescent="0.25">
      <c r="A204">
        <v>203</v>
      </c>
      <c r="B204">
        <v>0</v>
      </c>
      <c r="C204">
        <v>3</v>
      </c>
      <c r="D204" s="1" t="s">
        <v>435</v>
      </c>
      <c r="E204">
        <v>0</v>
      </c>
      <c r="F204">
        <v>34</v>
      </c>
      <c r="G204">
        <v>0</v>
      </c>
      <c r="H204">
        <v>0</v>
      </c>
      <c r="I204" s="1" t="s">
        <v>436</v>
      </c>
      <c r="J204">
        <v>6.4958</v>
      </c>
      <c r="K204" s="1" t="s">
        <v>48</v>
      </c>
      <c r="L204" s="1" t="s">
        <v>14</v>
      </c>
      <c r="M204">
        <v>1</v>
      </c>
      <c r="N204">
        <v>0</v>
      </c>
      <c r="O204">
        <v>0</v>
      </c>
      <c r="P204" t="s">
        <v>1741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f t="shared" si="9"/>
        <v>0</v>
      </c>
      <c r="W204">
        <f t="shared" si="10"/>
        <v>0.5</v>
      </c>
      <c r="X204">
        <f t="shared" si="11"/>
        <v>0.69314718055994529</v>
      </c>
    </row>
    <row r="205" spans="1:24" x14ac:dyDescent="0.25">
      <c r="A205">
        <v>204</v>
      </c>
      <c r="B205">
        <v>0</v>
      </c>
      <c r="C205">
        <v>3</v>
      </c>
      <c r="D205" s="1" t="s">
        <v>437</v>
      </c>
      <c r="E205">
        <v>0</v>
      </c>
      <c r="F205" s="1">
        <v>32.180156657963444</v>
      </c>
      <c r="G205">
        <v>0</v>
      </c>
      <c r="H205">
        <v>0</v>
      </c>
      <c r="I205" s="1" t="s">
        <v>438</v>
      </c>
      <c r="J205">
        <v>7.2249999999999996</v>
      </c>
      <c r="K205" s="1" t="s">
        <v>48</v>
      </c>
      <c r="L205" s="1" t="s">
        <v>18</v>
      </c>
      <c r="M205">
        <v>0</v>
      </c>
      <c r="N205">
        <v>1</v>
      </c>
      <c r="O205">
        <v>0</v>
      </c>
      <c r="P205" t="s">
        <v>1741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f t="shared" si="9"/>
        <v>0</v>
      </c>
      <c r="W205">
        <f t="shared" si="10"/>
        <v>0.5</v>
      </c>
      <c r="X205">
        <f t="shared" si="11"/>
        <v>0.69314718055994529</v>
      </c>
    </row>
    <row r="206" spans="1:24" x14ac:dyDescent="0.25">
      <c r="A206">
        <v>205</v>
      </c>
      <c r="B206">
        <v>1</v>
      </c>
      <c r="C206">
        <v>3</v>
      </c>
      <c r="D206" s="1" t="s">
        <v>439</v>
      </c>
      <c r="E206">
        <v>0</v>
      </c>
      <c r="F206">
        <v>18</v>
      </c>
      <c r="G206">
        <v>0</v>
      </c>
      <c r="H206">
        <v>0</v>
      </c>
      <c r="I206" s="1" t="s">
        <v>440</v>
      </c>
      <c r="J206">
        <v>8.0500000000000007</v>
      </c>
      <c r="K206" s="1" t="s">
        <v>48</v>
      </c>
      <c r="L206" s="1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f t="shared" si="9"/>
        <v>0</v>
      </c>
      <c r="W206">
        <f t="shared" si="10"/>
        <v>0.5</v>
      </c>
      <c r="X206">
        <f t="shared" si="11"/>
        <v>0.69314718055994529</v>
      </c>
    </row>
    <row r="207" spans="1:24" x14ac:dyDescent="0.25">
      <c r="A207">
        <v>206</v>
      </c>
      <c r="B207">
        <v>0</v>
      </c>
      <c r="C207">
        <v>3</v>
      </c>
      <c r="D207" s="1" t="s">
        <v>441</v>
      </c>
      <c r="E207">
        <v>1</v>
      </c>
      <c r="F207">
        <v>2</v>
      </c>
      <c r="G207">
        <v>0</v>
      </c>
      <c r="H207">
        <v>1</v>
      </c>
      <c r="I207" s="1" t="s">
        <v>442</v>
      </c>
      <c r="J207">
        <v>10.4625</v>
      </c>
      <c r="K207" s="1" t="s">
        <v>40</v>
      </c>
      <c r="L207" s="1" t="s">
        <v>14</v>
      </c>
      <c r="M207">
        <v>1</v>
      </c>
      <c r="N207">
        <v>0</v>
      </c>
      <c r="O207">
        <v>0</v>
      </c>
      <c r="P207" t="s">
        <v>1739</v>
      </c>
      <c r="Q207">
        <v>1</v>
      </c>
      <c r="R207">
        <v>0</v>
      </c>
      <c r="S207">
        <v>0</v>
      </c>
      <c r="T207">
        <v>0</v>
      </c>
      <c r="U207">
        <v>0</v>
      </c>
      <c r="V207">
        <f t="shared" si="9"/>
        <v>0.87219584275330231</v>
      </c>
      <c r="W207">
        <f t="shared" si="10"/>
        <v>0.70520240168703408</v>
      </c>
      <c r="X207">
        <f t="shared" si="11"/>
        <v>1.2214662655353992</v>
      </c>
    </row>
    <row r="208" spans="1:24" x14ac:dyDescent="0.25">
      <c r="A208">
        <v>207</v>
      </c>
      <c r="B208">
        <v>0</v>
      </c>
      <c r="C208">
        <v>3</v>
      </c>
      <c r="D208" s="1" t="s">
        <v>443</v>
      </c>
      <c r="E208">
        <v>0</v>
      </c>
      <c r="F208">
        <v>32</v>
      </c>
      <c r="G208">
        <v>1</v>
      </c>
      <c r="H208">
        <v>0</v>
      </c>
      <c r="I208" s="1" t="s">
        <v>201</v>
      </c>
      <c r="J208">
        <v>15.85</v>
      </c>
      <c r="K208" s="1" t="s">
        <v>48</v>
      </c>
      <c r="L208" s="1" t="s">
        <v>14</v>
      </c>
      <c r="M208">
        <v>1</v>
      </c>
      <c r="N208">
        <v>0</v>
      </c>
      <c r="O208">
        <v>0</v>
      </c>
      <c r="P208" t="s">
        <v>1741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f t="shared" si="9"/>
        <v>0</v>
      </c>
      <c r="W208">
        <f t="shared" si="10"/>
        <v>0.5</v>
      </c>
      <c r="X208">
        <f t="shared" si="11"/>
        <v>0.69314718055994529</v>
      </c>
    </row>
    <row r="209" spans="1:24" x14ac:dyDescent="0.25">
      <c r="A209">
        <v>208</v>
      </c>
      <c r="B209">
        <v>1</v>
      </c>
      <c r="C209">
        <v>3</v>
      </c>
      <c r="D209" s="1" t="s">
        <v>444</v>
      </c>
      <c r="E209">
        <v>0</v>
      </c>
      <c r="F209">
        <v>26</v>
      </c>
      <c r="G209">
        <v>0</v>
      </c>
      <c r="H209">
        <v>0</v>
      </c>
      <c r="I209" s="1" t="s">
        <v>445</v>
      </c>
      <c r="J209">
        <v>18.787500000000001</v>
      </c>
      <c r="K209" s="1" t="s">
        <v>48</v>
      </c>
      <c r="L209" s="1" t="s">
        <v>18</v>
      </c>
      <c r="M209">
        <v>0</v>
      </c>
      <c r="N209">
        <v>1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f t="shared" si="9"/>
        <v>0</v>
      </c>
      <c r="W209">
        <f t="shared" si="10"/>
        <v>0.5</v>
      </c>
      <c r="X209">
        <f t="shared" si="11"/>
        <v>0.69314718055994529</v>
      </c>
    </row>
    <row r="210" spans="1:24" x14ac:dyDescent="0.25">
      <c r="A210">
        <v>209</v>
      </c>
      <c r="B210">
        <v>1</v>
      </c>
      <c r="C210">
        <v>3</v>
      </c>
      <c r="D210" s="1" t="s">
        <v>446</v>
      </c>
      <c r="E210">
        <v>1</v>
      </c>
      <c r="F210">
        <v>16</v>
      </c>
      <c r="G210">
        <v>0</v>
      </c>
      <c r="H210">
        <v>0</v>
      </c>
      <c r="I210" s="1" t="s">
        <v>447</v>
      </c>
      <c r="J210">
        <v>7.75</v>
      </c>
      <c r="K210" s="1" t="s">
        <v>48</v>
      </c>
      <c r="L210" s="1" t="s">
        <v>28</v>
      </c>
      <c r="M210">
        <v>0</v>
      </c>
      <c r="N210">
        <v>0</v>
      </c>
      <c r="O210">
        <v>1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f t="shared" si="9"/>
        <v>0.87219584275330231</v>
      </c>
      <c r="W210">
        <f t="shared" si="10"/>
        <v>0.70520240168703408</v>
      </c>
      <c r="X210">
        <f t="shared" si="11"/>
        <v>0.34927042278209691</v>
      </c>
    </row>
    <row r="211" spans="1:24" x14ac:dyDescent="0.25">
      <c r="A211">
        <v>210</v>
      </c>
      <c r="B211">
        <v>1</v>
      </c>
      <c r="C211">
        <v>1</v>
      </c>
      <c r="D211" s="1" t="s">
        <v>448</v>
      </c>
      <c r="E211">
        <v>0</v>
      </c>
      <c r="F211">
        <v>40</v>
      </c>
      <c r="G211">
        <v>0</v>
      </c>
      <c r="H211">
        <v>0</v>
      </c>
      <c r="I211" s="1" t="s">
        <v>449</v>
      </c>
      <c r="J211">
        <v>31</v>
      </c>
      <c r="K211" s="1" t="s">
        <v>450</v>
      </c>
      <c r="L211" s="1" t="s">
        <v>18</v>
      </c>
      <c r="M211">
        <v>0</v>
      </c>
      <c r="N211">
        <v>1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f t="shared" si="9"/>
        <v>0</v>
      </c>
      <c r="W211">
        <f t="shared" si="10"/>
        <v>0.5</v>
      </c>
      <c r="X211">
        <f t="shared" si="11"/>
        <v>0.69314718055994529</v>
      </c>
    </row>
    <row r="212" spans="1:24" x14ac:dyDescent="0.25">
      <c r="A212">
        <v>211</v>
      </c>
      <c r="B212">
        <v>0</v>
      </c>
      <c r="C212">
        <v>3</v>
      </c>
      <c r="D212" s="1" t="s">
        <v>451</v>
      </c>
      <c r="E212">
        <v>0</v>
      </c>
      <c r="F212">
        <v>24</v>
      </c>
      <c r="G212">
        <v>0</v>
      </c>
      <c r="H212">
        <v>0</v>
      </c>
      <c r="I212" s="1" t="s">
        <v>452</v>
      </c>
      <c r="J212">
        <v>7.05</v>
      </c>
      <c r="K212" s="1" t="s">
        <v>48</v>
      </c>
      <c r="L212" s="1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f t="shared" si="9"/>
        <v>0</v>
      </c>
      <c r="W212">
        <f t="shared" si="10"/>
        <v>0.5</v>
      </c>
      <c r="X212">
        <f t="shared" si="11"/>
        <v>0.69314718055994529</v>
      </c>
    </row>
    <row r="213" spans="1:24" x14ac:dyDescent="0.25">
      <c r="A213">
        <v>212</v>
      </c>
      <c r="B213">
        <v>1</v>
      </c>
      <c r="C213">
        <v>2</v>
      </c>
      <c r="D213" s="1" t="s">
        <v>453</v>
      </c>
      <c r="E213">
        <v>1</v>
      </c>
      <c r="F213">
        <v>35</v>
      </c>
      <c r="G213">
        <v>0</v>
      </c>
      <c r="H213">
        <v>0</v>
      </c>
      <c r="I213" s="1" t="s">
        <v>454</v>
      </c>
      <c r="J213">
        <v>21</v>
      </c>
      <c r="K213" s="1" t="s">
        <v>48</v>
      </c>
      <c r="L213" s="1" t="s">
        <v>14</v>
      </c>
      <c r="M213">
        <v>1</v>
      </c>
      <c r="N213">
        <v>0</v>
      </c>
      <c r="O213">
        <v>0</v>
      </c>
      <c r="P213" t="s">
        <v>1739</v>
      </c>
      <c r="Q213">
        <v>1</v>
      </c>
      <c r="R213">
        <v>0</v>
      </c>
      <c r="S213">
        <v>0</v>
      </c>
      <c r="T213">
        <v>0</v>
      </c>
      <c r="U213">
        <v>0</v>
      </c>
      <c r="V213">
        <f t="shared" si="9"/>
        <v>0.87219584275330231</v>
      </c>
      <c r="W213">
        <f t="shared" si="10"/>
        <v>0.70520240168703408</v>
      </c>
      <c r="X213">
        <f t="shared" si="11"/>
        <v>0.34927042278209691</v>
      </c>
    </row>
    <row r="214" spans="1:24" x14ac:dyDescent="0.25">
      <c r="A214">
        <v>213</v>
      </c>
      <c r="B214">
        <v>0</v>
      </c>
      <c r="C214">
        <v>3</v>
      </c>
      <c r="D214" s="1" t="s">
        <v>455</v>
      </c>
      <c r="E214">
        <v>0</v>
      </c>
      <c r="F214">
        <v>22</v>
      </c>
      <c r="G214">
        <v>0</v>
      </c>
      <c r="H214">
        <v>0</v>
      </c>
      <c r="I214" s="1" t="s">
        <v>456</v>
      </c>
      <c r="J214">
        <v>7.25</v>
      </c>
      <c r="K214" s="1" t="s">
        <v>48</v>
      </c>
      <c r="L214" s="1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f t="shared" si="9"/>
        <v>0</v>
      </c>
      <c r="W214">
        <f t="shared" si="10"/>
        <v>0.5</v>
      </c>
      <c r="X214">
        <f t="shared" si="11"/>
        <v>0.69314718055994529</v>
      </c>
    </row>
    <row r="215" spans="1:24" x14ac:dyDescent="0.25">
      <c r="A215">
        <v>214</v>
      </c>
      <c r="B215">
        <v>0</v>
      </c>
      <c r="C215">
        <v>2</v>
      </c>
      <c r="D215" s="1" t="s">
        <v>457</v>
      </c>
      <c r="E215">
        <v>0</v>
      </c>
      <c r="F215">
        <v>30</v>
      </c>
      <c r="G215">
        <v>0</v>
      </c>
      <c r="H215">
        <v>0</v>
      </c>
      <c r="I215" s="1" t="s">
        <v>458</v>
      </c>
      <c r="J215">
        <v>13</v>
      </c>
      <c r="K215" s="1" t="s">
        <v>48</v>
      </c>
      <c r="L215" s="1" t="s">
        <v>14</v>
      </c>
      <c r="M215">
        <v>1</v>
      </c>
      <c r="N215">
        <v>0</v>
      </c>
      <c r="O215">
        <v>0</v>
      </c>
      <c r="P215" t="s">
        <v>1741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f t="shared" si="9"/>
        <v>0</v>
      </c>
      <c r="W215">
        <f t="shared" si="10"/>
        <v>0.5</v>
      </c>
      <c r="X215">
        <f t="shared" si="11"/>
        <v>0.69314718055994529</v>
      </c>
    </row>
    <row r="216" spans="1:24" x14ac:dyDescent="0.25">
      <c r="A216">
        <v>215</v>
      </c>
      <c r="B216">
        <v>0</v>
      </c>
      <c r="C216">
        <v>3</v>
      </c>
      <c r="D216" s="1" t="s">
        <v>459</v>
      </c>
      <c r="E216">
        <v>0</v>
      </c>
      <c r="F216" s="1">
        <v>32.180156657963444</v>
      </c>
      <c r="G216">
        <v>1</v>
      </c>
      <c r="H216">
        <v>0</v>
      </c>
      <c r="I216" s="1" t="s">
        <v>460</v>
      </c>
      <c r="J216">
        <v>7.75</v>
      </c>
      <c r="K216" s="1" t="s">
        <v>48</v>
      </c>
      <c r="L216" s="1" t="s">
        <v>28</v>
      </c>
      <c r="M216">
        <v>0</v>
      </c>
      <c r="N216">
        <v>0</v>
      </c>
      <c r="O216">
        <v>1</v>
      </c>
      <c r="P216" t="s">
        <v>1741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f t="shared" si="9"/>
        <v>0</v>
      </c>
      <c r="W216">
        <f t="shared" si="10"/>
        <v>0.5</v>
      </c>
      <c r="X216">
        <f t="shared" si="11"/>
        <v>0.69314718055994529</v>
      </c>
    </row>
    <row r="217" spans="1:24" x14ac:dyDescent="0.25">
      <c r="A217">
        <v>216</v>
      </c>
      <c r="B217">
        <v>1</v>
      </c>
      <c r="C217">
        <v>1</v>
      </c>
      <c r="D217" s="1" t="s">
        <v>461</v>
      </c>
      <c r="E217">
        <v>1</v>
      </c>
      <c r="F217">
        <v>31</v>
      </c>
      <c r="G217">
        <v>1</v>
      </c>
      <c r="H217">
        <v>0</v>
      </c>
      <c r="I217" s="1" t="s">
        <v>462</v>
      </c>
      <c r="J217">
        <v>113.27500000000001</v>
      </c>
      <c r="K217" s="1" t="s">
        <v>463</v>
      </c>
      <c r="L217" s="1" t="s">
        <v>18</v>
      </c>
      <c r="M217">
        <v>0</v>
      </c>
      <c r="N217">
        <v>1</v>
      </c>
      <c r="O217">
        <v>0</v>
      </c>
      <c r="P217" t="s">
        <v>1739</v>
      </c>
      <c r="Q217">
        <v>1</v>
      </c>
      <c r="R217">
        <v>0</v>
      </c>
      <c r="S217">
        <v>0</v>
      </c>
      <c r="T217">
        <v>0</v>
      </c>
      <c r="U217">
        <v>0</v>
      </c>
      <c r="V217">
        <f t="shared" si="9"/>
        <v>0.87219584275330231</v>
      </c>
      <c r="W217">
        <f t="shared" si="10"/>
        <v>0.70520240168703408</v>
      </c>
      <c r="X217">
        <f t="shared" si="11"/>
        <v>0.34927042278209691</v>
      </c>
    </row>
    <row r="218" spans="1:24" x14ac:dyDescent="0.25">
      <c r="A218">
        <v>217</v>
      </c>
      <c r="B218">
        <v>1</v>
      </c>
      <c r="C218">
        <v>3</v>
      </c>
      <c r="D218" s="1" t="s">
        <v>464</v>
      </c>
      <c r="E218">
        <v>1</v>
      </c>
      <c r="F218">
        <v>27</v>
      </c>
      <c r="G218">
        <v>0</v>
      </c>
      <c r="H218">
        <v>0</v>
      </c>
      <c r="I218" s="1" t="s">
        <v>465</v>
      </c>
      <c r="J218">
        <v>7.9249999999999998</v>
      </c>
      <c r="K218" s="1" t="s">
        <v>48</v>
      </c>
      <c r="L218" s="1" t="s">
        <v>14</v>
      </c>
      <c r="M218">
        <v>1</v>
      </c>
      <c r="N218">
        <v>0</v>
      </c>
      <c r="O218">
        <v>0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  <c r="V218">
        <f t="shared" si="9"/>
        <v>0.87219584275330231</v>
      </c>
      <c r="W218">
        <f t="shared" si="10"/>
        <v>0.70520240168703408</v>
      </c>
      <c r="X218">
        <f t="shared" si="11"/>
        <v>0.34927042278209691</v>
      </c>
    </row>
    <row r="219" spans="1:24" x14ac:dyDescent="0.25">
      <c r="A219">
        <v>218</v>
      </c>
      <c r="B219">
        <v>0</v>
      </c>
      <c r="C219">
        <v>2</v>
      </c>
      <c r="D219" s="1" t="s">
        <v>466</v>
      </c>
      <c r="E219">
        <v>0</v>
      </c>
      <c r="F219">
        <v>42</v>
      </c>
      <c r="G219">
        <v>1</v>
      </c>
      <c r="H219">
        <v>0</v>
      </c>
      <c r="I219" s="1" t="s">
        <v>467</v>
      </c>
      <c r="J219">
        <v>27</v>
      </c>
      <c r="K219" s="1" t="s">
        <v>48</v>
      </c>
      <c r="L219" s="1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f t="shared" si="9"/>
        <v>0</v>
      </c>
      <c r="W219">
        <f t="shared" si="10"/>
        <v>0.5</v>
      </c>
      <c r="X219">
        <f t="shared" si="11"/>
        <v>0.69314718055994529</v>
      </c>
    </row>
    <row r="220" spans="1:24" x14ac:dyDescent="0.25">
      <c r="A220">
        <v>219</v>
      </c>
      <c r="B220">
        <v>1</v>
      </c>
      <c r="C220">
        <v>1</v>
      </c>
      <c r="D220" s="1" t="s">
        <v>468</v>
      </c>
      <c r="E220">
        <v>1</v>
      </c>
      <c r="F220">
        <v>32</v>
      </c>
      <c r="G220">
        <v>0</v>
      </c>
      <c r="H220">
        <v>0</v>
      </c>
      <c r="I220" s="1" t="s">
        <v>469</v>
      </c>
      <c r="J220">
        <v>76.291700000000006</v>
      </c>
      <c r="K220" s="1" t="s">
        <v>470</v>
      </c>
      <c r="L220" s="1" t="s">
        <v>18</v>
      </c>
      <c r="M220">
        <v>0</v>
      </c>
      <c r="N220">
        <v>1</v>
      </c>
      <c r="O220">
        <v>0</v>
      </c>
      <c r="P220" t="s">
        <v>1739</v>
      </c>
      <c r="Q220">
        <v>1</v>
      </c>
      <c r="R220">
        <v>0</v>
      </c>
      <c r="S220">
        <v>0</v>
      </c>
      <c r="T220">
        <v>0</v>
      </c>
      <c r="U220">
        <v>0</v>
      </c>
      <c r="V220">
        <f t="shared" si="9"/>
        <v>0.87219584275330231</v>
      </c>
      <c r="W220">
        <f t="shared" si="10"/>
        <v>0.70520240168703408</v>
      </c>
      <c r="X220">
        <f t="shared" si="11"/>
        <v>0.34927042278209691</v>
      </c>
    </row>
    <row r="221" spans="1:24" x14ac:dyDescent="0.25">
      <c r="A221">
        <v>220</v>
      </c>
      <c r="B221">
        <v>0</v>
      </c>
      <c r="C221">
        <v>2</v>
      </c>
      <c r="D221" s="1" t="s">
        <v>471</v>
      </c>
      <c r="E221">
        <v>0</v>
      </c>
      <c r="F221">
        <v>30</v>
      </c>
      <c r="G221">
        <v>0</v>
      </c>
      <c r="H221">
        <v>0</v>
      </c>
      <c r="I221" s="1" t="s">
        <v>472</v>
      </c>
      <c r="J221">
        <v>10.5</v>
      </c>
      <c r="K221" s="1" t="s">
        <v>48</v>
      </c>
      <c r="L221" s="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f t="shared" si="9"/>
        <v>0</v>
      </c>
      <c r="W221">
        <f t="shared" si="10"/>
        <v>0.5</v>
      </c>
      <c r="X221">
        <f t="shared" si="11"/>
        <v>0.69314718055994529</v>
      </c>
    </row>
    <row r="222" spans="1:24" x14ac:dyDescent="0.25">
      <c r="A222">
        <v>221</v>
      </c>
      <c r="B222">
        <v>1</v>
      </c>
      <c r="C222">
        <v>3</v>
      </c>
      <c r="D222" s="1" t="s">
        <v>473</v>
      </c>
      <c r="E222">
        <v>0</v>
      </c>
      <c r="F222">
        <v>16</v>
      </c>
      <c r="G222">
        <v>0</v>
      </c>
      <c r="H222">
        <v>0</v>
      </c>
      <c r="I222" s="1" t="s">
        <v>474</v>
      </c>
      <c r="J222">
        <v>8.0500000000000007</v>
      </c>
      <c r="K222" s="1" t="s">
        <v>48</v>
      </c>
      <c r="L222" s="1" t="s">
        <v>14</v>
      </c>
      <c r="M222">
        <v>1</v>
      </c>
      <c r="N222">
        <v>0</v>
      </c>
      <c r="O222">
        <v>0</v>
      </c>
      <c r="P222" t="s">
        <v>1741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f t="shared" si="9"/>
        <v>0</v>
      </c>
      <c r="W222">
        <f t="shared" si="10"/>
        <v>0.5</v>
      </c>
      <c r="X222">
        <f t="shared" si="11"/>
        <v>0.69314718055994529</v>
      </c>
    </row>
    <row r="223" spans="1:24" x14ac:dyDescent="0.25">
      <c r="A223">
        <v>222</v>
      </c>
      <c r="B223">
        <v>0</v>
      </c>
      <c r="C223">
        <v>2</v>
      </c>
      <c r="D223" s="1" t="s">
        <v>475</v>
      </c>
      <c r="E223">
        <v>0</v>
      </c>
      <c r="F223">
        <v>27</v>
      </c>
      <c r="G223">
        <v>0</v>
      </c>
      <c r="H223">
        <v>0</v>
      </c>
      <c r="I223" s="1" t="s">
        <v>476</v>
      </c>
      <c r="J223">
        <v>13</v>
      </c>
      <c r="K223" s="1" t="s">
        <v>48</v>
      </c>
      <c r="L223" s="1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f t="shared" si="9"/>
        <v>0</v>
      </c>
      <c r="W223">
        <f t="shared" si="10"/>
        <v>0.5</v>
      </c>
      <c r="X223">
        <f t="shared" si="11"/>
        <v>0.69314718055994529</v>
      </c>
    </row>
    <row r="224" spans="1:24" x14ac:dyDescent="0.25">
      <c r="A224">
        <v>223</v>
      </c>
      <c r="B224">
        <v>0</v>
      </c>
      <c r="C224">
        <v>3</v>
      </c>
      <c r="D224" s="1" t="s">
        <v>477</v>
      </c>
      <c r="E224">
        <v>0</v>
      </c>
      <c r="F224">
        <v>51</v>
      </c>
      <c r="G224">
        <v>0</v>
      </c>
      <c r="H224">
        <v>0</v>
      </c>
      <c r="I224" s="1" t="s">
        <v>478</v>
      </c>
      <c r="J224">
        <v>8.0500000000000007</v>
      </c>
      <c r="K224" s="1" t="s">
        <v>48</v>
      </c>
      <c r="L224" s="1" t="s">
        <v>14</v>
      </c>
      <c r="M224">
        <v>1</v>
      </c>
      <c r="N224">
        <v>0</v>
      </c>
      <c r="O224">
        <v>0</v>
      </c>
      <c r="P224" t="s">
        <v>1741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f t="shared" si="9"/>
        <v>0</v>
      </c>
      <c r="W224">
        <f t="shared" si="10"/>
        <v>0.5</v>
      </c>
      <c r="X224">
        <f t="shared" si="11"/>
        <v>0.69314718055994529</v>
      </c>
    </row>
    <row r="225" spans="1:24" x14ac:dyDescent="0.25">
      <c r="A225">
        <v>224</v>
      </c>
      <c r="B225">
        <v>0</v>
      </c>
      <c r="C225">
        <v>3</v>
      </c>
      <c r="D225" s="1" t="s">
        <v>479</v>
      </c>
      <c r="E225">
        <v>0</v>
      </c>
      <c r="F225" s="1">
        <v>32.180156657963444</v>
      </c>
      <c r="G225">
        <v>0</v>
      </c>
      <c r="H225">
        <v>0</v>
      </c>
      <c r="I225" s="1" t="s">
        <v>480</v>
      </c>
      <c r="J225">
        <v>7.8958000000000004</v>
      </c>
      <c r="K225" s="1" t="s">
        <v>48</v>
      </c>
      <c r="L225" s="1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f t="shared" si="9"/>
        <v>0</v>
      </c>
      <c r="W225">
        <f t="shared" si="10"/>
        <v>0.5</v>
      </c>
      <c r="X225">
        <f t="shared" si="11"/>
        <v>0.69314718055994529</v>
      </c>
    </row>
    <row r="226" spans="1:24" x14ac:dyDescent="0.25">
      <c r="A226">
        <v>225</v>
      </c>
      <c r="B226">
        <v>1</v>
      </c>
      <c r="C226">
        <v>1</v>
      </c>
      <c r="D226" s="1" t="s">
        <v>481</v>
      </c>
      <c r="E226">
        <v>0</v>
      </c>
      <c r="F226">
        <v>38</v>
      </c>
      <c r="G226">
        <v>1</v>
      </c>
      <c r="H226">
        <v>0</v>
      </c>
      <c r="I226" s="1" t="s">
        <v>482</v>
      </c>
      <c r="J226">
        <v>90</v>
      </c>
      <c r="K226" s="1" t="s">
        <v>483</v>
      </c>
      <c r="L226" s="1" t="s">
        <v>14</v>
      </c>
      <c r="M226">
        <v>1</v>
      </c>
      <c r="N226">
        <v>0</v>
      </c>
      <c r="O226">
        <v>0</v>
      </c>
      <c r="P226" t="s">
        <v>1741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f t="shared" si="9"/>
        <v>0</v>
      </c>
      <c r="W226">
        <f t="shared" si="10"/>
        <v>0.5</v>
      </c>
      <c r="X226">
        <f t="shared" si="11"/>
        <v>0.69314718055994529</v>
      </c>
    </row>
    <row r="227" spans="1:24" x14ac:dyDescent="0.25">
      <c r="A227">
        <v>226</v>
      </c>
      <c r="B227">
        <v>0</v>
      </c>
      <c r="C227">
        <v>3</v>
      </c>
      <c r="D227" s="1" t="s">
        <v>484</v>
      </c>
      <c r="E227">
        <v>0</v>
      </c>
      <c r="F227">
        <v>22</v>
      </c>
      <c r="G227">
        <v>0</v>
      </c>
      <c r="H227">
        <v>0</v>
      </c>
      <c r="I227" s="1" t="s">
        <v>485</v>
      </c>
      <c r="J227">
        <v>9.35</v>
      </c>
      <c r="K227" s="1" t="s">
        <v>48</v>
      </c>
      <c r="L227" s="1" t="s">
        <v>14</v>
      </c>
      <c r="M227">
        <v>1</v>
      </c>
      <c r="N227">
        <v>0</v>
      </c>
      <c r="O227">
        <v>0</v>
      </c>
      <c r="P227" t="s">
        <v>1741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f t="shared" si="9"/>
        <v>0</v>
      </c>
      <c r="W227">
        <f t="shared" si="10"/>
        <v>0.5</v>
      </c>
      <c r="X227">
        <f t="shared" si="11"/>
        <v>0.69314718055994529</v>
      </c>
    </row>
    <row r="228" spans="1:24" x14ac:dyDescent="0.25">
      <c r="A228">
        <v>227</v>
      </c>
      <c r="B228">
        <v>1</v>
      </c>
      <c r="C228">
        <v>2</v>
      </c>
      <c r="D228" s="1" t="s">
        <v>486</v>
      </c>
      <c r="E228">
        <v>0</v>
      </c>
      <c r="F228">
        <v>19</v>
      </c>
      <c r="G228">
        <v>0</v>
      </c>
      <c r="H228">
        <v>0</v>
      </c>
      <c r="I228" s="1" t="s">
        <v>487</v>
      </c>
      <c r="J228">
        <v>10.5</v>
      </c>
      <c r="K228" s="1" t="s">
        <v>48</v>
      </c>
      <c r="L228" s="1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f t="shared" si="9"/>
        <v>0</v>
      </c>
      <c r="W228">
        <f t="shared" si="10"/>
        <v>0.5</v>
      </c>
      <c r="X228">
        <f t="shared" si="11"/>
        <v>0.69314718055994529</v>
      </c>
    </row>
    <row r="229" spans="1:24" x14ac:dyDescent="0.25">
      <c r="A229">
        <v>228</v>
      </c>
      <c r="B229">
        <v>0</v>
      </c>
      <c r="C229">
        <v>3</v>
      </c>
      <c r="D229" s="1" t="s">
        <v>488</v>
      </c>
      <c r="E229">
        <v>0</v>
      </c>
      <c r="F229" s="1">
        <v>32.180156657963444</v>
      </c>
      <c r="G229">
        <v>0</v>
      </c>
      <c r="H229">
        <v>0</v>
      </c>
      <c r="I229" s="1" t="s">
        <v>489</v>
      </c>
      <c r="J229">
        <v>7.25</v>
      </c>
      <c r="K229" s="1" t="s">
        <v>48</v>
      </c>
      <c r="L229" s="1" t="s">
        <v>14</v>
      </c>
      <c r="M229">
        <v>1</v>
      </c>
      <c r="N229">
        <v>0</v>
      </c>
      <c r="O229">
        <v>0</v>
      </c>
      <c r="P229" t="s">
        <v>1741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f t="shared" si="9"/>
        <v>0</v>
      </c>
      <c r="W229">
        <f t="shared" si="10"/>
        <v>0.5</v>
      </c>
      <c r="X229">
        <f t="shared" si="11"/>
        <v>0.69314718055994529</v>
      </c>
    </row>
    <row r="230" spans="1:24" x14ac:dyDescent="0.25">
      <c r="A230">
        <v>229</v>
      </c>
      <c r="B230">
        <v>0</v>
      </c>
      <c r="C230">
        <v>2</v>
      </c>
      <c r="D230" s="1" t="s">
        <v>490</v>
      </c>
      <c r="E230">
        <v>0</v>
      </c>
      <c r="F230">
        <v>18</v>
      </c>
      <c r="G230">
        <v>0</v>
      </c>
      <c r="H230">
        <v>0</v>
      </c>
      <c r="I230" s="1" t="s">
        <v>491</v>
      </c>
      <c r="J230">
        <v>13</v>
      </c>
      <c r="K230" s="1" t="s">
        <v>48</v>
      </c>
      <c r="L230" s="1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f t="shared" si="9"/>
        <v>0</v>
      </c>
      <c r="W230">
        <f t="shared" si="10"/>
        <v>0.5</v>
      </c>
      <c r="X230">
        <f t="shared" si="11"/>
        <v>0.69314718055994529</v>
      </c>
    </row>
    <row r="231" spans="1:24" x14ac:dyDescent="0.25">
      <c r="A231">
        <v>230</v>
      </c>
      <c r="B231">
        <v>0</v>
      </c>
      <c r="C231">
        <v>3</v>
      </c>
      <c r="D231" s="1" t="s">
        <v>492</v>
      </c>
      <c r="E231">
        <v>1</v>
      </c>
      <c r="F231" s="1">
        <v>21.98581560283688</v>
      </c>
      <c r="G231">
        <v>3</v>
      </c>
      <c r="H231">
        <v>1</v>
      </c>
      <c r="I231" s="1" t="s">
        <v>384</v>
      </c>
      <c r="J231">
        <v>25.466699999999999</v>
      </c>
      <c r="K231" s="1" t="s">
        <v>48</v>
      </c>
      <c r="L231" s="1" t="s">
        <v>14</v>
      </c>
      <c r="M231">
        <v>1</v>
      </c>
      <c r="N231">
        <v>0</v>
      </c>
      <c r="O231">
        <v>0</v>
      </c>
      <c r="P231" t="s">
        <v>1739</v>
      </c>
      <c r="Q231">
        <v>1</v>
      </c>
      <c r="R231">
        <v>0</v>
      </c>
      <c r="S231">
        <v>0</v>
      </c>
      <c r="T231">
        <v>0</v>
      </c>
      <c r="U231">
        <v>0</v>
      </c>
      <c r="V231">
        <f t="shared" si="9"/>
        <v>0.87219584275330231</v>
      </c>
      <c r="W231">
        <f t="shared" si="10"/>
        <v>0.70520240168703408</v>
      </c>
      <c r="X231">
        <f t="shared" si="11"/>
        <v>1.2214662655353992</v>
      </c>
    </row>
    <row r="232" spans="1:24" x14ac:dyDescent="0.25">
      <c r="A232">
        <v>231</v>
      </c>
      <c r="B232">
        <v>1</v>
      </c>
      <c r="C232">
        <v>1</v>
      </c>
      <c r="D232" s="1" t="s">
        <v>493</v>
      </c>
      <c r="E232">
        <v>1</v>
      </c>
      <c r="F232">
        <v>35</v>
      </c>
      <c r="G232">
        <v>1</v>
      </c>
      <c r="H232">
        <v>0</v>
      </c>
      <c r="I232" s="1" t="s">
        <v>153</v>
      </c>
      <c r="J232">
        <v>83.474999999999994</v>
      </c>
      <c r="K232" s="1" t="s">
        <v>154</v>
      </c>
      <c r="L232" s="1" t="s">
        <v>14</v>
      </c>
      <c r="M232">
        <v>1</v>
      </c>
      <c r="N232">
        <v>0</v>
      </c>
      <c r="O232">
        <v>0</v>
      </c>
      <c r="P232" t="s">
        <v>1740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f t="shared" si="9"/>
        <v>1.3618761518134992</v>
      </c>
      <c r="W232">
        <f t="shared" si="10"/>
        <v>0.79606445234832413</v>
      </c>
      <c r="X232">
        <f t="shared" si="11"/>
        <v>0.22807512612883141</v>
      </c>
    </row>
    <row r="233" spans="1:24" x14ac:dyDescent="0.25">
      <c r="A233">
        <v>232</v>
      </c>
      <c r="B233">
        <v>0</v>
      </c>
      <c r="C233">
        <v>3</v>
      </c>
      <c r="D233" s="1" t="s">
        <v>494</v>
      </c>
      <c r="E233">
        <v>0</v>
      </c>
      <c r="F233">
        <v>29</v>
      </c>
      <c r="G233">
        <v>0</v>
      </c>
      <c r="H233">
        <v>0</v>
      </c>
      <c r="I233" s="1" t="s">
        <v>495</v>
      </c>
      <c r="J233">
        <v>7.7750000000000004</v>
      </c>
      <c r="K233" s="1" t="s">
        <v>48</v>
      </c>
      <c r="L233" s="1" t="s">
        <v>14</v>
      </c>
      <c r="M233">
        <v>1</v>
      </c>
      <c r="N233">
        <v>0</v>
      </c>
      <c r="O233">
        <v>0</v>
      </c>
      <c r="P233" t="s">
        <v>1741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f t="shared" si="9"/>
        <v>0</v>
      </c>
      <c r="W233">
        <f t="shared" si="10"/>
        <v>0.5</v>
      </c>
      <c r="X233">
        <f t="shared" si="11"/>
        <v>0.69314718055994529</v>
      </c>
    </row>
    <row r="234" spans="1:24" x14ac:dyDescent="0.25">
      <c r="A234">
        <v>233</v>
      </c>
      <c r="B234">
        <v>0</v>
      </c>
      <c r="C234">
        <v>2</v>
      </c>
      <c r="D234" s="1" t="s">
        <v>496</v>
      </c>
      <c r="E234">
        <v>0</v>
      </c>
      <c r="F234">
        <v>59</v>
      </c>
      <c r="G234">
        <v>0</v>
      </c>
      <c r="H234">
        <v>0</v>
      </c>
      <c r="I234" s="1" t="s">
        <v>497</v>
      </c>
      <c r="J234">
        <v>13.5</v>
      </c>
      <c r="K234" s="1" t="s">
        <v>48</v>
      </c>
      <c r="L234" s="1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f t="shared" si="9"/>
        <v>0</v>
      </c>
      <c r="W234">
        <f t="shared" si="10"/>
        <v>0.5</v>
      </c>
      <c r="X234">
        <f t="shared" si="11"/>
        <v>0.69314718055994529</v>
      </c>
    </row>
    <row r="235" spans="1:24" x14ac:dyDescent="0.25">
      <c r="A235">
        <v>234</v>
      </c>
      <c r="B235">
        <v>1</v>
      </c>
      <c r="C235">
        <v>3</v>
      </c>
      <c r="D235" s="1" t="s">
        <v>498</v>
      </c>
      <c r="E235">
        <v>1</v>
      </c>
      <c r="F235">
        <v>5</v>
      </c>
      <c r="G235">
        <v>4</v>
      </c>
      <c r="H235">
        <v>2</v>
      </c>
      <c r="I235" s="1" t="s">
        <v>73</v>
      </c>
      <c r="J235">
        <v>31.387499999999999</v>
      </c>
      <c r="K235" s="1" t="s">
        <v>48</v>
      </c>
      <c r="L235" s="1" t="s">
        <v>14</v>
      </c>
      <c r="M235">
        <v>1</v>
      </c>
      <c r="N235">
        <v>0</v>
      </c>
      <c r="O235">
        <v>0</v>
      </c>
      <c r="P235" t="s">
        <v>1739</v>
      </c>
      <c r="Q235">
        <v>1</v>
      </c>
      <c r="R235">
        <v>0</v>
      </c>
      <c r="S235">
        <v>0</v>
      </c>
      <c r="T235">
        <v>0</v>
      </c>
      <c r="U235">
        <v>0</v>
      </c>
      <c r="V235">
        <f t="shared" si="9"/>
        <v>0.87219584275330231</v>
      </c>
      <c r="W235">
        <f t="shared" si="10"/>
        <v>0.70520240168703408</v>
      </c>
      <c r="X235">
        <f t="shared" si="11"/>
        <v>0.34927042278209691</v>
      </c>
    </row>
    <row r="236" spans="1:24" x14ac:dyDescent="0.25">
      <c r="A236">
        <v>235</v>
      </c>
      <c r="B236">
        <v>0</v>
      </c>
      <c r="C236">
        <v>2</v>
      </c>
      <c r="D236" s="1" t="s">
        <v>499</v>
      </c>
      <c r="E236">
        <v>0</v>
      </c>
      <c r="F236">
        <v>24</v>
      </c>
      <c r="G236">
        <v>0</v>
      </c>
      <c r="H236">
        <v>0</v>
      </c>
      <c r="I236" s="1" t="s">
        <v>500</v>
      </c>
      <c r="J236">
        <v>10.5</v>
      </c>
      <c r="K236" s="1" t="s">
        <v>48</v>
      </c>
      <c r="L236" s="1" t="s">
        <v>14</v>
      </c>
      <c r="M236">
        <v>1</v>
      </c>
      <c r="N236">
        <v>0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f t="shared" si="9"/>
        <v>0</v>
      </c>
      <c r="W236">
        <f t="shared" si="10"/>
        <v>0.5</v>
      </c>
      <c r="X236">
        <f t="shared" si="11"/>
        <v>0.69314718055994529</v>
      </c>
    </row>
    <row r="237" spans="1:24" x14ac:dyDescent="0.25">
      <c r="A237">
        <v>236</v>
      </c>
      <c r="B237">
        <v>0</v>
      </c>
      <c r="C237">
        <v>3</v>
      </c>
      <c r="D237" s="1" t="s">
        <v>501</v>
      </c>
      <c r="E237">
        <v>1</v>
      </c>
      <c r="F237" s="1">
        <v>21.98581560283688</v>
      </c>
      <c r="G237">
        <v>0</v>
      </c>
      <c r="H237">
        <v>0</v>
      </c>
      <c r="I237" s="1" t="s">
        <v>502</v>
      </c>
      <c r="J237">
        <v>7.55</v>
      </c>
      <c r="K237" s="1" t="s">
        <v>48</v>
      </c>
      <c r="L237" s="1" t="s">
        <v>14</v>
      </c>
      <c r="M237">
        <v>1</v>
      </c>
      <c r="N237">
        <v>0</v>
      </c>
      <c r="O237">
        <v>0</v>
      </c>
      <c r="P237" t="s">
        <v>1739</v>
      </c>
      <c r="Q237">
        <v>1</v>
      </c>
      <c r="R237">
        <v>0</v>
      </c>
      <c r="S237">
        <v>0</v>
      </c>
      <c r="T237">
        <v>0</v>
      </c>
      <c r="U237">
        <v>0</v>
      </c>
      <c r="V237">
        <f t="shared" si="9"/>
        <v>0.87219584275330231</v>
      </c>
      <c r="W237">
        <f t="shared" si="10"/>
        <v>0.70520240168703408</v>
      </c>
      <c r="X237">
        <f t="shared" si="11"/>
        <v>1.2214662655353992</v>
      </c>
    </row>
    <row r="238" spans="1:24" x14ac:dyDescent="0.25">
      <c r="A238">
        <v>237</v>
      </c>
      <c r="B238">
        <v>0</v>
      </c>
      <c r="C238">
        <v>2</v>
      </c>
      <c r="D238" s="1" t="s">
        <v>503</v>
      </c>
      <c r="E238">
        <v>0</v>
      </c>
      <c r="F238">
        <v>44</v>
      </c>
      <c r="G238">
        <v>1</v>
      </c>
      <c r="H238">
        <v>0</v>
      </c>
      <c r="I238" s="1" t="s">
        <v>504</v>
      </c>
      <c r="J238">
        <v>26</v>
      </c>
      <c r="K238" s="1" t="s">
        <v>48</v>
      </c>
      <c r="L238" s="1" t="s">
        <v>14</v>
      </c>
      <c r="M238">
        <v>1</v>
      </c>
      <c r="N238">
        <v>0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f t="shared" si="9"/>
        <v>0</v>
      </c>
      <c r="W238">
        <f t="shared" si="10"/>
        <v>0.5</v>
      </c>
      <c r="X238">
        <f t="shared" si="11"/>
        <v>0.69314718055994529</v>
      </c>
    </row>
    <row r="239" spans="1:24" x14ac:dyDescent="0.25">
      <c r="A239">
        <v>238</v>
      </c>
      <c r="B239">
        <v>1</v>
      </c>
      <c r="C239">
        <v>2</v>
      </c>
      <c r="D239" s="1" t="s">
        <v>505</v>
      </c>
      <c r="E239">
        <v>1</v>
      </c>
      <c r="F239">
        <v>8</v>
      </c>
      <c r="G239">
        <v>0</v>
      </c>
      <c r="H239">
        <v>2</v>
      </c>
      <c r="I239" s="1" t="s">
        <v>506</v>
      </c>
      <c r="J239">
        <v>26.25</v>
      </c>
      <c r="K239" s="1" t="s">
        <v>48</v>
      </c>
      <c r="L239" s="1" t="s">
        <v>14</v>
      </c>
      <c r="M239">
        <v>1</v>
      </c>
      <c r="N239">
        <v>0</v>
      </c>
      <c r="O239">
        <v>0</v>
      </c>
      <c r="P239" t="s">
        <v>1739</v>
      </c>
      <c r="Q239">
        <v>1</v>
      </c>
      <c r="R239">
        <v>0</v>
      </c>
      <c r="S239">
        <v>0</v>
      </c>
      <c r="T239">
        <v>0</v>
      </c>
      <c r="U239">
        <v>0</v>
      </c>
      <c r="V239">
        <f t="shared" si="9"/>
        <v>0.87219584275330231</v>
      </c>
      <c r="W239">
        <f t="shared" si="10"/>
        <v>0.70520240168703408</v>
      </c>
      <c r="X239">
        <f t="shared" si="11"/>
        <v>0.34927042278209691</v>
      </c>
    </row>
    <row r="240" spans="1:24" x14ac:dyDescent="0.25">
      <c r="A240">
        <v>239</v>
      </c>
      <c r="B240">
        <v>0</v>
      </c>
      <c r="C240">
        <v>2</v>
      </c>
      <c r="D240" s="1" t="s">
        <v>507</v>
      </c>
      <c r="E240">
        <v>0</v>
      </c>
      <c r="F240">
        <v>19</v>
      </c>
      <c r="G240">
        <v>0</v>
      </c>
      <c r="H240">
        <v>0</v>
      </c>
      <c r="I240" s="1" t="s">
        <v>508</v>
      </c>
      <c r="J240">
        <v>10.5</v>
      </c>
      <c r="K240" s="1" t="s">
        <v>48</v>
      </c>
      <c r="L240" s="1" t="s">
        <v>14</v>
      </c>
      <c r="M240">
        <v>1</v>
      </c>
      <c r="N240">
        <v>0</v>
      </c>
      <c r="O240">
        <v>0</v>
      </c>
      <c r="P240" t="s">
        <v>1741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f t="shared" si="9"/>
        <v>0</v>
      </c>
      <c r="W240">
        <f t="shared" si="10"/>
        <v>0.5</v>
      </c>
      <c r="X240">
        <f t="shared" si="11"/>
        <v>0.69314718055994529</v>
      </c>
    </row>
    <row r="241" spans="1:24" x14ac:dyDescent="0.25">
      <c r="A241">
        <v>240</v>
      </c>
      <c r="B241">
        <v>0</v>
      </c>
      <c r="C241">
        <v>2</v>
      </c>
      <c r="D241" s="1" t="s">
        <v>509</v>
      </c>
      <c r="E241">
        <v>0</v>
      </c>
      <c r="F241">
        <v>33</v>
      </c>
      <c r="G241">
        <v>0</v>
      </c>
      <c r="H241">
        <v>0</v>
      </c>
      <c r="I241" s="1" t="s">
        <v>510</v>
      </c>
      <c r="J241">
        <v>12.275</v>
      </c>
      <c r="K241" s="1" t="s">
        <v>48</v>
      </c>
      <c r="L241" s="1" t="s">
        <v>14</v>
      </c>
      <c r="M241">
        <v>1</v>
      </c>
      <c r="N241">
        <v>0</v>
      </c>
      <c r="O241">
        <v>0</v>
      </c>
      <c r="P241" t="s">
        <v>1741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f t="shared" si="9"/>
        <v>0</v>
      </c>
      <c r="W241">
        <f t="shared" si="10"/>
        <v>0.5</v>
      </c>
      <c r="X241">
        <f t="shared" si="11"/>
        <v>0.69314718055994529</v>
      </c>
    </row>
    <row r="242" spans="1:24" x14ac:dyDescent="0.25">
      <c r="A242">
        <v>241</v>
      </c>
      <c r="B242">
        <v>0</v>
      </c>
      <c r="C242">
        <v>3</v>
      </c>
      <c r="D242" s="1" t="s">
        <v>511</v>
      </c>
      <c r="E242">
        <v>1</v>
      </c>
      <c r="F242" s="1">
        <v>21.98581560283688</v>
      </c>
      <c r="G242">
        <v>1</v>
      </c>
      <c r="H242">
        <v>0</v>
      </c>
      <c r="I242" s="1" t="s">
        <v>257</v>
      </c>
      <c r="J242">
        <v>14.4542</v>
      </c>
      <c r="K242" s="1" t="s">
        <v>48</v>
      </c>
      <c r="L242" s="1" t="s">
        <v>18</v>
      </c>
      <c r="M242">
        <v>0</v>
      </c>
      <c r="N242">
        <v>1</v>
      </c>
      <c r="O242">
        <v>0</v>
      </c>
      <c r="P242" t="s">
        <v>1739</v>
      </c>
      <c r="Q242">
        <v>1</v>
      </c>
      <c r="R242">
        <v>0</v>
      </c>
      <c r="S242">
        <v>0</v>
      </c>
      <c r="T242">
        <v>0</v>
      </c>
      <c r="U242">
        <v>0</v>
      </c>
      <c r="V242">
        <f t="shared" si="9"/>
        <v>0.87219584275330231</v>
      </c>
      <c r="W242">
        <f t="shared" si="10"/>
        <v>0.70520240168703408</v>
      </c>
      <c r="X242">
        <f t="shared" si="11"/>
        <v>1.2214662655353992</v>
      </c>
    </row>
    <row r="243" spans="1:24" x14ac:dyDescent="0.25">
      <c r="A243">
        <v>242</v>
      </c>
      <c r="B243">
        <v>1</v>
      </c>
      <c r="C243">
        <v>3</v>
      </c>
      <c r="D243" s="1" t="s">
        <v>512</v>
      </c>
      <c r="E243">
        <v>1</v>
      </c>
      <c r="F243" s="1">
        <v>21.98581560283688</v>
      </c>
      <c r="G243">
        <v>1</v>
      </c>
      <c r="H243">
        <v>0</v>
      </c>
      <c r="I243" s="1" t="s">
        <v>513</v>
      </c>
      <c r="J243">
        <v>15.5</v>
      </c>
      <c r="K243" s="1" t="s">
        <v>48</v>
      </c>
      <c r="L243" s="1" t="s">
        <v>28</v>
      </c>
      <c r="M243">
        <v>0</v>
      </c>
      <c r="N243">
        <v>0</v>
      </c>
      <c r="O243">
        <v>1</v>
      </c>
      <c r="P243" t="s">
        <v>1739</v>
      </c>
      <c r="Q243">
        <v>1</v>
      </c>
      <c r="R243">
        <v>0</v>
      </c>
      <c r="S243">
        <v>0</v>
      </c>
      <c r="T243">
        <v>0</v>
      </c>
      <c r="U243">
        <v>0</v>
      </c>
      <c r="V243">
        <f t="shared" si="9"/>
        <v>0.87219584275330231</v>
      </c>
      <c r="W243">
        <f t="shared" si="10"/>
        <v>0.70520240168703408</v>
      </c>
      <c r="X243">
        <f t="shared" si="11"/>
        <v>0.34927042278209691</v>
      </c>
    </row>
    <row r="244" spans="1:24" x14ac:dyDescent="0.25">
      <c r="A244">
        <v>243</v>
      </c>
      <c r="B244">
        <v>0</v>
      </c>
      <c r="C244">
        <v>2</v>
      </c>
      <c r="D244" s="1" t="s">
        <v>514</v>
      </c>
      <c r="E244">
        <v>0</v>
      </c>
      <c r="F244">
        <v>29</v>
      </c>
      <c r="G244">
        <v>0</v>
      </c>
      <c r="H244">
        <v>0</v>
      </c>
      <c r="I244" s="1" t="s">
        <v>515</v>
      </c>
      <c r="J244">
        <v>10.5</v>
      </c>
      <c r="K244" s="1" t="s">
        <v>48</v>
      </c>
      <c r="L244" s="1" t="s">
        <v>14</v>
      </c>
      <c r="M244">
        <v>1</v>
      </c>
      <c r="N244">
        <v>0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f t="shared" si="9"/>
        <v>0</v>
      </c>
      <c r="W244">
        <f t="shared" si="10"/>
        <v>0.5</v>
      </c>
      <c r="X244">
        <f t="shared" si="11"/>
        <v>0.69314718055994529</v>
      </c>
    </row>
    <row r="245" spans="1:24" x14ac:dyDescent="0.25">
      <c r="A245">
        <v>244</v>
      </c>
      <c r="B245">
        <v>0</v>
      </c>
      <c r="C245">
        <v>3</v>
      </c>
      <c r="D245" s="1" t="s">
        <v>516</v>
      </c>
      <c r="E245">
        <v>0</v>
      </c>
      <c r="F245">
        <v>22</v>
      </c>
      <c r="G245">
        <v>0</v>
      </c>
      <c r="H245">
        <v>0</v>
      </c>
      <c r="I245" s="1" t="s">
        <v>517</v>
      </c>
      <c r="J245">
        <v>7.125</v>
      </c>
      <c r="K245" s="1" t="s">
        <v>48</v>
      </c>
      <c r="L245" s="1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f t="shared" si="9"/>
        <v>0</v>
      </c>
      <c r="W245">
        <f t="shared" si="10"/>
        <v>0.5</v>
      </c>
      <c r="X245">
        <f t="shared" si="11"/>
        <v>0.69314718055994529</v>
      </c>
    </row>
    <row r="246" spans="1:24" x14ac:dyDescent="0.25">
      <c r="A246">
        <v>245</v>
      </c>
      <c r="B246">
        <v>0</v>
      </c>
      <c r="C246">
        <v>3</v>
      </c>
      <c r="D246" s="1" t="s">
        <v>518</v>
      </c>
      <c r="E246">
        <v>0</v>
      </c>
      <c r="F246">
        <v>30</v>
      </c>
      <c r="G246">
        <v>0</v>
      </c>
      <c r="H246">
        <v>0</v>
      </c>
      <c r="I246" s="1" t="s">
        <v>519</v>
      </c>
      <c r="J246">
        <v>7.2249999999999996</v>
      </c>
      <c r="K246" s="1" t="s">
        <v>48</v>
      </c>
      <c r="L246" s="1" t="s">
        <v>18</v>
      </c>
      <c r="M246">
        <v>0</v>
      </c>
      <c r="N246">
        <v>1</v>
      </c>
      <c r="O246">
        <v>0</v>
      </c>
      <c r="P246" t="s">
        <v>1741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f t="shared" si="9"/>
        <v>0</v>
      </c>
      <c r="W246">
        <f t="shared" si="10"/>
        <v>0.5</v>
      </c>
      <c r="X246">
        <f t="shared" si="11"/>
        <v>0.69314718055994529</v>
      </c>
    </row>
    <row r="247" spans="1:24" x14ac:dyDescent="0.25">
      <c r="A247">
        <v>246</v>
      </c>
      <c r="B247">
        <v>0</v>
      </c>
      <c r="C247">
        <v>1</v>
      </c>
      <c r="D247" s="1" t="s">
        <v>520</v>
      </c>
      <c r="E247">
        <v>0</v>
      </c>
      <c r="F247">
        <v>44</v>
      </c>
      <c r="G247">
        <v>2</v>
      </c>
      <c r="H247">
        <v>0</v>
      </c>
      <c r="I247" s="1" t="s">
        <v>521</v>
      </c>
      <c r="J247">
        <v>90</v>
      </c>
      <c r="K247" s="1" t="s">
        <v>522</v>
      </c>
      <c r="L247" s="1" t="s">
        <v>28</v>
      </c>
      <c r="M247">
        <v>0</v>
      </c>
      <c r="N247">
        <v>0</v>
      </c>
      <c r="O247">
        <v>1</v>
      </c>
      <c r="P247" t="s">
        <v>1746</v>
      </c>
      <c r="Q247">
        <v>0</v>
      </c>
      <c r="R247">
        <v>0</v>
      </c>
      <c r="S247">
        <v>0</v>
      </c>
      <c r="T247">
        <v>0</v>
      </c>
      <c r="U247">
        <v>1</v>
      </c>
      <c r="V247">
        <f t="shared" si="9"/>
        <v>0</v>
      </c>
      <c r="W247">
        <f t="shared" si="10"/>
        <v>0.5</v>
      </c>
      <c r="X247">
        <f t="shared" si="11"/>
        <v>0.69314718055994529</v>
      </c>
    </row>
    <row r="248" spans="1:24" x14ac:dyDescent="0.25">
      <c r="A248">
        <v>247</v>
      </c>
      <c r="B248">
        <v>0</v>
      </c>
      <c r="C248">
        <v>3</v>
      </c>
      <c r="D248" s="1" t="s">
        <v>523</v>
      </c>
      <c r="E248">
        <v>1</v>
      </c>
      <c r="F248">
        <v>25</v>
      </c>
      <c r="G248">
        <v>0</v>
      </c>
      <c r="H248">
        <v>0</v>
      </c>
      <c r="I248" s="1" t="s">
        <v>524</v>
      </c>
      <c r="J248">
        <v>7.7750000000000004</v>
      </c>
      <c r="K248" s="1" t="s">
        <v>48</v>
      </c>
      <c r="L248" s="1" t="s">
        <v>14</v>
      </c>
      <c r="M248">
        <v>1</v>
      </c>
      <c r="N248">
        <v>0</v>
      </c>
      <c r="O248">
        <v>0</v>
      </c>
      <c r="P248" t="s">
        <v>1739</v>
      </c>
      <c r="Q248">
        <v>1</v>
      </c>
      <c r="R248">
        <v>0</v>
      </c>
      <c r="S248">
        <v>0</v>
      </c>
      <c r="T248">
        <v>0</v>
      </c>
      <c r="U248">
        <v>0</v>
      </c>
      <c r="V248">
        <f t="shared" si="9"/>
        <v>0.87219584275330231</v>
      </c>
      <c r="W248">
        <f t="shared" si="10"/>
        <v>0.70520240168703408</v>
      </c>
      <c r="X248">
        <f t="shared" si="11"/>
        <v>1.2214662655353992</v>
      </c>
    </row>
    <row r="249" spans="1:24" x14ac:dyDescent="0.25">
      <c r="A249">
        <v>248</v>
      </c>
      <c r="B249">
        <v>1</v>
      </c>
      <c r="C249">
        <v>2</v>
      </c>
      <c r="D249" s="1" t="s">
        <v>525</v>
      </c>
      <c r="E249">
        <v>1</v>
      </c>
      <c r="F249">
        <v>24</v>
      </c>
      <c r="G249">
        <v>0</v>
      </c>
      <c r="H249">
        <v>2</v>
      </c>
      <c r="I249" s="1" t="s">
        <v>526</v>
      </c>
      <c r="J249">
        <v>14.5</v>
      </c>
      <c r="K249" s="1" t="s">
        <v>48</v>
      </c>
      <c r="L249" s="1" t="s">
        <v>14</v>
      </c>
      <c r="M249">
        <v>1</v>
      </c>
      <c r="N249">
        <v>0</v>
      </c>
      <c r="O249">
        <v>0</v>
      </c>
      <c r="P249" t="s">
        <v>1740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f t="shared" si="9"/>
        <v>1.3618761518134992</v>
      </c>
      <c r="W249">
        <f t="shared" si="10"/>
        <v>0.79606445234832413</v>
      </c>
      <c r="X249">
        <f t="shared" si="11"/>
        <v>0.22807512612883141</v>
      </c>
    </row>
    <row r="250" spans="1:24" x14ac:dyDescent="0.25">
      <c r="A250">
        <v>249</v>
      </c>
      <c r="B250">
        <v>1</v>
      </c>
      <c r="C250">
        <v>1</v>
      </c>
      <c r="D250" s="1" t="s">
        <v>527</v>
      </c>
      <c r="E250">
        <v>0</v>
      </c>
      <c r="F250">
        <v>37</v>
      </c>
      <c r="G250">
        <v>1</v>
      </c>
      <c r="H250">
        <v>1</v>
      </c>
      <c r="I250" s="1" t="s">
        <v>528</v>
      </c>
      <c r="J250">
        <v>52.554200000000002</v>
      </c>
      <c r="K250" s="1" t="s">
        <v>529</v>
      </c>
      <c r="L250" s="1" t="s">
        <v>14</v>
      </c>
      <c r="M250">
        <v>1</v>
      </c>
      <c r="N250">
        <v>0</v>
      </c>
      <c r="O250">
        <v>0</v>
      </c>
      <c r="P250" t="s">
        <v>1741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f t="shared" si="9"/>
        <v>0</v>
      </c>
      <c r="W250">
        <f t="shared" si="10"/>
        <v>0.5</v>
      </c>
      <c r="X250">
        <f t="shared" si="11"/>
        <v>0.69314718055994529</v>
      </c>
    </row>
    <row r="251" spans="1:24" x14ac:dyDescent="0.25">
      <c r="A251">
        <v>250</v>
      </c>
      <c r="B251">
        <v>0</v>
      </c>
      <c r="C251">
        <v>2</v>
      </c>
      <c r="D251" s="1" t="s">
        <v>530</v>
      </c>
      <c r="E251">
        <v>0</v>
      </c>
      <c r="F251">
        <v>54</v>
      </c>
      <c r="G251">
        <v>1</v>
      </c>
      <c r="H251">
        <v>0</v>
      </c>
      <c r="I251" s="1" t="s">
        <v>531</v>
      </c>
      <c r="J251">
        <v>26</v>
      </c>
      <c r="K251" s="1" t="s">
        <v>48</v>
      </c>
      <c r="L251" s="1" t="s">
        <v>14</v>
      </c>
      <c r="M251">
        <v>1</v>
      </c>
      <c r="N251">
        <v>0</v>
      </c>
      <c r="O251">
        <v>0</v>
      </c>
      <c r="P251" t="s">
        <v>1745</v>
      </c>
      <c r="Q251">
        <v>0</v>
      </c>
      <c r="R251">
        <v>0</v>
      </c>
      <c r="S251">
        <v>0</v>
      </c>
      <c r="T251">
        <v>0</v>
      </c>
      <c r="U251">
        <v>1</v>
      </c>
      <c r="V251">
        <f t="shared" si="9"/>
        <v>0</v>
      </c>
      <c r="W251">
        <f t="shared" si="10"/>
        <v>0.5</v>
      </c>
      <c r="X251">
        <f t="shared" si="11"/>
        <v>0.69314718055994529</v>
      </c>
    </row>
    <row r="252" spans="1:24" x14ac:dyDescent="0.25">
      <c r="A252">
        <v>251</v>
      </c>
      <c r="B252">
        <v>0</v>
      </c>
      <c r="C252">
        <v>3</v>
      </c>
      <c r="D252" s="1" t="s">
        <v>532</v>
      </c>
      <c r="E252">
        <v>0</v>
      </c>
      <c r="F252" s="1">
        <v>32.180156657963444</v>
      </c>
      <c r="G252">
        <v>0</v>
      </c>
      <c r="H252">
        <v>0</v>
      </c>
      <c r="I252" s="1" t="s">
        <v>533</v>
      </c>
      <c r="J252">
        <v>7.25</v>
      </c>
      <c r="K252" s="1" t="s">
        <v>48</v>
      </c>
      <c r="L252" s="1" t="s">
        <v>14</v>
      </c>
      <c r="M252">
        <v>1</v>
      </c>
      <c r="N252">
        <v>0</v>
      </c>
      <c r="O252">
        <v>0</v>
      </c>
      <c r="P252" t="s">
        <v>1741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f t="shared" si="9"/>
        <v>0</v>
      </c>
      <c r="W252">
        <f t="shared" si="10"/>
        <v>0.5</v>
      </c>
      <c r="X252">
        <f t="shared" si="11"/>
        <v>0.69314718055994529</v>
      </c>
    </row>
    <row r="253" spans="1:24" x14ac:dyDescent="0.25">
      <c r="A253">
        <v>252</v>
      </c>
      <c r="B253">
        <v>0</v>
      </c>
      <c r="C253">
        <v>3</v>
      </c>
      <c r="D253" s="1" t="s">
        <v>534</v>
      </c>
      <c r="E253">
        <v>1</v>
      </c>
      <c r="F253">
        <v>29</v>
      </c>
      <c r="G253">
        <v>1</v>
      </c>
      <c r="H253">
        <v>1</v>
      </c>
      <c r="I253" s="1" t="s">
        <v>442</v>
      </c>
      <c r="J253">
        <v>10.4625</v>
      </c>
      <c r="K253" s="1" t="s">
        <v>40</v>
      </c>
      <c r="L253" s="1" t="s">
        <v>14</v>
      </c>
      <c r="M253">
        <v>1</v>
      </c>
      <c r="N253">
        <v>0</v>
      </c>
      <c r="O253">
        <v>0</v>
      </c>
      <c r="P253" t="s">
        <v>1740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f t="shared" si="9"/>
        <v>1.3618761518134992</v>
      </c>
      <c r="W253">
        <f t="shared" si="10"/>
        <v>0.79606445234832413</v>
      </c>
      <c r="X253">
        <f t="shared" si="11"/>
        <v>1.5899512779423304</v>
      </c>
    </row>
    <row r="254" spans="1:24" x14ac:dyDescent="0.25">
      <c r="A254">
        <v>253</v>
      </c>
      <c r="B254">
        <v>0</v>
      </c>
      <c r="C254">
        <v>1</v>
      </c>
      <c r="D254" s="1" t="s">
        <v>535</v>
      </c>
      <c r="E254">
        <v>0</v>
      </c>
      <c r="F254">
        <v>62</v>
      </c>
      <c r="G254">
        <v>0</v>
      </c>
      <c r="H254">
        <v>0</v>
      </c>
      <c r="I254" s="1" t="s">
        <v>536</v>
      </c>
      <c r="J254">
        <v>26.55</v>
      </c>
      <c r="K254" s="1" t="s">
        <v>537</v>
      </c>
      <c r="L254" s="1" t="s">
        <v>14</v>
      </c>
      <c r="M254">
        <v>1</v>
      </c>
      <c r="N254">
        <v>0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f t="shared" si="9"/>
        <v>0</v>
      </c>
      <c r="W254">
        <f t="shared" si="10"/>
        <v>0.5</v>
      </c>
      <c r="X254">
        <f t="shared" si="11"/>
        <v>0.69314718055994529</v>
      </c>
    </row>
    <row r="255" spans="1:24" x14ac:dyDescent="0.25">
      <c r="A255">
        <v>254</v>
      </c>
      <c r="B255">
        <v>0</v>
      </c>
      <c r="C255">
        <v>3</v>
      </c>
      <c r="D255" s="1" t="s">
        <v>538</v>
      </c>
      <c r="E255">
        <v>0</v>
      </c>
      <c r="F255">
        <v>30</v>
      </c>
      <c r="G255">
        <v>1</v>
      </c>
      <c r="H255">
        <v>0</v>
      </c>
      <c r="I255" s="1" t="s">
        <v>539</v>
      </c>
      <c r="J255">
        <v>16.100000000000001</v>
      </c>
      <c r="K255" s="1" t="s">
        <v>48</v>
      </c>
      <c r="L255" s="1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f t="shared" si="9"/>
        <v>0</v>
      </c>
      <c r="W255">
        <f t="shared" si="10"/>
        <v>0.5</v>
      </c>
      <c r="X255">
        <f t="shared" si="11"/>
        <v>0.69314718055994529</v>
      </c>
    </row>
    <row r="256" spans="1:24" x14ac:dyDescent="0.25">
      <c r="A256">
        <v>255</v>
      </c>
      <c r="B256">
        <v>0</v>
      </c>
      <c r="C256">
        <v>3</v>
      </c>
      <c r="D256" s="1" t="s">
        <v>540</v>
      </c>
      <c r="E256">
        <v>1</v>
      </c>
      <c r="F256">
        <v>41</v>
      </c>
      <c r="G256">
        <v>0</v>
      </c>
      <c r="H256">
        <v>2</v>
      </c>
      <c r="I256" s="1" t="s">
        <v>541</v>
      </c>
      <c r="J256">
        <v>20.212499999999999</v>
      </c>
      <c r="K256" s="1" t="s">
        <v>48</v>
      </c>
      <c r="L256" s="1" t="s">
        <v>14</v>
      </c>
      <c r="M256">
        <v>1</v>
      </c>
      <c r="N256">
        <v>0</v>
      </c>
      <c r="O256">
        <v>0</v>
      </c>
      <c r="P256" t="s">
        <v>1740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f t="shared" si="9"/>
        <v>1.3618761518134992</v>
      </c>
      <c r="W256">
        <f t="shared" si="10"/>
        <v>0.79606445234832413</v>
      </c>
      <c r="X256">
        <f t="shared" si="11"/>
        <v>1.5899512779423304</v>
      </c>
    </row>
    <row r="257" spans="1:24" x14ac:dyDescent="0.25">
      <c r="A257">
        <v>256</v>
      </c>
      <c r="B257">
        <v>1</v>
      </c>
      <c r="C257">
        <v>3</v>
      </c>
      <c r="D257" s="1" t="s">
        <v>542</v>
      </c>
      <c r="E257">
        <v>1</v>
      </c>
      <c r="F257">
        <v>29</v>
      </c>
      <c r="G257">
        <v>0</v>
      </c>
      <c r="H257">
        <v>2</v>
      </c>
      <c r="I257" s="1" t="s">
        <v>543</v>
      </c>
      <c r="J257">
        <v>15.245799999999999</v>
      </c>
      <c r="K257" s="1" t="s">
        <v>48</v>
      </c>
      <c r="L257" s="1" t="s">
        <v>18</v>
      </c>
      <c r="M257">
        <v>0</v>
      </c>
      <c r="N257">
        <v>1</v>
      </c>
      <c r="O257">
        <v>0</v>
      </c>
      <c r="P257" t="s">
        <v>1740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f t="shared" si="9"/>
        <v>1.3618761518134992</v>
      </c>
      <c r="W257">
        <f t="shared" si="10"/>
        <v>0.79606445234832413</v>
      </c>
      <c r="X257">
        <f t="shared" si="11"/>
        <v>0.22807512612883141</v>
      </c>
    </row>
    <row r="258" spans="1:24" x14ac:dyDescent="0.25">
      <c r="A258">
        <v>257</v>
      </c>
      <c r="B258">
        <v>1</v>
      </c>
      <c r="C258">
        <v>1</v>
      </c>
      <c r="D258" s="1" t="s">
        <v>544</v>
      </c>
      <c r="E258">
        <v>1</v>
      </c>
      <c r="F258" s="1">
        <v>35.898148148148145</v>
      </c>
      <c r="G258">
        <v>0</v>
      </c>
      <c r="H258">
        <v>0</v>
      </c>
      <c r="I258" s="1" t="s">
        <v>545</v>
      </c>
      <c r="J258">
        <v>79.2</v>
      </c>
      <c r="K258" s="1" t="s">
        <v>48</v>
      </c>
      <c r="L258" s="1" t="s">
        <v>18</v>
      </c>
      <c r="M258">
        <v>0</v>
      </c>
      <c r="N258">
        <v>1</v>
      </c>
      <c r="O258">
        <v>0</v>
      </c>
      <c r="P258" t="s">
        <v>1740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f t="shared" si="9"/>
        <v>1.3618761518134992</v>
      </c>
      <c r="W258">
        <f t="shared" si="10"/>
        <v>0.79606445234832413</v>
      </c>
      <c r="X258">
        <f t="shared" si="11"/>
        <v>0.22807512612883141</v>
      </c>
    </row>
    <row r="259" spans="1:24" x14ac:dyDescent="0.25">
      <c r="A259">
        <v>258</v>
      </c>
      <c r="B259">
        <v>1</v>
      </c>
      <c r="C259">
        <v>1</v>
      </c>
      <c r="D259" s="1" t="s">
        <v>546</v>
      </c>
      <c r="E259">
        <v>1</v>
      </c>
      <c r="F259">
        <v>30</v>
      </c>
      <c r="G259">
        <v>0</v>
      </c>
      <c r="H259">
        <v>0</v>
      </c>
      <c r="I259" s="1" t="s">
        <v>547</v>
      </c>
      <c r="J259">
        <v>86.5</v>
      </c>
      <c r="K259" s="1" t="s">
        <v>548</v>
      </c>
      <c r="L259" s="1" t="s">
        <v>14</v>
      </c>
      <c r="M259">
        <v>1</v>
      </c>
      <c r="N259">
        <v>0</v>
      </c>
      <c r="O259">
        <v>0</v>
      </c>
      <c r="P259" t="s">
        <v>1739</v>
      </c>
      <c r="Q259">
        <v>1</v>
      </c>
      <c r="R259">
        <v>0</v>
      </c>
      <c r="S259">
        <v>0</v>
      </c>
      <c r="T259">
        <v>0</v>
      </c>
      <c r="U259">
        <v>0</v>
      </c>
      <c r="V259">
        <f t="shared" ref="V259:V322" si="12">$AB$1+C259*$AB$2+E259*$AB$3+F259*$AB$4+G259*$AB$5+H259*$AB$6+J259*$AB$7+M259*$AB$8+N259*$AB$9+O259*$AB$10+Q259*$AB$11+R259*$AB$12+S259*$AB$13+T259*$AB$14+U259*$AB$15</f>
        <v>0.87219584275330231</v>
      </c>
      <c r="W259">
        <f t="shared" ref="W259:W322" si="13">1/(1+EXP(-V259))</f>
        <v>0.70520240168703408</v>
      </c>
      <c r="X259">
        <f t="shared" ref="X259:X322" si="14">-(B259*LN(MAX(0.000001,MIN(0.999999,W259))) +(1-B259)*LN(MAX(0.000001,MIN(0.999999,1-W259))))</f>
        <v>0.34927042278209691</v>
      </c>
    </row>
    <row r="260" spans="1:24" x14ac:dyDescent="0.25">
      <c r="A260">
        <v>259</v>
      </c>
      <c r="B260">
        <v>1</v>
      </c>
      <c r="C260">
        <v>1</v>
      </c>
      <c r="D260" s="1" t="s">
        <v>549</v>
      </c>
      <c r="E260">
        <v>1</v>
      </c>
      <c r="F260">
        <v>35</v>
      </c>
      <c r="G260">
        <v>0</v>
      </c>
      <c r="H260">
        <v>0</v>
      </c>
      <c r="I260" s="1" t="s">
        <v>550</v>
      </c>
      <c r="J260">
        <v>512.32920000000001</v>
      </c>
      <c r="K260" s="1" t="s">
        <v>48</v>
      </c>
      <c r="L260" s="1" t="s">
        <v>18</v>
      </c>
      <c r="M260">
        <v>0</v>
      </c>
      <c r="N260">
        <v>1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  <c r="V260">
        <f t="shared" si="12"/>
        <v>0.87219584275330231</v>
      </c>
      <c r="W260">
        <f t="shared" si="13"/>
        <v>0.70520240168703408</v>
      </c>
      <c r="X260">
        <f t="shared" si="14"/>
        <v>0.34927042278209691</v>
      </c>
    </row>
    <row r="261" spans="1:24" x14ac:dyDescent="0.25">
      <c r="A261">
        <v>260</v>
      </c>
      <c r="B261">
        <v>1</v>
      </c>
      <c r="C261">
        <v>2</v>
      </c>
      <c r="D261" s="1" t="s">
        <v>551</v>
      </c>
      <c r="E261">
        <v>1</v>
      </c>
      <c r="F261">
        <v>50</v>
      </c>
      <c r="G261">
        <v>0</v>
      </c>
      <c r="H261">
        <v>1</v>
      </c>
      <c r="I261" s="1" t="s">
        <v>552</v>
      </c>
      <c r="J261">
        <v>26</v>
      </c>
      <c r="K261" s="1" t="s">
        <v>48</v>
      </c>
      <c r="L261" s="1" t="s">
        <v>14</v>
      </c>
      <c r="M261">
        <v>1</v>
      </c>
      <c r="N261">
        <v>0</v>
      </c>
      <c r="O261">
        <v>0</v>
      </c>
      <c r="P261" t="s">
        <v>1740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f t="shared" si="12"/>
        <v>1.3618761518134992</v>
      </c>
      <c r="W261">
        <f t="shared" si="13"/>
        <v>0.79606445234832413</v>
      </c>
      <c r="X261">
        <f t="shared" si="14"/>
        <v>0.22807512612883141</v>
      </c>
    </row>
    <row r="262" spans="1:24" x14ac:dyDescent="0.25">
      <c r="A262">
        <v>261</v>
      </c>
      <c r="B262">
        <v>0</v>
      </c>
      <c r="C262">
        <v>3</v>
      </c>
      <c r="D262" s="1" t="s">
        <v>553</v>
      </c>
      <c r="E262">
        <v>0</v>
      </c>
      <c r="F262" s="1">
        <v>32.180156657963444</v>
      </c>
      <c r="G262">
        <v>0</v>
      </c>
      <c r="H262">
        <v>0</v>
      </c>
      <c r="I262" s="1" t="s">
        <v>554</v>
      </c>
      <c r="J262">
        <v>7.75</v>
      </c>
      <c r="K262" s="1" t="s">
        <v>48</v>
      </c>
      <c r="L262" s="1" t="s">
        <v>28</v>
      </c>
      <c r="M262">
        <v>0</v>
      </c>
      <c r="N262">
        <v>0</v>
      </c>
      <c r="O262">
        <v>1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f t="shared" si="12"/>
        <v>0</v>
      </c>
      <c r="W262">
        <f t="shared" si="13"/>
        <v>0.5</v>
      </c>
      <c r="X262">
        <f t="shared" si="14"/>
        <v>0.69314718055994529</v>
      </c>
    </row>
    <row r="263" spans="1:24" x14ac:dyDescent="0.25">
      <c r="A263">
        <v>262</v>
      </c>
      <c r="B263">
        <v>1</v>
      </c>
      <c r="C263">
        <v>3</v>
      </c>
      <c r="D263" s="1" t="s">
        <v>555</v>
      </c>
      <c r="E263">
        <v>0</v>
      </c>
      <c r="F263">
        <v>3</v>
      </c>
      <c r="G263">
        <v>4</v>
      </c>
      <c r="H263">
        <v>2</v>
      </c>
      <c r="I263" s="1" t="s">
        <v>73</v>
      </c>
      <c r="J263">
        <v>31.387499999999999</v>
      </c>
      <c r="K263" s="1" t="s">
        <v>48</v>
      </c>
      <c r="L263" s="1" t="s">
        <v>14</v>
      </c>
      <c r="M263">
        <v>1</v>
      </c>
      <c r="N263">
        <v>0</v>
      </c>
      <c r="O263">
        <v>0</v>
      </c>
      <c r="P263" t="s">
        <v>1742</v>
      </c>
      <c r="Q263">
        <v>0</v>
      </c>
      <c r="R263">
        <v>0</v>
      </c>
      <c r="S263">
        <v>0</v>
      </c>
      <c r="T263">
        <v>1</v>
      </c>
      <c r="U263">
        <v>0</v>
      </c>
      <c r="V263">
        <f t="shared" si="12"/>
        <v>0.21766252466937555</v>
      </c>
      <c r="W263">
        <f t="shared" si="13"/>
        <v>0.55420180681382414</v>
      </c>
      <c r="X263">
        <f t="shared" si="14"/>
        <v>0.59022638633875368</v>
      </c>
    </row>
    <row r="264" spans="1:24" x14ac:dyDescent="0.25">
      <c r="A264">
        <v>263</v>
      </c>
      <c r="B264">
        <v>0</v>
      </c>
      <c r="C264">
        <v>1</v>
      </c>
      <c r="D264" s="1" t="s">
        <v>556</v>
      </c>
      <c r="E264">
        <v>0</v>
      </c>
      <c r="F264">
        <v>52</v>
      </c>
      <c r="G264">
        <v>1</v>
      </c>
      <c r="H264">
        <v>1</v>
      </c>
      <c r="I264" s="1" t="s">
        <v>557</v>
      </c>
      <c r="J264">
        <v>79.650000000000006</v>
      </c>
      <c r="K264" s="1" t="s">
        <v>558</v>
      </c>
      <c r="L264" s="1" t="s">
        <v>14</v>
      </c>
      <c r="M264">
        <v>1</v>
      </c>
      <c r="N264">
        <v>0</v>
      </c>
      <c r="O264">
        <v>0</v>
      </c>
      <c r="P264" t="s">
        <v>1741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f t="shared" si="12"/>
        <v>0</v>
      </c>
      <c r="W264">
        <f t="shared" si="13"/>
        <v>0.5</v>
      </c>
      <c r="X264">
        <f t="shared" si="14"/>
        <v>0.69314718055994529</v>
      </c>
    </row>
    <row r="265" spans="1:24" x14ac:dyDescent="0.25">
      <c r="A265">
        <v>264</v>
      </c>
      <c r="B265">
        <v>0</v>
      </c>
      <c r="C265">
        <v>1</v>
      </c>
      <c r="D265" s="1" t="s">
        <v>559</v>
      </c>
      <c r="E265">
        <v>0</v>
      </c>
      <c r="F265">
        <v>40</v>
      </c>
      <c r="G265">
        <v>0</v>
      </c>
      <c r="H265">
        <v>0</v>
      </c>
      <c r="I265" s="1" t="s">
        <v>560</v>
      </c>
      <c r="J265">
        <v>0</v>
      </c>
      <c r="K265" s="1" t="s">
        <v>561</v>
      </c>
      <c r="L265" s="1" t="s">
        <v>14</v>
      </c>
      <c r="M265">
        <v>1</v>
      </c>
      <c r="N265">
        <v>0</v>
      </c>
      <c r="O265">
        <v>0</v>
      </c>
      <c r="P265" t="s">
        <v>1741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f t="shared" si="12"/>
        <v>0</v>
      </c>
      <c r="W265">
        <f t="shared" si="13"/>
        <v>0.5</v>
      </c>
      <c r="X265">
        <f t="shared" si="14"/>
        <v>0.69314718055994529</v>
      </c>
    </row>
    <row r="266" spans="1:24" x14ac:dyDescent="0.25">
      <c r="A266">
        <v>265</v>
      </c>
      <c r="B266">
        <v>0</v>
      </c>
      <c r="C266">
        <v>3</v>
      </c>
      <c r="D266" s="1" t="s">
        <v>562</v>
      </c>
      <c r="E266">
        <v>1</v>
      </c>
      <c r="F266" s="1">
        <v>21.98581560283688</v>
      </c>
      <c r="G266">
        <v>0</v>
      </c>
      <c r="H266">
        <v>0</v>
      </c>
      <c r="I266" s="1" t="s">
        <v>563</v>
      </c>
      <c r="J266">
        <v>7.75</v>
      </c>
      <c r="K266" s="1" t="s">
        <v>48</v>
      </c>
      <c r="L266" s="1" t="s">
        <v>28</v>
      </c>
      <c r="M266">
        <v>0</v>
      </c>
      <c r="N266">
        <v>0</v>
      </c>
      <c r="O266">
        <v>1</v>
      </c>
      <c r="P266" t="s">
        <v>1739</v>
      </c>
      <c r="Q266">
        <v>1</v>
      </c>
      <c r="R266">
        <v>0</v>
      </c>
      <c r="S266">
        <v>0</v>
      </c>
      <c r="T266">
        <v>0</v>
      </c>
      <c r="U266">
        <v>0</v>
      </c>
      <c r="V266">
        <f t="shared" si="12"/>
        <v>0.87219584275330231</v>
      </c>
      <c r="W266">
        <f t="shared" si="13"/>
        <v>0.70520240168703408</v>
      </c>
      <c r="X266">
        <f t="shared" si="14"/>
        <v>1.2214662655353992</v>
      </c>
    </row>
    <row r="267" spans="1:24" x14ac:dyDescent="0.25">
      <c r="A267">
        <v>266</v>
      </c>
      <c r="B267">
        <v>0</v>
      </c>
      <c r="C267">
        <v>2</v>
      </c>
      <c r="D267" s="1" t="s">
        <v>564</v>
      </c>
      <c r="E267">
        <v>0</v>
      </c>
      <c r="F267">
        <v>36</v>
      </c>
      <c r="G267">
        <v>0</v>
      </c>
      <c r="H267">
        <v>0</v>
      </c>
      <c r="I267" s="1" t="s">
        <v>565</v>
      </c>
      <c r="J267">
        <v>10.5</v>
      </c>
      <c r="K267" s="1" t="s">
        <v>48</v>
      </c>
      <c r="L267" s="1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f t="shared" si="12"/>
        <v>0</v>
      </c>
      <c r="W267">
        <f t="shared" si="13"/>
        <v>0.5</v>
      </c>
      <c r="X267">
        <f t="shared" si="14"/>
        <v>0.69314718055994529</v>
      </c>
    </row>
    <row r="268" spans="1:24" x14ac:dyDescent="0.25">
      <c r="A268">
        <v>267</v>
      </c>
      <c r="B268">
        <v>0</v>
      </c>
      <c r="C268">
        <v>3</v>
      </c>
      <c r="D268" s="1" t="s">
        <v>566</v>
      </c>
      <c r="E268">
        <v>0</v>
      </c>
      <c r="F268">
        <v>16</v>
      </c>
      <c r="G268">
        <v>4</v>
      </c>
      <c r="H268">
        <v>1</v>
      </c>
      <c r="I268" s="1" t="s">
        <v>125</v>
      </c>
      <c r="J268">
        <v>39.6875</v>
      </c>
      <c r="K268" s="1" t="s">
        <v>48</v>
      </c>
      <c r="L268" s="1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f t="shared" si="12"/>
        <v>0</v>
      </c>
      <c r="W268">
        <f t="shared" si="13"/>
        <v>0.5</v>
      </c>
      <c r="X268">
        <f t="shared" si="14"/>
        <v>0.69314718055994529</v>
      </c>
    </row>
    <row r="269" spans="1:24" x14ac:dyDescent="0.25">
      <c r="A269">
        <v>268</v>
      </c>
      <c r="B269">
        <v>1</v>
      </c>
      <c r="C269">
        <v>3</v>
      </c>
      <c r="D269" s="1" t="s">
        <v>567</v>
      </c>
      <c r="E269">
        <v>0</v>
      </c>
      <c r="F269">
        <v>25</v>
      </c>
      <c r="G269">
        <v>1</v>
      </c>
      <c r="H269">
        <v>0</v>
      </c>
      <c r="I269" s="1" t="s">
        <v>568</v>
      </c>
      <c r="J269">
        <v>7.7750000000000004</v>
      </c>
      <c r="K269" s="1" t="s">
        <v>48</v>
      </c>
      <c r="L269" s="1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f t="shared" si="12"/>
        <v>0</v>
      </c>
      <c r="W269">
        <f t="shared" si="13"/>
        <v>0.5</v>
      </c>
      <c r="X269">
        <f t="shared" si="14"/>
        <v>0.69314718055994529</v>
      </c>
    </row>
    <row r="270" spans="1:24" x14ac:dyDescent="0.25">
      <c r="A270">
        <v>269</v>
      </c>
      <c r="B270">
        <v>1</v>
      </c>
      <c r="C270">
        <v>1</v>
      </c>
      <c r="D270" s="1" t="s">
        <v>569</v>
      </c>
      <c r="E270">
        <v>1</v>
      </c>
      <c r="F270">
        <v>58</v>
      </c>
      <c r="G270">
        <v>0</v>
      </c>
      <c r="H270">
        <v>1</v>
      </c>
      <c r="I270" s="1" t="s">
        <v>570</v>
      </c>
      <c r="J270">
        <v>153.46250000000001</v>
      </c>
      <c r="K270" s="1" t="s">
        <v>571</v>
      </c>
      <c r="L270" s="1" t="s">
        <v>14</v>
      </c>
      <c r="M270">
        <v>1</v>
      </c>
      <c r="N270">
        <v>0</v>
      </c>
      <c r="O270">
        <v>0</v>
      </c>
      <c r="P270" t="s">
        <v>1740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f t="shared" si="12"/>
        <v>1.3618761518134992</v>
      </c>
      <c r="W270">
        <f t="shared" si="13"/>
        <v>0.79606445234832413</v>
      </c>
      <c r="X270">
        <f t="shared" si="14"/>
        <v>0.22807512612883141</v>
      </c>
    </row>
    <row r="271" spans="1:24" x14ac:dyDescent="0.25">
      <c r="A271">
        <v>270</v>
      </c>
      <c r="B271">
        <v>1</v>
      </c>
      <c r="C271">
        <v>1</v>
      </c>
      <c r="D271" s="1" t="s">
        <v>572</v>
      </c>
      <c r="E271">
        <v>1</v>
      </c>
      <c r="F271">
        <v>35</v>
      </c>
      <c r="G271">
        <v>0</v>
      </c>
      <c r="H271">
        <v>0</v>
      </c>
      <c r="I271" s="1" t="s">
        <v>573</v>
      </c>
      <c r="J271">
        <v>135.63329999999999</v>
      </c>
      <c r="K271" s="1" t="s">
        <v>574</v>
      </c>
      <c r="L271" s="1" t="s">
        <v>14</v>
      </c>
      <c r="M271">
        <v>1</v>
      </c>
      <c r="N271">
        <v>0</v>
      </c>
      <c r="O271">
        <v>0</v>
      </c>
      <c r="P271" t="s">
        <v>1739</v>
      </c>
      <c r="Q271">
        <v>1</v>
      </c>
      <c r="R271">
        <v>0</v>
      </c>
      <c r="S271">
        <v>0</v>
      </c>
      <c r="T271">
        <v>0</v>
      </c>
      <c r="U271">
        <v>0</v>
      </c>
      <c r="V271">
        <f t="shared" si="12"/>
        <v>0.87219584275330231</v>
      </c>
      <c r="W271">
        <f t="shared" si="13"/>
        <v>0.70520240168703408</v>
      </c>
      <c r="X271">
        <f t="shared" si="14"/>
        <v>0.34927042278209691</v>
      </c>
    </row>
    <row r="272" spans="1:24" x14ac:dyDescent="0.25">
      <c r="A272">
        <v>271</v>
      </c>
      <c r="B272">
        <v>0</v>
      </c>
      <c r="C272">
        <v>1</v>
      </c>
      <c r="D272" s="1" t="s">
        <v>575</v>
      </c>
      <c r="E272">
        <v>0</v>
      </c>
      <c r="F272" s="1">
        <v>32.180156657963444</v>
      </c>
      <c r="G272">
        <v>0</v>
      </c>
      <c r="H272">
        <v>0</v>
      </c>
      <c r="I272" s="1" t="s">
        <v>576</v>
      </c>
      <c r="J272">
        <v>31</v>
      </c>
      <c r="K272" s="1" t="s">
        <v>48</v>
      </c>
      <c r="L272" s="1" t="s">
        <v>14</v>
      </c>
      <c r="M272">
        <v>1</v>
      </c>
      <c r="N272">
        <v>0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f t="shared" si="12"/>
        <v>0</v>
      </c>
      <c r="W272">
        <f t="shared" si="13"/>
        <v>0.5</v>
      </c>
      <c r="X272">
        <f t="shared" si="14"/>
        <v>0.69314718055994529</v>
      </c>
    </row>
    <row r="273" spans="1:24" x14ac:dyDescent="0.25">
      <c r="A273">
        <v>272</v>
      </c>
      <c r="B273">
        <v>1</v>
      </c>
      <c r="C273">
        <v>3</v>
      </c>
      <c r="D273" s="1" t="s">
        <v>577</v>
      </c>
      <c r="E273">
        <v>0</v>
      </c>
      <c r="F273">
        <v>25</v>
      </c>
      <c r="G273">
        <v>0</v>
      </c>
      <c r="H273">
        <v>0</v>
      </c>
      <c r="I273" s="1" t="s">
        <v>391</v>
      </c>
      <c r="J273">
        <v>0</v>
      </c>
      <c r="K273" s="1" t="s">
        <v>48</v>
      </c>
      <c r="L273" s="1" t="s">
        <v>14</v>
      </c>
      <c r="M273">
        <v>1</v>
      </c>
      <c r="N273">
        <v>0</v>
      </c>
      <c r="O273">
        <v>0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f t="shared" si="12"/>
        <v>0</v>
      </c>
      <c r="W273">
        <f t="shared" si="13"/>
        <v>0.5</v>
      </c>
      <c r="X273">
        <f t="shared" si="14"/>
        <v>0.69314718055994529</v>
      </c>
    </row>
    <row r="274" spans="1:24" x14ac:dyDescent="0.25">
      <c r="A274">
        <v>273</v>
      </c>
      <c r="B274">
        <v>1</v>
      </c>
      <c r="C274">
        <v>2</v>
      </c>
      <c r="D274" s="1" t="s">
        <v>578</v>
      </c>
      <c r="E274">
        <v>1</v>
      </c>
      <c r="F274">
        <v>41</v>
      </c>
      <c r="G274">
        <v>0</v>
      </c>
      <c r="H274">
        <v>1</v>
      </c>
      <c r="I274" s="1" t="s">
        <v>579</v>
      </c>
      <c r="J274">
        <v>19.5</v>
      </c>
      <c r="K274" s="1" t="s">
        <v>48</v>
      </c>
      <c r="L274" s="1" t="s">
        <v>14</v>
      </c>
      <c r="M274">
        <v>1</v>
      </c>
      <c r="N274">
        <v>0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f t="shared" si="12"/>
        <v>1.3618761518134992</v>
      </c>
      <c r="W274">
        <f t="shared" si="13"/>
        <v>0.79606445234832413</v>
      </c>
      <c r="X274">
        <f t="shared" si="14"/>
        <v>0.22807512612883141</v>
      </c>
    </row>
    <row r="275" spans="1:24" x14ac:dyDescent="0.25">
      <c r="A275">
        <v>274</v>
      </c>
      <c r="B275">
        <v>0</v>
      </c>
      <c r="C275">
        <v>1</v>
      </c>
      <c r="D275" s="1" t="s">
        <v>580</v>
      </c>
      <c r="E275">
        <v>0</v>
      </c>
      <c r="F275">
        <v>37</v>
      </c>
      <c r="G275">
        <v>0</v>
      </c>
      <c r="H275">
        <v>1</v>
      </c>
      <c r="I275" s="1" t="s">
        <v>581</v>
      </c>
      <c r="J275">
        <v>29.7</v>
      </c>
      <c r="K275" s="1" t="s">
        <v>582</v>
      </c>
      <c r="L275" s="1" t="s">
        <v>18</v>
      </c>
      <c r="M275">
        <v>0</v>
      </c>
      <c r="N275">
        <v>1</v>
      </c>
      <c r="O275">
        <v>0</v>
      </c>
      <c r="P275" t="s">
        <v>1741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f t="shared" si="12"/>
        <v>0</v>
      </c>
      <c r="W275">
        <f t="shared" si="13"/>
        <v>0.5</v>
      </c>
      <c r="X275">
        <f t="shared" si="14"/>
        <v>0.69314718055994529</v>
      </c>
    </row>
    <row r="276" spans="1:24" x14ac:dyDescent="0.25">
      <c r="A276">
        <v>275</v>
      </c>
      <c r="B276">
        <v>1</v>
      </c>
      <c r="C276">
        <v>3</v>
      </c>
      <c r="D276" s="1" t="s">
        <v>583</v>
      </c>
      <c r="E276">
        <v>1</v>
      </c>
      <c r="F276" s="1">
        <v>21.98581560283688</v>
      </c>
      <c r="G276">
        <v>0</v>
      </c>
      <c r="H276">
        <v>0</v>
      </c>
      <c r="I276" s="1" t="s">
        <v>584</v>
      </c>
      <c r="J276">
        <v>7.75</v>
      </c>
      <c r="K276" s="1" t="s">
        <v>48</v>
      </c>
      <c r="L276" s="1" t="s">
        <v>28</v>
      </c>
      <c r="M276">
        <v>0</v>
      </c>
      <c r="N276">
        <v>0</v>
      </c>
      <c r="O276">
        <v>1</v>
      </c>
      <c r="P276" t="s">
        <v>1739</v>
      </c>
      <c r="Q276">
        <v>1</v>
      </c>
      <c r="R276">
        <v>0</v>
      </c>
      <c r="S276">
        <v>0</v>
      </c>
      <c r="T276">
        <v>0</v>
      </c>
      <c r="U276">
        <v>0</v>
      </c>
      <c r="V276">
        <f t="shared" si="12"/>
        <v>0.87219584275330231</v>
      </c>
      <c r="W276">
        <f t="shared" si="13"/>
        <v>0.70520240168703408</v>
      </c>
      <c r="X276">
        <f t="shared" si="14"/>
        <v>0.34927042278209691</v>
      </c>
    </row>
    <row r="277" spans="1:24" x14ac:dyDescent="0.25">
      <c r="A277">
        <v>276</v>
      </c>
      <c r="B277">
        <v>1</v>
      </c>
      <c r="C277">
        <v>1</v>
      </c>
      <c r="D277" s="1" t="s">
        <v>585</v>
      </c>
      <c r="E277">
        <v>1</v>
      </c>
      <c r="F277">
        <v>63</v>
      </c>
      <c r="G277">
        <v>1</v>
      </c>
      <c r="H277">
        <v>0</v>
      </c>
      <c r="I277" s="1" t="s">
        <v>586</v>
      </c>
      <c r="J277">
        <v>77.958299999999994</v>
      </c>
      <c r="K277" s="1" t="s">
        <v>587</v>
      </c>
      <c r="L277" s="1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  <c r="V277">
        <f t="shared" si="12"/>
        <v>0.87219584275330231</v>
      </c>
      <c r="W277">
        <f t="shared" si="13"/>
        <v>0.70520240168703408</v>
      </c>
      <c r="X277">
        <f t="shared" si="14"/>
        <v>0.34927042278209691</v>
      </c>
    </row>
    <row r="278" spans="1:24" x14ac:dyDescent="0.25">
      <c r="A278">
        <v>277</v>
      </c>
      <c r="B278">
        <v>0</v>
      </c>
      <c r="C278">
        <v>3</v>
      </c>
      <c r="D278" s="1" t="s">
        <v>588</v>
      </c>
      <c r="E278">
        <v>1</v>
      </c>
      <c r="F278">
        <v>45</v>
      </c>
      <c r="G278">
        <v>0</v>
      </c>
      <c r="H278">
        <v>0</v>
      </c>
      <c r="I278" s="1" t="s">
        <v>589</v>
      </c>
      <c r="J278">
        <v>7.75</v>
      </c>
      <c r="K278" s="1" t="s">
        <v>48</v>
      </c>
      <c r="L278" s="1" t="s">
        <v>14</v>
      </c>
      <c r="M278">
        <v>1</v>
      </c>
      <c r="N278">
        <v>0</v>
      </c>
      <c r="O278">
        <v>0</v>
      </c>
      <c r="P278" t="s">
        <v>1739</v>
      </c>
      <c r="Q278">
        <v>1</v>
      </c>
      <c r="R278">
        <v>0</v>
      </c>
      <c r="S278">
        <v>0</v>
      </c>
      <c r="T278">
        <v>0</v>
      </c>
      <c r="U278">
        <v>0</v>
      </c>
      <c r="V278">
        <f t="shared" si="12"/>
        <v>0.87219584275330231</v>
      </c>
      <c r="W278">
        <f t="shared" si="13"/>
        <v>0.70520240168703408</v>
      </c>
      <c r="X278">
        <f t="shared" si="14"/>
        <v>1.2214662655353992</v>
      </c>
    </row>
    <row r="279" spans="1:24" x14ac:dyDescent="0.25">
      <c r="A279">
        <v>278</v>
      </c>
      <c r="B279">
        <v>0</v>
      </c>
      <c r="C279">
        <v>2</v>
      </c>
      <c r="D279" s="1" t="s">
        <v>590</v>
      </c>
      <c r="E279">
        <v>0</v>
      </c>
      <c r="F279" s="1">
        <v>32.180156657963444</v>
      </c>
      <c r="G279">
        <v>0</v>
      </c>
      <c r="H279">
        <v>0</v>
      </c>
      <c r="I279" s="1" t="s">
        <v>591</v>
      </c>
      <c r="J279">
        <v>0</v>
      </c>
      <c r="K279" s="1" t="s">
        <v>48</v>
      </c>
      <c r="L279" s="1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f t="shared" si="12"/>
        <v>0</v>
      </c>
      <c r="W279">
        <f t="shared" si="13"/>
        <v>0.5</v>
      </c>
      <c r="X279">
        <f t="shared" si="14"/>
        <v>0.69314718055994529</v>
      </c>
    </row>
    <row r="280" spans="1:24" x14ac:dyDescent="0.25">
      <c r="A280">
        <v>279</v>
      </c>
      <c r="B280">
        <v>0</v>
      </c>
      <c r="C280">
        <v>3</v>
      </c>
      <c r="D280" s="1" t="s">
        <v>592</v>
      </c>
      <c r="E280">
        <v>0</v>
      </c>
      <c r="F280">
        <v>7</v>
      </c>
      <c r="G280">
        <v>4</v>
      </c>
      <c r="H280">
        <v>1</v>
      </c>
      <c r="I280" s="1" t="s">
        <v>54</v>
      </c>
      <c r="J280">
        <v>29.125</v>
      </c>
      <c r="K280" s="1" t="s">
        <v>48</v>
      </c>
      <c r="L280" s="1" t="s">
        <v>28</v>
      </c>
      <c r="M280">
        <v>0</v>
      </c>
      <c r="N280">
        <v>0</v>
      </c>
      <c r="O280">
        <v>1</v>
      </c>
      <c r="P280" t="s">
        <v>1742</v>
      </c>
      <c r="Q280">
        <v>0</v>
      </c>
      <c r="R280">
        <v>0</v>
      </c>
      <c r="S280">
        <v>0</v>
      </c>
      <c r="T280">
        <v>1</v>
      </c>
      <c r="U280">
        <v>0</v>
      </c>
      <c r="V280">
        <f t="shared" si="12"/>
        <v>0.21766252466937555</v>
      </c>
      <c r="W280">
        <f t="shared" si="13"/>
        <v>0.55420180681382414</v>
      </c>
      <c r="X280">
        <f t="shared" si="14"/>
        <v>0.8078889110081291</v>
      </c>
    </row>
    <row r="281" spans="1:24" x14ac:dyDescent="0.25">
      <c r="A281">
        <v>280</v>
      </c>
      <c r="B281">
        <v>1</v>
      </c>
      <c r="C281">
        <v>3</v>
      </c>
      <c r="D281" s="1" t="s">
        <v>593</v>
      </c>
      <c r="E281">
        <v>1</v>
      </c>
      <c r="F281">
        <v>35</v>
      </c>
      <c r="G281">
        <v>1</v>
      </c>
      <c r="H281">
        <v>1</v>
      </c>
      <c r="I281" s="1" t="s">
        <v>594</v>
      </c>
      <c r="J281">
        <v>20.25</v>
      </c>
      <c r="K281" s="1" t="s">
        <v>48</v>
      </c>
      <c r="L281" s="1" t="s">
        <v>14</v>
      </c>
      <c r="M281">
        <v>1</v>
      </c>
      <c r="N281">
        <v>0</v>
      </c>
      <c r="O281">
        <v>0</v>
      </c>
      <c r="P281" t="s">
        <v>1740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f t="shared" si="12"/>
        <v>1.3618761518134992</v>
      </c>
      <c r="W281">
        <f t="shared" si="13"/>
        <v>0.79606445234832413</v>
      </c>
      <c r="X281">
        <f t="shared" si="14"/>
        <v>0.22807512612883141</v>
      </c>
    </row>
    <row r="282" spans="1:24" x14ac:dyDescent="0.25">
      <c r="A282">
        <v>281</v>
      </c>
      <c r="B282">
        <v>0</v>
      </c>
      <c r="C282">
        <v>3</v>
      </c>
      <c r="D282" s="1" t="s">
        <v>595</v>
      </c>
      <c r="E282">
        <v>0</v>
      </c>
      <c r="F282">
        <v>65</v>
      </c>
      <c r="G282">
        <v>0</v>
      </c>
      <c r="H282">
        <v>0</v>
      </c>
      <c r="I282" s="1" t="s">
        <v>596</v>
      </c>
      <c r="J282">
        <v>7.75</v>
      </c>
      <c r="K282" s="1" t="s">
        <v>48</v>
      </c>
      <c r="L282" s="1" t="s">
        <v>28</v>
      </c>
      <c r="M282">
        <v>0</v>
      </c>
      <c r="N282">
        <v>0</v>
      </c>
      <c r="O282">
        <v>1</v>
      </c>
      <c r="P282" t="s">
        <v>1741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f t="shared" si="12"/>
        <v>0</v>
      </c>
      <c r="W282">
        <f t="shared" si="13"/>
        <v>0.5</v>
      </c>
      <c r="X282">
        <f t="shared" si="14"/>
        <v>0.69314718055994529</v>
      </c>
    </row>
    <row r="283" spans="1:24" x14ac:dyDescent="0.25">
      <c r="A283">
        <v>282</v>
      </c>
      <c r="B283">
        <v>0</v>
      </c>
      <c r="C283">
        <v>3</v>
      </c>
      <c r="D283" s="1" t="s">
        <v>597</v>
      </c>
      <c r="E283">
        <v>0</v>
      </c>
      <c r="F283">
        <v>28</v>
      </c>
      <c r="G283">
        <v>0</v>
      </c>
      <c r="H283">
        <v>0</v>
      </c>
      <c r="I283" s="1" t="s">
        <v>598</v>
      </c>
      <c r="J283">
        <v>7.8541999999999996</v>
      </c>
      <c r="K283" s="1" t="s">
        <v>48</v>
      </c>
      <c r="L283" s="1" t="s">
        <v>14</v>
      </c>
      <c r="M283">
        <v>1</v>
      </c>
      <c r="N283">
        <v>0</v>
      </c>
      <c r="O283">
        <v>0</v>
      </c>
      <c r="P283" t="s">
        <v>1741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f t="shared" si="12"/>
        <v>0</v>
      </c>
      <c r="W283">
        <f t="shared" si="13"/>
        <v>0.5</v>
      </c>
      <c r="X283">
        <f t="shared" si="14"/>
        <v>0.69314718055994529</v>
      </c>
    </row>
    <row r="284" spans="1:24" x14ac:dyDescent="0.25">
      <c r="A284">
        <v>283</v>
      </c>
      <c r="B284">
        <v>0</v>
      </c>
      <c r="C284">
        <v>3</v>
      </c>
      <c r="D284" s="1" t="s">
        <v>599</v>
      </c>
      <c r="E284">
        <v>0</v>
      </c>
      <c r="F284">
        <v>16</v>
      </c>
      <c r="G284">
        <v>0</v>
      </c>
      <c r="H284">
        <v>0</v>
      </c>
      <c r="I284" s="1" t="s">
        <v>600</v>
      </c>
      <c r="J284">
        <v>9.5</v>
      </c>
      <c r="K284" s="1" t="s">
        <v>48</v>
      </c>
      <c r="L284" s="1" t="s">
        <v>14</v>
      </c>
      <c r="M284">
        <v>1</v>
      </c>
      <c r="N284">
        <v>0</v>
      </c>
      <c r="O284">
        <v>0</v>
      </c>
      <c r="P284" t="s">
        <v>1741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f t="shared" si="12"/>
        <v>0</v>
      </c>
      <c r="W284">
        <f t="shared" si="13"/>
        <v>0.5</v>
      </c>
      <c r="X284">
        <f t="shared" si="14"/>
        <v>0.69314718055994529</v>
      </c>
    </row>
    <row r="285" spans="1:24" x14ac:dyDescent="0.25">
      <c r="A285">
        <v>284</v>
      </c>
      <c r="B285">
        <v>1</v>
      </c>
      <c r="C285">
        <v>3</v>
      </c>
      <c r="D285" s="1" t="s">
        <v>601</v>
      </c>
      <c r="E285">
        <v>0</v>
      </c>
      <c r="F285">
        <v>19</v>
      </c>
      <c r="G285">
        <v>0</v>
      </c>
      <c r="H285">
        <v>0</v>
      </c>
      <c r="I285" s="1" t="s">
        <v>602</v>
      </c>
      <c r="J285">
        <v>8.0500000000000007</v>
      </c>
      <c r="K285" s="1" t="s">
        <v>48</v>
      </c>
      <c r="L285" s="1" t="s">
        <v>14</v>
      </c>
      <c r="M285">
        <v>1</v>
      </c>
      <c r="N285">
        <v>0</v>
      </c>
      <c r="O285">
        <v>0</v>
      </c>
      <c r="P285" t="s">
        <v>1741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f t="shared" si="12"/>
        <v>0</v>
      </c>
      <c r="W285">
        <f t="shared" si="13"/>
        <v>0.5</v>
      </c>
      <c r="X285">
        <f t="shared" si="14"/>
        <v>0.69314718055994529</v>
      </c>
    </row>
    <row r="286" spans="1:24" x14ac:dyDescent="0.25">
      <c r="A286">
        <v>285</v>
      </c>
      <c r="B286">
        <v>0</v>
      </c>
      <c r="C286">
        <v>1</v>
      </c>
      <c r="D286" s="1" t="s">
        <v>603</v>
      </c>
      <c r="E286">
        <v>0</v>
      </c>
      <c r="F286" s="1">
        <v>32.180156657963444</v>
      </c>
      <c r="G286">
        <v>0</v>
      </c>
      <c r="H286">
        <v>0</v>
      </c>
      <c r="I286" s="1" t="s">
        <v>604</v>
      </c>
      <c r="J286">
        <v>26</v>
      </c>
      <c r="K286" s="1" t="s">
        <v>605</v>
      </c>
      <c r="L286" s="1" t="s">
        <v>14</v>
      </c>
      <c r="M286">
        <v>1</v>
      </c>
      <c r="N286">
        <v>0</v>
      </c>
      <c r="O286">
        <v>0</v>
      </c>
      <c r="P286" t="s">
        <v>1741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f t="shared" si="12"/>
        <v>0</v>
      </c>
      <c r="W286">
        <f t="shared" si="13"/>
        <v>0.5</v>
      </c>
      <c r="X286">
        <f t="shared" si="14"/>
        <v>0.69314718055994529</v>
      </c>
    </row>
    <row r="287" spans="1:24" x14ac:dyDescent="0.25">
      <c r="A287">
        <v>286</v>
      </c>
      <c r="B287">
        <v>0</v>
      </c>
      <c r="C287">
        <v>3</v>
      </c>
      <c r="D287" s="1" t="s">
        <v>606</v>
      </c>
      <c r="E287">
        <v>0</v>
      </c>
      <c r="F287">
        <v>33</v>
      </c>
      <c r="G287">
        <v>0</v>
      </c>
      <c r="H287">
        <v>0</v>
      </c>
      <c r="I287" s="1" t="s">
        <v>607</v>
      </c>
      <c r="J287">
        <v>8.6624999999999996</v>
      </c>
      <c r="K287" s="1" t="s">
        <v>48</v>
      </c>
      <c r="L287" s="1" t="s">
        <v>18</v>
      </c>
      <c r="M287">
        <v>0</v>
      </c>
      <c r="N287">
        <v>1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f t="shared" si="12"/>
        <v>0</v>
      </c>
      <c r="W287">
        <f t="shared" si="13"/>
        <v>0.5</v>
      </c>
      <c r="X287">
        <f t="shared" si="14"/>
        <v>0.69314718055994529</v>
      </c>
    </row>
    <row r="288" spans="1:24" x14ac:dyDescent="0.25">
      <c r="A288">
        <v>287</v>
      </c>
      <c r="B288">
        <v>1</v>
      </c>
      <c r="C288">
        <v>3</v>
      </c>
      <c r="D288" s="1" t="s">
        <v>608</v>
      </c>
      <c r="E288">
        <v>0</v>
      </c>
      <c r="F288">
        <v>30</v>
      </c>
      <c r="G288">
        <v>0</v>
      </c>
      <c r="H288">
        <v>0</v>
      </c>
      <c r="I288" s="1" t="s">
        <v>609</v>
      </c>
      <c r="J288">
        <v>9.5</v>
      </c>
      <c r="K288" s="1" t="s">
        <v>48</v>
      </c>
      <c r="L288" s="1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f t="shared" si="12"/>
        <v>0</v>
      </c>
      <c r="W288">
        <f t="shared" si="13"/>
        <v>0.5</v>
      </c>
      <c r="X288">
        <f t="shared" si="14"/>
        <v>0.69314718055994529</v>
      </c>
    </row>
    <row r="289" spans="1:24" x14ac:dyDescent="0.25">
      <c r="A289">
        <v>288</v>
      </c>
      <c r="B289">
        <v>0</v>
      </c>
      <c r="C289">
        <v>3</v>
      </c>
      <c r="D289" s="1" t="s">
        <v>610</v>
      </c>
      <c r="E289">
        <v>0</v>
      </c>
      <c r="F289">
        <v>22</v>
      </c>
      <c r="G289">
        <v>0</v>
      </c>
      <c r="H289">
        <v>0</v>
      </c>
      <c r="I289" s="1" t="s">
        <v>611</v>
      </c>
      <c r="J289">
        <v>7.8958000000000004</v>
      </c>
      <c r="K289" s="1" t="s">
        <v>48</v>
      </c>
      <c r="L289" s="1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f t="shared" si="12"/>
        <v>0</v>
      </c>
      <c r="W289">
        <f t="shared" si="13"/>
        <v>0.5</v>
      </c>
      <c r="X289">
        <f t="shared" si="14"/>
        <v>0.69314718055994529</v>
      </c>
    </row>
    <row r="290" spans="1:24" x14ac:dyDescent="0.25">
      <c r="A290">
        <v>289</v>
      </c>
      <c r="B290">
        <v>1</v>
      </c>
      <c r="C290">
        <v>2</v>
      </c>
      <c r="D290" s="1" t="s">
        <v>612</v>
      </c>
      <c r="E290">
        <v>0</v>
      </c>
      <c r="F290">
        <v>42</v>
      </c>
      <c r="G290">
        <v>0</v>
      </c>
      <c r="H290">
        <v>0</v>
      </c>
      <c r="I290" s="1" t="s">
        <v>613</v>
      </c>
      <c r="J290">
        <v>13</v>
      </c>
      <c r="K290" s="1" t="s">
        <v>48</v>
      </c>
      <c r="L290" s="1" t="s">
        <v>14</v>
      </c>
      <c r="M290">
        <v>1</v>
      </c>
      <c r="N290">
        <v>0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f t="shared" si="12"/>
        <v>0</v>
      </c>
      <c r="W290">
        <f t="shared" si="13"/>
        <v>0.5</v>
      </c>
      <c r="X290">
        <f t="shared" si="14"/>
        <v>0.69314718055994529</v>
      </c>
    </row>
    <row r="291" spans="1:24" x14ac:dyDescent="0.25">
      <c r="A291">
        <v>290</v>
      </c>
      <c r="B291">
        <v>1</v>
      </c>
      <c r="C291">
        <v>3</v>
      </c>
      <c r="D291" s="1" t="s">
        <v>614</v>
      </c>
      <c r="E291">
        <v>1</v>
      </c>
      <c r="F291">
        <v>22</v>
      </c>
      <c r="G291">
        <v>0</v>
      </c>
      <c r="H291">
        <v>0</v>
      </c>
      <c r="I291" s="1" t="s">
        <v>615</v>
      </c>
      <c r="J291">
        <v>7.75</v>
      </c>
      <c r="K291" s="1" t="s">
        <v>48</v>
      </c>
      <c r="L291" s="1" t="s">
        <v>28</v>
      </c>
      <c r="M291">
        <v>0</v>
      </c>
      <c r="N291">
        <v>0</v>
      </c>
      <c r="O291">
        <v>1</v>
      </c>
      <c r="P291" t="s">
        <v>1739</v>
      </c>
      <c r="Q291">
        <v>1</v>
      </c>
      <c r="R291">
        <v>0</v>
      </c>
      <c r="S291">
        <v>0</v>
      </c>
      <c r="T291">
        <v>0</v>
      </c>
      <c r="U291">
        <v>0</v>
      </c>
      <c r="V291">
        <f t="shared" si="12"/>
        <v>0.87219584275330231</v>
      </c>
      <c r="W291">
        <f t="shared" si="13"/>
        <v>0.70520240168703408</v>
      </c>
      <c r="X291">
        <f t="shared" si="14"/>
        <v>0.34927042278209691</v>
      </c>
    </row>
    <row r="292" spans="1:24" x14ac:dyDescent="0.25">
      <c r="A292">
        <v>291</v>
      </c>
      <c r="B292">
        <v>1</v>
      </c>
      <c r="C292">
        <v>1</v>
      </c>
      <c r="D292" s="1" t="s">
        <v>616</v>
      </c>
      <c r="E292">
        <v>1</v>
      </c>
      <c r="F292">
        <v>26</v>
      </c>
      <c r="G292">
        <v>0</v>
      </c>
      <c r="H292">
        <v>0</v>
      </c>
      <c r="I292" s="1" t="s">
        <v>617</v>
      </c>
      <c r="J292">
        <v>78.849999999999994</v>
      </c>
      <c r="K292" s="1" t="s">
        <v>48</v>
      </c>
      <c r="L292" s="1" t="s">
        <v>14</v>
      </c>
      <c r="M292">
        <v>1</v>
      </c>
      <c r="N292">
        <v>0</v>
      </c>
      <c r="O292">
        <v>0</v>
      </c>
      <c r="P292" t="s">
        <v>1739</v>
      </c>
      <c r="Q292">
        <v>1</v>
      </c>
      <c r="R292">
        <v>0</v>
      </c>
      <c r="S292">
        <v>0</v>
      </c>
      <c r="T292">
        <v>0</v>
      </c>
      <c r="U292">
        <v>0</v>
      </c>
      <c r="V292">
        <f t="shared" si="12"/>
        <v>0.87219584275330231</v>
      </c>
      <c r="W292">
        <f t="shared" si="13"/>
        <v>0.70520240168703408</v>
      </c>
      <c r="X292">
        <f t="shared" si="14"/>
        <v>0.34927042278209691</v>
      </c>
    </row>
    <row r="293" spans="1:24" x14ac:dyDescent="0.25">
      <c r="A293">
        <v>292</v>
      </c>
      <c r="B293">
        <v>1</v>
      </c>
      <c r="C293">
        <v>1</v>
      </c>
      <c r="D293" s="1" t="s">
        <v>618</v>
      </c>
      <c r="E293">
        <v>1</v>
      </c>
      <c r="F293">
        <v>19</v>
      </c>
      <c r="G293">
        <v>1</v>
      </c>
      <c r="H293">
        <v>0</v>
      </c>
      <c r="I293" s="1" t="s">
        <v>619</v>
      </c>
      <c r="J293">
        <v>91.0792</v>
      </c>
      <c r="K293" s="1" t="s">
        <v>620</v>
      </c>
      <c r="L293" s="1" t="s">
        <v>18</v>
      </c>
      <c r="M293">
        <v>0</v>
      </c>
      <c r="N293">
        <v>1</v>
      </c>
      <c r="O293">
        <v>0</v>
      </c>
      <c r="P293" t="s">
        <v>1740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f t="shared" si="12"/>
        <v>1.3618761518134992</v>
      </c>
      <c r="W293">
        <f t="shared" si="13"/>
        <v>0.79606445234832413</v>
      </c>
      <c r="X293">
        <f t="shared" si="14"/>
        <v>0.22807512612883141</v>
      </c>
    </row>
    <row r="294" spans="1:24" x14ac:dyDescent="0.25">
      <c r="A294">
        <v>293</v>
      </c>
      <c r="B294">
        <v>0</v>
      </c>
      <c r="C294">
        <v>2</v>
      </c>
      <c r="D294" s="1" t="s">
        <v>621</v>
      </c>
      <c r="E294">
        <v>0</v>
      </c>
      <c r="F294">
        <v>36</v>
      </c>
      <c r="G294">
        <v>0</v>
      </c>
      <c r="H294">
        <v>0</v>
      </c>
      <c r="I294" s="1" t="s">
        <v>622</v>
      </c>
      <c r="J294">
        <v>12.875</v>
      </c>
      <c r="K294" s="1" t="s">
        <v>623</v>
      </c>
      <c r="L294" s="1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f t="shared" si="12"/>
        <v>0</v>
      </c>
      <c r="W294">
        <f t="shared" si="13"/>
        <v>0.5</v>
      </c>
      <c r="X294">
        <f t="shared" si="14"/>
        <v>0.69314718055994529</v>
      </c>
    </row>
    <row r="295" spans="1:24" x14ac:dyDescent="0.25">
      <c r="A295">
        <v>294</v>
      </c>
      <c r="B295">
        <v>0</v>
      </c>
      <c r="C295">
        <v>3</v>
      </c>
      <c r="D295" s="1" t="s">
        <v>624</v>
      </c>
      <c r="E295">
        <v>1</v>
      </c>
      <c r="F295">
        <v>24</v>
      </c>
      <c r="G295">
        <v>0</v>
      </c>
      <c r="H295">
        <v>0</v>
      </c>
      <c r="I295" s="1" t="s">
        <v>625</v>
      </c>
      <c r="J295">
        <v>8.85</v>
      </c>
      <c r="K295" s="1" t="s">
        <v>48</v>
      </c>
      <c r="L295" s="1" t="s">
        <v>14</v>
      </c>
      <c r="M295">
        <v>1</v>
      </c>
      <c r="N295">
        <v>0</v>
      </c>
      <c r="O295">
        <v>0</v>
      </c>
      <c r="P295" t="s">
        <v>1739</v>
      </c>
      <c r="Q295">
        <v>1</v>
      </c>
      <c r="R295">
        <v>0</v>
      </c>
      <c r="S295">
        <v>0</v>
      </c>
      <c r="T295">
        <v>0</v>
      </c>
      <c r="U295">
        <v>0</v>
      </c>
      <c r="V295">
        <f t="shared" si="12"/>
        <v>0.87219584275330231</v>
      </c>
      <c r="W295">
        <f t="shared" si="13"/>
        <v>0.70520240168703408</v>
      </c>
      <c r="X295">
        <f t="shared" si="14"/>
        <v>1.2214662655353992</v>
      </c>
    </row>
    <row r="296" spans="1:24" x14ac:dyDescent="0.25">
      <c r="A296">
        <v>295</v>
      </c>
      <c r="B296">
        <v>0</v>
      </c>
      <c r="C296">
        <v>3</v>
      </c>
      <c r="D296" s="1" t="s">
        <v>626</v>
      </c>
      <c r="E296">
        <v>0</v>
      </c>
      <c r="F296">
        <v>24</v>
      </c>
      <c r="G296">
        <v>0</v>
      </c>
      <c r="H296">
        <v>0</v>
      </c>
      <c r="I296" s="1" t="s">
        <v>627</v>
      </c>
      <c r="J296">
        <v>7.8958000000000004</v>
      </c>
      <c r="K296" s="1" t="s">
        <v>48</v>
      </c>
      <c r="L296" s="1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f t="shared" si="12"/>
        <v>0</v>
      </c>
      <c r="W296">
        <f t="shared" si="13"/>
        <v>0.5</v>
      </c>
      <c r="X296">
        <f t="shared" si="14"/>
        <v>0.69314718055994529</v>
      </c>
    </row>
    <row r="297" spans="1:24" x14ac:dyDescent="0.25">
      <c r="A297">
        <v>296</v>
      </c>
      <c r="B297">
        <v>0</v>
      </c>
      <c r="C297">
        <v>1</v>
      </c>
      <c r="D297" s="1" t="s">
        <v>628</v>
      </c>
      <c r="E297">
        <v>0</v>
      </c>
      <c r="F297" s="1">
        <v>32.180156657963444</v>
      </c>
      <c r="G297">
        <v>0</v>
      </c>
      <c r="H297">
        <v>0</v>
      </c>
      <c r="I297" s="1" t="s">
        <v>629</v>
      </c>
      <c r="J297">
        <v>27.720800000000001</v>
      </c>
      <c r="K297" s="1" t="s">
        <v>48</v>
      </c>
      <c r="L297" s="1" t="s">
        <v>18</v>
      </c>
      <c r="M297">
        <v>0</v>
      </c>
      <c r="N297">
        <v>1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f t="shared" si="12"/>
        <v>0</v>
      </c>
      <c r="W297">
        <f t="shared" si="13"/>
        <v>0.5</v>
      </c>
      <c r="X297">
        <f t="shared" si="14"/>
        <v>0.69314718055994529</v>
      </c>
    </row>
    <row r="298" spans="1:24" x14ac:dyDescent="0.25">
      <c r="A298">
        <v>297</v>
      </c>
      <c r="B298">
        <v>0</v>
      </c>
      <c r="C298">
        <v>3</v>
      </c>
      <c r="D298" s="1" t="s">
        <v>630</v>
      </c>
      <c r="E298">
        <v>0</v>
      </c>
      <c r="F298" s="1">
        <v>32.180156657963444</v>
      </c>
      <c r="G298">
        <v>0</v>
      </c>
      <c r="H298">
        <v>0</v>
      </c>
      <c r="I298" s="1" t="s">
        <v>631</v>
      </c>
      <c r="J298">
        <v>7.2291999999999996</v>
      </c>
      <c r="K298" s="1" t="s">
        <v>48</v>
      </c>
      <c r="L298" s="1" t="s">
        <v>18</v>
      </c>
      <c r="M298">
        <v>0</v>
      </c>
      <c r="N298">
        <v>1</v>
      </c>
      <c r="O298">
        <v>0</v>
      </c>
      <c r="P298" t="s">
        <v>1741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f t="shared" si="12"/>
        <v>0</v>
      </c>
      <c r="W298">
        <f t="shared" si="13"/>
        <v>0.5</v>
      </c>
      <c r="X298">
        <f t="shared" si="14"/>
        <v>0.69314718055994529</v>
      </c>
    </row>
    <row r="299" spans="1:24" x14ac:dyDescent="0.25">
      <c r="A299">
        <v>298</v>
      </c>
      <c r="B299">
        <v>0</v>
      </c>
      <c r="C299">
        <v>1</v>
      </c>
      <c r="D299" s="1" t="s">
        <v>632</v>
      </c>
      <c r="E299">
        <v>1</v>
      </c>
      <c r="F299">
        <v>2</v>
      </c>
      <c r="G299">
        <v>1</v>
      </c>
      <c r="H299">
        <v>2</v>
      </c>
      <c r="I299" s="1" t="s">
        <v>633</v>
      </c>
      <c r="J299">
        <v>151.55000000000001</v>
      </c>
      <c r="K299" s="1" t="s">
        <v>634</v>
      </c>
      <c r="L299" s="1" t="s">
        <v>14</v>
      </c>
      <c r="M299">
        <v>1</v>
      </c>
      <c r="N299">
        <v>0</v>
      </c>
      <c r="O299">
        <v>0</v>
      </c>
      <c r="P299" t="s">
        <v>1739</v>
      </c>
      <c r="Q299">
        <v>1</v>
      </c>
      <c r="R299">
        <v>0</v>
      </c>
      <c r="S299">
        <v>0</v>
      </c>
      <c r="T299">
        <v>0</v>
      </c>
      <c r="U299">
        <v>0</v>
      </c>
      <c r="V299">
        <f t="shared" si="12"/>
        <v>0.87219584275330231</v>
      </c>
      <c r="W299">
        <f t="shared" si="13"/>
        <v>0.70520240168703408</v>
      </c>
      <c r="X299">
        <f t="shared" si="14"/>
        <v>1.2214662655353992</v>
      </c>
    </row>
    <row r="300" spans="1:24" x14ac:dyDescent="0.25">
      <c r="A300">
        <v>299</v>
      </c>
      <c r="B300">
        <v>1</v>
      </c>
      <c r="C300">
        <v>1</v>
      </c>
      <c r="D300" s="1" t="s">
        <v>635</v>
      </c>
      <c r="E300">
        <v>0</v>
      </c>
      <c r="F300" s="1">
        <v>32.180156657963444</v>
      </c>
      <c r="G300">
        <v>0</v>
      </c>
      <c r="H300">
        <v>0</v>
      </c>
      <c r="I300" s="1" t="s">
        <v>636</v>
      </c>
      <c r="J300">
        <v>30.5</v>
      </c>
      <c r="K300" s="1" t="s">
        <v>637</v>
      </c>
      <c r="L300" s="1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f t="shared" si="12"/>
        <v>0</v>
      </c>
      <c r="W300">
        <f t="shared" si="13"/>
        <v>0.5</v>
      </c>
      <c r="X300">
        <f t="shared" si="14"/>
        <v>0.69314718055994529</v>
      </c>
    </row>
    <row r="301" spans="1:24" x14ac:dyDescent="0.25">
      <c r="A301">
        <v>300</v>
      </c>
      <c r="B301">
        <v>1</v>
      </c>
      <c r="C301">
        <v>1</v>
      </c>
      <c r="D301" s="1" t="s">
        <v>638</v>
      </c>
      <c r="E301">
        <v>1</v>
      </c>
      <c r="F301">
        <v>50</v>
      </c>
      <c r="G301">
        <v>0</v>
      </c>
      <c r="H301">
        <v>1</v>
      </c>
      <c r="I301" s="1" t="s">
        <v>270</v>
      </c>
      <c r="J301">
        <v>247.52080000000001</v>
      </c>
      <c r="K301" s="1" t="s">
        <v>271</v>
      </c>
      <c r="L301" s="1" t="s">
        <v>18</v>
      </c>
      <c r="M301">
        <v>0</v>
      </c>
      <c r="N301">
        <v>1</v>
      </c>
      <c r="O301">
        <v>0</v>
      </c>
      <c r="P301" t="s">
        <v>1740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f t="shared" si="12"/>
        <v>1.3618761518134992</v>
      </c>
      <c r="W301">
        <f t="shared" si="13"/>
        <v>0.79606445234832413</v>
      </c>
      <c r="X301">
        <f t="shared" si="14"/>
        <v>0.22807512612883141</v>
      </c>
    </row>
    <row r="302" spans="1:24" x14ac:dyDescent="0.25">
      <c r="A302">
        <v>301</v>
      </c>
      <c r="B302">
        <v>1</v>
      </c>
      <c r="C302">
        <v>3</v>
      </c>
      <c r="D302" s="1" t="s">
        <v>639</v>
      </c>
      <c r="E302">
        <v>1</v>
      </c>
      <c r="F302" s="1">
        <v>21.98581560283688</v>
      </c>
      <c r="G302">
        <v>0</v>
      </c>
      <c r="H302">
        <v>0</v>
      </c>
      <c r="I302" s="1" t="s">
        <v>640</v>
      </c>
      <c r="J302">
        <v>7.75</v>
      </c>
      <c r="K302" s="1" t="s">
        <v>48</v>
      </c>
      <c r="L302" s="1" t="s">
        <v>28</v>
      </c>
      <c r="M302">
        <v>0</v>
      </c>
      <c r="N302">
        <v>0</v>
      </c>
      <c r="O302">
        <v>1</v>
      </c>
      <c r="P302" t="s">
        <v>1739</v>
      </c>
      <c r="Q302">
        <v>1</v>
      </c>
      <c r="R302">
        <v>0</v>
      </c>
      <c r="S302">
        <v>0</v>
      </c>
      <c r="T302">
        <v>0</v>
      </c>
      <c r="U302">
        <v>0</v>
      </c>
      <c r="V302">
        <f t="shared" si="12"/>
        <v>0.87219584275330231</v>
      </c>
      <c r="W302">
        <f t="shared" si="13"/>
        <v>0.70520240168703408</v>
      </c>
      <c r="X302">
        <f t="shared" si="14"/>
        <v>0.34927042278209691</v>
      </c>
    </row>
    <row r="303" spans="1:24" x14ac:dyDescent="0.25">
      <c r="A303">
        <v>302</v>
      </c>
      <c r="B303">
        <v>1</v>
      </c>
      <c r="C303">
        <v>3</v>
      </c>
      <c r="D303" s="1" t="s">
        <v>641</v>
      </c>
      <c r="E303">
        <v>0</v>
      </c>
      <c r="F303" s="1">
        <v>32.180156657963444</v>
      </c>
      <c r="G303">
        <v>2</v>
      </c>
      <c r="H303">
        <v>0</v>
      </c>
      <c r="I303" s="1" t="s">
        <v>642</v>
      </c>
      <c r="J303">
        <v>23.25</v>
      </c>
      <c r="K303" s="1" t="s">
        <v>48</v>
      </c>
      <c r="L303" s="1" t="s">
        <v>28</v>
      </c>
      <c r="M303">
        <v>0</v>
      </c>
      <c r="N303">
        <v>0</v>
      </c>
      <c r="O303">
        <v>1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f t="shared" si="12"/>
        <v>0</v>
      </c>
      <c r="W303">
        <f t="shared" si="13"/>
        <v>0.5</v>
      </c>
      <c r="X303">
        <f t="shared" si="14"/>
        <v>0.69314718055994529</v>
      </c>
    </row>
    <row r="304" spans="1:24" x14ac:dyDescent="0.25">
      <c r="A304">
        <v>303</v>
      </c>
      <c r="B304">
        <v>0</v>
      </c>
      <c r="C304">
        <v>3</v>
      </c>
      <c r="D304" s="1" t="s">
        <v>643</v>
      </c>
      <c r="E304">
        <v>0</v>
      </c>
      <c r="F304">
        <v>19</v>
      </c>
      <c r="G304">
        <v>0</v>
      </c>
      <c r="H304">
        <v>0</v>
      </c>
      <c r="I304" s="1" t="s">
        <v>391</v>
      </c>
      <c r="J304">
        <v>0</v>
      </c>
      <c r="K304" s="1" t="s">
        <v>48</v>
      </c>
      <c r="L304" s="1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f t="shared" si="12"/>
        <v>0</v>
      </c>
      <c r="W304">
        <f t="shared" si="13"/>
        <v>0.5</v>
      </c>
      <c r="X304">
        <f t="shared" si="14"/>
        <v>0.69314718055994529</v>
      </c>
    </row>
    <row r="305" spans="1:24" x14ac:dyDescent="0.25">
      <c r="A305">
        <v>304</v>
      </c>
      <c r="B305">
        <v>1</v>
      </c>
      <c r="C305">
        <v>2</v>
      </c>
      <c r="D305" s="1" t="s">
        <v>644</v>
      </c>
      <c r="E305">
        <v>1</v>
      </c>
      <c r="F305" s="1">
        <v>21.98581560283688</v>
      </c>
      <c r="G305">
        <v>0</v>
      </c>
      <c r="H305">
        <v>0</v>
      </c>
      <c r="I305" s="1" t="s">
        <v>645</v>
      </c>
      <c r="J305">
        <v>12.35</v>
      </c>
      <c r="K305" s="1" t="s">
        <v>279</v>
      </c>
      <c r="L305" s="1" t="s">
        <v>28</v>
      </c>
      <c r="M305">
        <v>0</v>
      </c>
      <c r="N305">
        <v>0</v>
      </c>
      <c r="O305">
        <v>1</v>
      </c>
      <c r="P305" t="s">
        <v>1739</v>
      </c>
      <c r="Q305">
        <v>1</v>
      </c>
      <c r="R305">
        <v>0</v>
      </c>
      <c r="S305">
        <v>0</v>
      </c>
      <c r="T305">
        <v>0</v>
      </c>
      <c r="U305">
        <v>0</v>
      </c>
      <c r="V305">
        <f t="shared" si="12"/>
        <v>0.87219584275330231</v>
      </c>
      <c r="W305">
        <f t="shared" si="13"/>
        <v>0.70520240168703408</v>
      </c>
      <c r="X305">
        <f t="shared" si="14"/>
        <v>0.34927042278209691</v>
      </c>
    </row>
    <row r="306" spans="1:24" x14ac:dyDescent="0.25">
      <c r="A306">
        <v>305</v>
      </c>
      <c r="B306">
        <v>0</v>
      </c>
      <c r="C306">
        <v>3</v>
      </c>
      <c r="D306" s="1" t="s">
        <v>646</v>
      </c>
      <c r="E306">
        <v>0</v>
      </c>
      <c r="F306" s="1">
        <v>32.180156657963444</v>
      </c>
      <c r="G306">
        <v>0</v>
      </c>
      <c r="H306">
        <v>0</v>
      </c>
      <c r="I306" s="1" t="s">
        <v>647</v>
      </c>
      <c r="J306">
        <v>8.0500000000000007</v>
      </c>
      <c r="K306" s="1" t="s">
        <v>48</v>
      </c>
      <c r="L306" s="1" t="s">
        <v>14</v>
      </c>
      <c r="M306">
        <v>1</v>
      </c>
      <c r="N306">
        <v>0</v>
      </c>
      <c r="O306">
        <v>0</v>
      </c>
      <c r="P306" t="s">
        <v>1741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f t="shared" si="12"/>
        <v>0</v>
      </c>
      <c r="W306">
        <f t="shared" si="13"/>
        <v>0.5</v>
      </c>
      <c r="X306">
        <f t="shared" si="14"/>
        <v>0.69314718055994529</v>
      </c>
    </row>
    <row r="307" spans="1:24" x14ac:dyDescent="0.25">
      <c r="A307">
        <v>306</v>
      </c>
      <c r="B307">
        <v>1</v>
      </c>
      <c r="C307">
        <v>1</v>
      </c>
      <c r="D307" s="1" t="s">
        <v>648</v>
      </c>
      <c r="E307">
        <v>0</v>
      </c>
      <c r="F307" s="1">
        <v>5.193548387096774</v>
      </c>
      <c r="G307">
        <v>1</v>
      </c>
      <c r="H307">
        <v>2</v>
      </c>
      <c r="I307" s="1" t="s">
        <v>633</v>
      </c>
      <c r="J307">
        <v>151.55000000000001</v>
      </c>
      <c r="K307" s="1" t="s">
        <v>634</v>
      </c>
      <c r="L307" s="1" t="s">
        <v>14</v>
      </c>
      <c r="M307">
        <v>1</v>
      </c>
      <c r="N307">
        <v>0</v>
      </c>
      <c r="O307">
        <v>0</v>
      </c>
      <c r="P307" t="s">
        <v>1742</v>
      </c>
      <c r="Q307">
        <v>0</v>
      </c>
      <c r="R307">
        <v>0</v>
      </c>
      <c r="S307">
        <v>0</v>
      </c>
      <c r="T307">
        <v>1</v>
      </c>
      <c r="U307">
        <v>0</v>
      </c>
      <c r="V307">
        <f t="shared" si="12"/>
        <v>0.21766252466937555</v>
      </c>
      <c r="W307">
        <f t="shared" si="13"/>
        <v>0.55420180681382414</v>
      </c>
      <c r="X307">
        <f t="shared" si="14"/>
        <v>0.59022638633875368</v>
      </c>
    </row>
    <row r="308" spans="1:24" x14ac:dyDescent="0.25">
      <c r="A308">
        <v>307</v>
      </c>
      <c r="B308">
        <v>1</v>
      </c>
      <c r="C308">
        <v>1</v>
      </c>
      <c r="D308" s="1" t="s">
        <v>649</v>
      </c>
      <c r="E308">
        <v>1</v>
      </c>
      <c r="F308" s="1">
        <v>21.98581560283688</v>
      </c>
      <c r="G308">
        <v>0</v>
      </c>
      <c r="H308">
        <v>0</v>
      </c>
      <c r="I308" s="1" t="s">
        <v>650</v>
      </c>
      <c r="J308">
        <v>110.88330000000001</v>
      </c>
      <c r="K308" s="1" t="s">
        <v>48</v>
      </c>
      <c r="L308" s="1" t="s">
        <v>18</v>
      </c>
      <c r="M308">
        <v>0</v>
      </c>
      <c r="N308">
        <v>1</v>
      </c>
      <c r="O308">
        <v>0</v>
      </c>
      <c r="P308" t="s">
        <v>1739</v>
      </c>
      <c r="Q308">
        <v>1</v>
      </c>
      <c r="R308">
        <v>0</v>
      </c>
      <c r="S308">
        <v>0</v>
      </c>
      <c r="T308">
        <v>0</v>
      </c>
      <c r="U308">
        <v>0</v>
      </c>
      <c r="V308">
        <f t="shared" si="12"/>
        <v>0.87219584275330231</v>
      </c>
      <c r="W308">
        <f t="shared" si="13"/>
        <v>0.70520240168703408</v>
      </c>
      <c r="X308">
        <f t="shared" si="14"/>
        <v>0.34927042278209691</v>
      </c>
    </row>
    <row r="309" spans="1:24" x14ac:dyDescent="0.25">
      <c r="A309">
        <v>308</v>
      </c>
      <c r="B309">
        <v>1</v>
      </c>
      <c r="C309">
        <v>1</v>
      </c>
      <c r="D309" s="1" t="s">
        <v>651</v>
      </c>
      <c r="E309">
        <v>1</v>
      </c>
      <c r="F309">
        <v>17</v>
      </c>
      <c r="G309">
        <v>1</v>
      </c>
      <c r="H309">
        <v>0</v>
      </c>
      <c r="I309" s="1" t="s">
        <v>652</v>
      </c>
      <c r="J309">
        <v>108.9</v>
      </c>
      <c r="K309" s="1" t="s">
        <v>653</v>
      </c>
      <c r="L309" s="1" t="s">
        <v>18</v>
      </c>
      <c r="M309">
        <v>0</v>
      </c>
      <c r="N309">
        <v>1</v>
      </c>
      <c r="O309">
        <v>0</v>
      </c>
      <c r="P309" t="s">
        <v>1740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f t="shared" si="12"/>
        <v>1.3618761518134992</v>
      </c>
      <c r="W309">
        <f t="shared" si="13"/>
        <v>0.79606445234832413</v>
      </c>
      <c r="X309">
        <f t="shared" si="14"/>
        <v>0.22807512612883141</v>
      </c>
    </row>
    <row r="310" spans="1:24" x14ac:dyDescent="0.25">
      <c r="A310">
        <v>309</v>
      </c>
      <c r="B310">
        <v>0</v>
      </c>
      <c r="C310">
        <v>2</v>
      </c>
      <c r="D310" s="1" t="s">
        <v>654</v>
      </c>
      <c r="E310">
        <v>0</v>
      </c>
      <c r="F310">
        <v>30</v>
      </c>
      <c r="G310">
        <v>1</v>
      </c>
      <c r="H310">
        <v>0</v>
      </c>
      <c r="I310" s="1" t="s">
        <v>655</v>
      </c>
      <c r="J310">
        <v>24</v>
      </c>
      <c r="K310" s="1" t="s">
        <v>48</v>
      </c>
      <c r="L310" s="1" t="s">
        <v>18</v>
      </c>
      <c r="M310">
        <v>0</v>
      </c>
      <c r="N310">
        <v>1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f t="shared" si="12"/>
        <v>0</v>
      </c>
      <c r="W310">
        <f t="shared" si="13"/>
        <v>0.5</v>
      </c>
      <c r="X310">
        <f t="shared" si="14"/>
        <v>0.69314718055994529</v>
      </c>
    </row>
    <row r="311" spans="1:24" x14ac:dyDescent="0.25">
      <c r="A311">
        <v>310</v>
      </c>
      <c r="B311">
        <v>1</v>
      </c>
      <c r="C311">
        <v>1</v>
      </c>
      <c r="D311" s="1" t="s">
        <v>656</v>
      </c>
      <c r="E311">
        <v>1</v>
      </c>
      <c r="F311">
        <v>30</v>
      </c>
      <c r="G311">
        <v>0</v>
      </c>
      <c r="H311">
        <v>0</v>
      </c>
      <c r="I311" s="1" t="s">
        <v>657</v>
      </c>
      <c r="J311">
        <v>56.929200000000002</v>
      </c>
      <c r="K311" s="1" t="s">
        <v>658</v>
      </c>
      <c r="L311" s="1" t="s">
        <v>18</v>
      </c>
      <c r="M311">
        <v>0</v>
      </c>
      <c r="N311">
        <v>1</v>
      </c>
      <c r="O311">
        <v>0</v>
      </c>
      <c r="P311" t="s">
        <v>1739</v>
      </c>
      <c r="Q311">
        <v>1</v>
      </c>
      <c r="R311">
        <v>0</v>
      </c>
      <c r="S311">
        <v>0</v>
      </c>
      <c r="T311">
        <v>0</v>
      </c>
      <c r="U311">
        <v>0</v>
      </c>
      <c r="V311">
        <f t="shared" si="12"/>
        <v>0.87219584275330231</v>
      </c>
      <c r="W311">
        <f t="shared" si="13"/>
        <v>0.70520240168703408</v>
      </c>
      <c r="X311">
        <f t="shared" si="14"/>
        <v>0.34927042278209691</v>
      </c>
    </row>
    <row r="312" spans="1:24" x14ac:dyDescent="0.25">
      <c r="A312">
        <v>311</v>
      </c>
      <c r="B312">
        <v>1</v>
      </c>
      <c r="C312">
        <v>1</v>
      </c>
      <c r="D312" s="1" t="s">
        <v>659</v>
      </c>
      <c r="E312">
        <v>1</v>
      </c>
      <c r="F312">
        <v>24</v>
      </c>
      <c r="G312">
        <v>0</v>
      </c>
      <c r="H312">
        <v>0</v>
      </c>
      <c r="I312" s="1" t="s">
        <v>660</v>
      </c>
      <c r="J312">
        <v>83.158299999999997</v>
      </c>
      <c r="K312" s="1" t="s">
        <v>661</v>
      </c>
      <c r="L312" s="1" t="s">
        <v>18</v>
      </c>
      <c r="M312">
        <v>0</v>
      </c>
      <c r="N312">
        <v>1</v>
      </c>
      <c r="O312">
        <v>0</v>
      </c>
      <c r="P312" t="s">
        <v>1739</v>
      </c>
      <c r="Q312">
        <v>1</v>
      </c>
      <c r="R312">
        <v>0</v>
      </c>
      <c r="S312">
        <v>0</v>
      </c>
      <c r="T312">
        <v>0</v>
      </c>
      <c r="U312">
        <v>0</v>
      </c>
      <c r="V312">
        <f t="shared" si="12"/>
        <v>0.87219584275330231</v>
      </c>
      <c r="W312">
        <f t="shared" si="13"/>
        <v>0.70520240168703408</v>
      </c>
      <c r="X312">
        <f t="shared" si="14"/>
        <v>0.34927042278209691</v>
      </c>
    </row>
    <row r="313" spans="1:24" x14ac:dyDescent="0.25">
      <c r="A313">
        <v>312</v>
      </c>
      <c r="B313">
        <v>1</v>
      </c>
      <c r="C313">
        <v>1</v>
      </c>
      <c r="D313" s="1" t="s">
        <v>662</v>
      </c>
      <c r="E313">
        <v>1</v>
      </c>
      <c r="F313">
        <v>18</v>
      </c>
      <c r="G313">
        <v>2</v>
      </c>
      <c r="H313">
        <v>2</v>
      </c>
      <c r="I313" s="1" t="s">
        <v>663</v>
      </c>
      <c r="J313">
        <v>262.375</v>
      </c>
      <c r="K313" s="1" t="s">
        <v>664</v>
      </c>
      <c r="L313" s="1" t="s">
        <v>18</v>
      </c>
      <c r="M313">
        <v>0</v>
      </c>
      <c r="N313">
        <v>1</v>
      </c>
      <c r="O313">
        <v>0</v>
      </c>
      <c r="P313" t="s">
        <v>1739</v>
      </c>
      <c r="Q313">
        <v>1</v>
      </c>
      <c r="R313">
        <v>0</v>
      </c>
      <c r="S313">
        <v>0</v>
      </c>
      <c r="T313">
        <v>0</v>
      </c>
      <c r="U313">
        <v>0</v>
      </c>
      <c r="V313">
        <f t="shared" si="12"/>
        <v>0.87219584275330231</v>
      </c>
      <c r="W313">
        <f t="shared" si="13"/>
        <v>0.70520240168703408</v>
      </c>
      <c r="X313">
        <f t="shared" si="14"/>
        <v>0.34927042278209691</v>
      </c>
    </row>
    <row r="314" spans="1:24" x14ac:dyDescent="0.25">
      <c r="A314">
        <v>313</v>
      </c>
      <c r="B314">
        <v>0</v>
      </c>
      <c r="C314">
        <v>2</v>
      </c>
      <c r="D314" s="1" t="s">
        <v>665</v>
      </c>
      <c r="E314">
        <v>1</v>
      </c>
      <c r="F314">
        <v>26</v>
      </c>
      <c r="G314">
        <v>1</v>
      </c>
      <c r="H314">
        <v>1</v>
      </c>
      <c r="I314" s="1" t="s">
        <v>666</v>
      </c>
      <c r="J314">
        <v>26</v>
      </c>
      <c r="K314" s="1" t="s">
        <v>48</v>
      </c>
      <c r="L314" s="1" t="s">
        <v>14</v>
      </c>
      <c r="M314">
        <v>1</v>
      </c>
      <c r="N314">
        <v>0</v>
      </c>
      <c r="O314">
        <v>0</v>
      </c>
      <c r="P314" t="s">
        <v>1740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f t="shared" si="12"/>
        <v>1.3618761518134992</v>
      </c>
      <c r="W314">
        <f t="shared" si="13"/>
        <v>0.79606445234832413</v>
      </c>
      <c r="X314">
        <f t="shared" si="14"/>
        <v>1.5899512779423304</v>
      </c>
    </row>
    <row r="315" spans="1:24" x14ac:dyDescent="0.25">
      <c r="A315">
        <v>314</v>
      </c>
      <c r="B315">
        <v>0</v>
      </c>
      <c r="C315">
        <v>3</v>
      </c>
      <c r="D315" s="1" t="s">
        <v>667</v>
      </c>
      <c r="E315">
        <v>0</v>
      </c>
      <c r="F315">
        <v>28</v>
      </c>
      <c r="G315">
        <v>0</v>
      </c>
      <c r="H315">
        <v>0</v>
      </c>
      <c r="I315" s="1" t="s">
        <v>668</v>
      </c>
      <c r="J315">
        <v>7.8958000000000004</v>
      </c>
      <c r="K315" s="1" t="s">
        <v>48</v>
      </c>
      <c r="L315" s="1" t="s">
        <v>14</v>
      </c>
      <c r="M315">
        <v>1</v>
      </c>
      <c r="N315">
        <v>0</v>
      </c>
      <c r="O315">
        <v>0</v>
      </c>
      <c r="P315" t="s">
        <v>1741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f t="shared" si="12"/>
        <v>0</v>
      </c>
      <c r="W315">
        <f t="shared" si="13"/>
        <v>0.5</v>
      </c>
      <c r="X315">
        <f t="shared" si="14"/>
        <v>0.69314718055994529</v>
      </c>
    </row>
    <row r="316" spans="1:24" x14ac:dyDescent="0.25">
      <c r="A316">
        <v>315</v>
      </c>
      <c r="B316">
        <v>0</v>
      </c>
      <c r="C316">
        <v>2</v>
      </c>
      <c r="D316" s="1" t="s">
        <v>669</v>
      </c>
      <c r="E316">
        <v>0</v>
      </c>
      <c r="F316">
        <v>43</v>
      </c>
      <c r="G316">
        <v>1</v>
      </c>
      <c r="H316">
        <v>1</v>
      </c>
      <c r="I316" s="1" t="s">
        <v>670</v>
      </c>
      <c r="J316">
        <v>26.25</v>
      </c>
      <c r="K316" s="1" t="s">
        <v>48</v>
      </c>
      <c r="L316" s="1" t="s">
        <v>14</v>
      </c>
      <c r="M316">
        <v>1</v>
      </c>
      <c r="N316">
        <v>0</v>
      </c>
      <c r="O316">
        <v>0</v>
      </c>
      <c r="P316" t="s">
        <v>1741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f t="shared" si="12"/>
        <v>0</v>
      </c>
      <c r="W316">
        <f t="shared" si="13"/>
        <v>0.5</v>
      </c>
      <c r="X316">
        <f t="shared" si="14"/>
        <v>0.69314718055994529</v>
      </c>
    </row>
    <row r="317" spans="1:24" x14ac:dyDescent="0.25">
      <c r="A317">
        <v>316</v>
      </c>
      <c r="B317">
        <v>1</v>
      </c>
      <c r="C317">
        <v>3</v>
      </c>
      <c r="D317" s="1" t="s">
        <v>671</v>
      </c>
      <c r="E317">
        <v>1</v>
      </c>
      <c r="F317">
        <v>26</v>
      </c>
      <c r="G317">
        <v>0</v>
      </c>
      <c r="H317">
        <v>0</v>
      </c>
      <c r="I317" s="1" t="s">
        <v>672</v>
      </c>
      <c r="J317">
        <v>7.8541999999999996</v>
      </c>
      <c r="K317" s="1" t="s">
        <v>48</v>
      </c>
      <c r="L317" s="1" t="s">
        <v>14</v>
      </c>
      <c r="M317">
        <v>1</v>
      </c>
      <c r="N317">
        <v>0</v>
      </c>
      <c r="O317">
        <v>0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  <c r="V317">
        <f t="shared" si="12"/>
        <v>0.87219584275330231</v>
      </c>
      <c r="W317">
        <f t="shared" si="13"/>
        <v>0.70520240168703408</v>
      </c>
      <c r="X317">
        <f t="shared" si="14"/>
        <v>0.34927042278209691</v>
      </c>
    </row>
    <row r="318" spans="1:24" x14ac:dyDescent="0.25">
      <c r="A318">
        <v>317</v>
      </c>
      <c r="B318">
        <v>1</v>
      </c>
      <c r="C318">
        <v>2</v>
      </c>
      <c r="D318" s="1" t="s">
        <v>673</v>
      </c>
      <c r="E318">
        <v>1</v>
      </c>
      <c r="F318">
        <v>24</v>
      </c>
      <c r="G318">
        <v>1</v>
      </c>
      <c r="H318">
        <v>0</v>
      </c>
      <c r="I318" s="1" t="s">
        <v>231</v>
      </c>
      <c r="J318">
        <v>26</v>
      </c>
      <c r="K318" s="1" t="s">
        <v>48</v>
      </c>
      <c r="L318" s="1" t="s">
        <v>14</v>
      </c>
      <c r="M318">
        <v>1</v>
      </c>
      <c r="N318">
        <v>0</v>
      </c>
      <c r="O318">
        <v>0</v>
      </c>
      <c r="P318" t="s">
        <v>1740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f t="shared" si="12"/>
        <v>1.3618761518134992</v>
      </c>
      <c r="W318">
        <f t="shared" si="13"/>
        <v>0.79606445234832413</v>
      </c>
      <c r="X318">
        <f t="shared" si="14"/>
        <v>0.22807512612883141</v>
      </c>
    </row>
    <row r="319" spans="1:24" x14ac:dyDescent="0.25">
      <c r="A319">
        <v>318</v>
      </c>
      <c r="B319">
        <v>0</v>
      </c>
      <c r="C319">
        <v>2</v>
      </c>
      <c r="D319" s="1" t="s">
        <v>674</v>
      </c>
      <c r="E319">
        <v>0</v>
      </c>
      <c r="F319">
        <v>54</v>
      </c>
      <c r="G319">
        <v>0</v>
      </c>
      <c r="H319">
        <v>0</v>
      </c>
      <c r="I319" s="1" t="s">
        <v>675</v>
      </c>
      <c r="J319">
        <v>14</v>
      </c>
      <c r="K319" s="1" t="s">
        <v>48</v>
      </c>
      <c r="L319" s="1" t="s">
        <v>14</v>
      </c>
      <c r="M319">
        <v>1</v>
      </c>
      <c r="N319">
        <v>0</v>
      </c>
      <c r="O319">
        <v>0</v>
      </c>
      <c r="P319" t="s">
        <v>1746</v>
      </c>
      <c r="Q319">
        <v>0</v>
      </c>
      <c r="R319">
        <v>0</v>
      </c>
      <c r="S319">
        <v>0</v>
      </c>
      <c r="T319">
        <v>0</v>
      </c>
      <c r="U319">
        <v>1</v>
      </c>
      <c r="V319">
        <f t="shared" si="12"/>
        <v>0</v>
      </c>
      <c r="W319">
        <f t="shared" si="13"/>
        <v>0.5</v>
      </c>
      <c r="X319">
        <f t="shared" si="14"/>
        <v>0.69314718055994529</v>
      </c>
    </row>
    <row r="320" spans="1:24" x14ac:dyDescent="0.25">
      <c r="A320">
        <v>319</v>
      </c>
      <c r="B320">
        <v>1</v>
      </c>
      <c r="C320">
        <v>1</v>
      </c>
      <c r="D320" s="1" t="s">
        <v>676</v>
      </c>
      <c r="E320">
        <v>1</v>
      </c>
      <c r="F320">
        <v>31</v>
      </c>
      <c r="G320">
        <v>0</v>
      </c>
      <c r="H320">
        <v>2</v>
      </c>
      <c r="I320" s="1" t="s">
        <v>677</v>
      </c>
      <c r="J320">
        <v>164.86670000000001</v>
      </c>
      <c r="K320" s="1" t="s">
        <v>678</v>
      </c>
      <c r="L320" s="1" t="s">
        <v>14</v>
      </c>
      <c r="M320">
        <v>1</v>
      </c>
      <c r="N320">
        <v>0</v>
      </c>
      <c r="O320">
        <v>0</v>
      </c>
      <c r="P320" t="s">
        <v>1739</v>
      </c>
      <c r="Q320">
        <v>1</v>
      </c>
      <c r="R320">
        <v>0</v>
      </c>
      <c r="S320">
        <v>0</v>
      </c>
      <c r="T320">
        <v>0</v>
      </c>
      <c r="U320">
        <v>0</v>
      </c>
      <c r="V320">
        <f t="shared" si="12"/>
        <v>0.87219584275330231</v>
      </c>
      <c r="W320">
        <f t="shared" si="13"/>
        <v>0.70520240168703408</v>
      </c>
      <c r="X320">
        <f t="shared" si="14"/>
        <v>0.34927042278209691</v>
      </c>
    </row>
    <row r="321" spans="1:24" x14ac:dyDescent="0.25">
      <c r="A321">
        <v>320</v>
      </c>
      <c r="B321">
        <v>1</v>
      </c>
      <c r="C321">
        <v>1</v>
      </c>
      <c r="D321" s="1" t="s">
        <v>679</v>
      </c>
      <c r="E321">
        <v>1</v>
      </c>
      <c r="F321">
        <v>40</v>
      </c>
      <c r="G321">
        <v>1</v>
      </c>
      <c r="H321">
        <v>1</v>
      </c>
      <c r="I321" s="1" t="s">
        <v>680</v>
      </c>
      <c r="J321">
        <v>134.5</v>
      </c>
      <c r="K321" s="1" t="s">
        <v>681</v>
      </c>
      <c r="L321" s="1" t="s">
        <v>18</v>
      </c>
      <c r="M321">
        <v>0</v>
      </c>
      <c r="N321">
        <v>1</v>
      </c>
      <c r="O321">
        <v>0</v>
      </c>
      <c r="P321" t="s">
        <v>1740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f t="shared" si="12"/>
        <v>1.3618761518134992</v>
      </c>
      <c r="W321">
        <f t="shared" si="13"/>
        <v>0.79606445234832413</v>
      </c>
      <c r="X321">
        <f t="shared" si="14"/>
        <v>0.22807512612883141</v>
      </c>
    </row>
    <row r="322" spans="1:24" x14ac:dyDescent="0.25">
      <c r="A322">
        <v>321</v>
      </c>
      <c r="B322">
        <v>0</v>
      </c>
      <c r="C322">
        <v>3</v>
      </c>
      <c r="D322" s="1" t="s">
        <v>682</v>
      </c>
      <c r="E322">
        <v>0</v>
      </c>
      <c r="F322">
        <v>22</v>
      </c>
      <c r="G322">
        <v>0</v>
      </c>
      <c r="H322">
        <v>0</v>
      </c>
      <c r="I322" s="1" t="s">
        <v>683</v>
      </c>
      <c r="J322">
        <v>7.25</v>
      </c>
      <c r="K322" s="1" t="s">
        <v>48</v>
      </c>
      <c r="L322" s="1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f t="shared" si="12"/>
        <v>0</v>
      </c>
      <c r="W322">
        <f t="shared" si="13"/>
        <v>0.5</v>
      </c>
      <c r="X322">
        <f t="shared" si="14"/>
        <v>0.69314718055994529</v>
      </c>
    </row>
    <row r="323" spans="1:24" x14ac:dyDescent="0.25">
      <c r="A323">
        <v>322</v>
      </c>
      <c r="B323">
        <v>0</v>
      </c>
      <c r="C323">
        <v>3</v>
      </c>
      <c r="D323" s="1" t="s">
        <v>684</v>
      </c>
      <c r="E323">
        <v>0</v>
      </c>
      <c r="F323">
        <v>27</v>
      </c>
      <c r="G323">
        <v>0</v>
      </c>
      <c r="H323">
        <v>0</v>
      </c>
      <c r="I323" s="1" t="s">
        <v>685</v>
      </c>
      <c r="J323">
        <v>7.8958000000000004</v>
      </c>
      <c r="K323" s="1" t="s">
        <v>48</v>
      </c>
      <c r="L323" s="1" t="s">
        <v>14</v>
      </c>
      <c r="M323">
        <v>1</v>
      </c>
      <c r="N323">
        <v>0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f t="shared" ref="V323:V386" si="15">$AB$1+C323*$AB$2+E323*$AB$3+F323*$AB$4+G323*$AB$5+H323*$AB$6+J323*$AB$7+M323*$AB$8+N323*$AB$9+O323*$AB$10+Q323*$AB$11+R323*$AB$12+S323*$AB$13+T323*$AB$14+U323*$AB$15</f>
        <v>0</v>
      </c>
      <c r="W323">
        <f t="shared" ref="W323:W386" si="16">1/(1+EXP(-V323))</f>
        <v>0.5</v>
      </c>
      <c r="X323">
        <f t="shared" ref="X323:X386" si="17">-(B323*LN(MAX(0.000001,MIN(0.999999,W323))) +(1-B323)*LN(MAX(0.000001,MIN(0.999999,1-W323))))</f>
        <v>0.69314718055994529</v>
      </c>
    </row>
    <row r="324" spans="1:24" x14ac:dyDescent="0.25">
      <c r="A324">
        <v>323</v>
      </c>
      <c r="B324">
        <v>1</v>
      </c>
      <c r="C324">
        <v>2</v>
      </c>
      <c r="D324" s="1" t="s">
        <v>686</v>
      </c>
      <c r="E324">
        <v>1</v>
      </c>
      <c r="F324">
        <v>30</v>
      </c>
      <c r="G324">
        <v>0</v>
      </c>
      <c r="H324">
        <v>0</v>
      </c>
      <c r="I324" s="1" t="s">
        <v>687</v>
      </c>
      <c r="J324">
        <v>12.35</v>
      </c>
      <c r="K324" s="1" t="s">
        <v>48</v>
      </c>
      <c r="L324" s="1" t="s">
        <v>28</v>
      </c>
      <c r="M324">
        <v>0</v>
      </c>
      <c r="N324">
        <v>0</v>
      </c>
      <c r="O324">
        <v>1</v>
      </c>
      <c r="P324" t="s">
        <v>1739</v>
      </c>
      <c r="Q324">
        <v>1</v>
      </c>
      <c r="R324">
        <v>0</v>
      </c>
      <c r="S324">
        <v>0</v>
      </c>
      <c r="T324">
        <v>0</v>
      </c>
      <c r="U324">
        <v>0</v>
      </c>
      <c r="V324">
        <f t="shared" si="15"/>
        <v>0.87219584275330231</v>
      </c>
      <c r="W324">
        <f t="shared" si="16"/>
        <v>0.70520240168703408</v>
      </c>
      <c r="X324">
        <f t="shared" si="17"/>
        <v>0.34927042278209691</v>
      </c>
    </row>
    <row r="325" spans="1:24" x14ac:dyDescent="0.25">
      <c r="A325">
        <v>324</v>
      </c>
      <c r="B325">
        <v>1</v>
      </c>
      <c r="C325">
        <v>2</v>
      </c>
      <c r="D325" s="1" t="s">
        <v>688</v>
      </c>
      <c r="E325">
        <v>1</v>
      </c>
      <c r="F325">
        <v>22</v>
      </c>
      <c r="G325">
        <v>1</v>
      </c>
      <c r="H325">
        <v>1</v>
      </c>
      <c r="I325" s="1" t="s">
        <v>187</v>
      </c>
      <c r="J325">
        <v>29</v>
      </c>
      <c r="K325" s="1" t="s">
        <v>48</v>
      </c>
      <c r="L325" s="1" t="s">
        <v>14</v>
      </c>
      <c r="M325">
        <v>1</v>
      </c>
      <c r="N325">
        <v>0</v>
      </c>
      <c r="O325">
        <v>0</v>
      </c>
      <c r="P325" t="s">
        <v>1740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f t="shared" si="15"/>
        <v>1.3618761518134992</v>
      </c>
      <c r="W325">
        <f t="shared" si="16"/>
        <v>0.79606445234832413</v>
      </c>
      <c r="X325">
        <f t="shared" si="17"/>
        <v>0.22807512612883141</v>
      </c>
    </row>
    <row r="326" spans="1:24" x14ac:dyDescent="0.25">
      <c r="A326">
        <v>325</v>
      </c>
      <c r="B326">
        <v>0</v>
      </c>
      <c r="C326">
        <v>3</v>
      </c>
      <c r="D326" s="1" t="s">
        <v>689</v>
      </c>
      <c r="E326">
        <v>0</v>
      </c>
      <c r="F326" s="1">
        <v>32.180156657963444</v>
      </c>
      <c r="G326">
        <v>8</v>
      </c>
      <c r="H326">
        <v>2</v>
      </c>
      <c r="I326" s="1" t="s">
        <v>352</v>
      </c>
      <c r="J326">
        <v>69.55</v>
      </c>
      <c r="K326" s="1" t="s">
        <v>48</v>
      </c>
      <c r="L326" s="1" t="s">
        <v>14</v>
      </c>
      <c r="M326">
        <v>1</v>
      </c>
      <c r="N326">
        <v>0</v>
      </c>
      <c r="O326">
        <v>0</v>
      </c>
      <c r="P326" t="s">
        <v>1741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f t="shared" si="15"/>
        <v>0</v>
      </c>
      <c r="W326">
        <f t="shared" si="16"/>
        <v>0.5</v>
      </c>
      <c r="X326">
        <f t="shared" si="17"/>
        <v>0.69314718055994529</v>
      </c>
    </row>
    <row r="327" spans="1:24" x14ac:dyDescent="0.25">
      <c r="A327">
        <v>326</v>
      </c>
      <c r="B327">
        <v>1</v>
      </c>
      <c r="C327">
        <v>1</v>
      </c>
      <c r="D327" s="1" t="s">
        <v>690</v>
      </c>
      <c r="E327">
        <v>1</v>
      </c>
      <c r="F327">
        <v>36</v>
      </c>
      <c r="G327">
        <v>0</v>
      </c>
      <c r="H327">
        <v>0</v>
      </c>
      <c r="I327" s="1" t="s">
        <v>573</v>
      </c>
      <c r="J327">
        <v>135.63329999999999</v>
      </c>
      <c r="K327" s="1" t="s">
        <v>691</v>
      </c>
      <c r="L327" s="1" t="s">
        <v>18</v>
      </c>
      <c r="M327">
        <v>0</v>
      </c>
      <c r="N327">
        <v>1</v>
      </c>
      <c r="O327">
        <v>0</v>
      </c>
      <c r="P327" t="s">
        <v>1739</v>
      </c>
      <c r="Q327">
        <v>1</v>
      </c>
      <c r="R327">
        <v>0</v>
      </c>
      <c r="S327">
        <v>0</v>
      </c>
      <c r="T327">
        <v>0</v>
      </c>
      <c r="U327">
        <v>0</v>
      </c>
      <c r="V327">
        <f t="shared" si="15"/>
        <v>0.87219584275330231</v>
      </c>
      <c r="W327">
        <f t="shared" si="16"/>
        <v>0.70520240168703408</v>
      </c>
      <c r="X327">
        <f t="shared" si="17"/>
        <v>0.34927042278209691</v>
      </c>
    </row>
    <row r="328" spans="1:24" x14ac:dyDescent="0.25">
      <c r="A328">
        <v>327</v>
      </c>
      <c r="B328">
        <v>0</v>
      </c>
      <c r="C328">
        <v>3</v>
      </c>
      <c r="D328" s="1" t="s">
        <v>692</v>
      </c>
      <c r="E328">
        <v>0</v>
      </c>
      <c r="F328">
        <v>61</v>
      </c>
      <c r="G328">
        <v>0</v>
      </c>
      <c r="H328">
        <v>0</v>
      </c>
      <c r="I328" s="1" t="s">
        <v>693</v>
      </c>
      <c r="J328">
        <v>6.2374999999999998</v>
      </c>
      <c r="K328" s="1" t="s">
        <v>48</v>
      </c>
      <c r="L328" s="1" t="s">
        <v>14</v>
      </c>
      <c r="M328">
        <v>1</v>
      </c>
      <c r="N328">
        <v>0</v>
      </c>
      <c r="O328">
        <v>0</v>
      </c>
      <c r="P328" t="s">
        <v>1741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f t="shared" si="15"/>
        <v>0</v>
      </c>
      <c r="W328">
        <f t="shared" si="16"/>
        <v>0.5</v>
      </c>
      <c r="X328">
        <f t="shared" si="17"/>
        <v>0.69314718055994529</v>
      </c>
    </row>
    <row r="329" spans="1:24" x14ac:dyDescent="0.25">
      <c r="A329">
        <v>328</v>
      </c>
      <c r="B329">
        <v>1</v>
      </c>
      <c r="C329">
        <v>2</v>
      </c>
      <c r="D329" s="1" t="s">
        <v>694</v>
      </c>
      <c r="E329">
        <v>1</v>
      </c>
      <c r="F329">
        <v>36</v>
      </c>
      <c r="G329">
        <v>0</v>
      </c>
      <c r="H329">
        <v>0</v>
      </c>
      <c r="I329" s="1" t="s">
        <v>695</v>
      </c>
      <c r="J329">
        <v>13</v>
      </c>
      <c r="K329" s="1" t="s">
        <v>623</v>
      </c>
      <c r="L329" s="1" t="s">
        <v>14</v>
      </c>
      <c r="M329">
        <v>1</v>
      </c>
      <c r="N329">
        <v>0</v>
      </c>
      <c r="O329">
        <v>0</v>
      </c>
      <c r="P329" t="s">
        <v>1740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f t="shared" si="15"/>
        <v>1.3618761518134992</v>
      </c>
      <c r="W329">
        <f t="shared" si="16"/>
        <v>0.79606445234832413</v>
      </c>
      <c r="X329">
        <f t="shared" si="17"/>
        <v>0.22807512612883141</v>
      </c>
    </row>
    <row r="330" spans="1:24" x14ac:dyDescent="0.25">
      <c r="A330">
        <v>329</v>
      </c>
      <c r="B330">
        <v>1</v>
      </c>
      <c r="C330">
        <v>3</v>
      </c>
      <c r="D330" s="1" t="s">
        <v>696</v>
      </c>
      <c r="E330">
        <v>1</v>
      </c>
      <c r="F330">
        <v>31</v>
      </c>
      <c r="G330">
        <v>1</v>
      </c>
      <c r="H330">
        <v>1</v>
      </c>
      <c r="I330" s="1" t="s">
        <v>363</v>
      </c>
      <c r="J330">
        <v>20.524999999999999</v>
      </c>
      <c r="K330" s="1" t="s">
        <v>48</v>
      </c>
      <c r="L330" s="1" t="s">
        <v>14</v>
      </c>
      <c r="M330">
        <v>1</v>
      </c>
      <c r="N330">
        <v>0</v>
      </c>
      <c r="O330">
        <v>0</v>
      </c>
      <c r="P330" t="s">
        <v>1740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f t="shared" si="15"/>
        <v>1.3618761518134992</v>
      </c>
      <c r="W330">
        <f t="shared" si="16"/>
        <v>0.79606445234832413</v>
      </c>
      <c r="X330">
        <f t="shared" si="17"/>
        <v>0.22807512612883141</v>
      </c>
    </row>
    <row r="331" spans="1:24" x14ac:dyDescent="0.25">
      <c r="A331">
        <v>330</v>
      </c>
      <c r="B331">
        <v>1</v>
      </c>
      <c r="C331">
        <v>1</v>
      </c>
      <c r="D331" s="1" t="s">
        <v>697</v>
      </c>
      <c r="E331">
        <v>1</v>
      </c>
      <c r="F331">
        <v>16</v>
      </c>
      <c r="G331">
        <v>0</v>
      </c>
      <c r="H331">
        <v>1</v>
      </c>
      <c r="I331" s="1" t="s">
        <v>698</v>
      </c>
      <c r="J331">
        <v>57.979199999999999</v>
      </c>
      <c r="K331" s="1" t="s">
        <v>699</v>
      </c>
      <c r="L331" s="1" t="s">
        <v>18</v>
      </c>
      <c r="M331">
        <v>0</v>
      </c>
      <c r="N331">
        <v>1</v>
      </c>
      <c r="O331">
        <v>0</v>
      </c>
      <c r="P331" t="s">
        <v>1739</v>
      </c>
      <c r="Q331">
        <v>1</v>
      </c>
      <c r="R331">
        <v>0</v>
      </c>
      <c r="S331">
        <v>0</v>
      </c>
      <c r="T331">
        <v>0</v>
      </c>
      <c r="U331">
        <v>0</v>
      </c>
      <c r="V331">
        <f t="shared" si="15"/>
        <v>0.87219584275330231</v>
      </c>
      <c r="W331">
        <f t="shared" si="16"/>
        <v>0.70520240168703408</v>
      </c>
      <c r="X331">
        <f t="shared" si="17"/>
        <v>0.34927042278209691</v>
      </c>
    </row>
    <row r="332" spans="1:24" x14ac:dyDescent="0.25">
      <c r="A332">
        <v>331</v>
      </c>
      <c r="B332">
        <v>1</v>
      </c>
      <c r="C332">
        <v>3</v>
      </c>
      <c r="D332" s="1" t="s">
        <v>700</v>
      </c>
      <c r="E332">
        <v>1</v>
      </c>
      <c r="F332" s="1">
        <v>21.98581560283688</v>
      </c>
      <c r="G332">
        <v>2</v>
      </c>
      <c r="H332">
        <v>0</v>
      </c>
      <c r="I332" s="1" t="s">
        <v>642</v>
      </c>
      <c r="J332">
        <v>23.25</v>
      </c>
      <c r="K332" s="1" t="s">
        <v>48</v>
      </c>
      <c r="L332" s="1" t="s">
        <v>28</v>
      </c>
      <c r="M332">
        <v>0</v>
      </c>
      <c r="N332">
        <v>0</v>
      </c>
      <c r="O332">
        <v>1</v>
      </c>
      <c r="P332" t="s">
        <v>1739</v>
      </c>
      <c r="Q332">
        <v>1</v>
      </c>
      <c r="R332">
        <v>0</v>
      </c>
      <c r="S332">
        <v>0</v>
      </c>
      <c r="T332">
        <v>0</v>
      </c>
      <c r="U332">
        <v>0</v>
      </c>
      <c r="V332">
        <f t="shared" si="15"/>
        <v>0.87219584275330231</v>
      </c>
      <c r="W332">
        <f t="shared" si="16"/>
        <v>0.70520240168703408</v>
      </c>
      <c r="X332">
        <f t="shared" si="17"/>
        <v>0.34927042278209691</v>
      </c>
    </row>
    <row r="333" spans="1:24" x14ac:dyDescent="0.25">
      <c r="A333">
        <v>332</v>
      </c>
      <c r="B333">
        <v>0</v>
      </c>
      <c r="C333">
        <v>1</v>
      </c>
      <c r="D333" s="1" t="s">
        <v>701</v>
      </c>
      <c r="E333">
        <v>0</v>
      </c>
      <c r="F333" s="1">
        <v>32.180156657963444</v>
      </c>
      <c r="G333">
        <v>0</v>
      </c>
      <c r="H333">
        <v>0</v>
      </c>
      <c r="I333" s="1" t="s">
        <v>702</v>
      </c>
      <c r="J333">
        <v>28.5</v>
      </c>
      <c r="K333" s="1" t="s">
        <v>703</v>
      </c>
      <c r="L333" s="1" t="s">
        <v>14</v>
      </c>
      <c r="M333">
        <v>1</v>
      </c>
      <c r="N333">
        <v>0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f t="shared" si="15"/>
        <v>0</v>
      </c>
      <c r="W333">
        <f t="shared" si="16"/>
        <v>0.5</v>
      </c>
      <c r="X333">
        <f t="shared" si="17"/>
        <v>0.69314718055994529</v>
      </c>
    </row>
    <row r="334" spans="1:24" x14ac:dyDescent="0.25">
      <c r="A334">
        <v>333</v>
      </c>
      <c r="B334">
        <v>0</v>
      </c>
      <c r="C334">
        <v>1</v>
      </c>
      <c r="D334" s="1" t="s">
        <v>704</v>
      </c>
      <c r="E334">
        <v>0</v>
      </c>
      <c r="F334">
        <v>38</v>
      </c>
      <c r="G334">
        <v>0</v>
      </c>
      <c r="H334">
        <v>1</v>
      </c>
      <c r="I334" s="1" t="s">
        <v>570</v>
      </c>
      <c r="J334">
        <v>153.46250000000001</v>
      </c>
      <c r="K334" s="1" t="s">
        <v>705</v>
      </c>
      <c r="L334" s="1" t="s">
        <v>14</v>
      </c>
      <c r="M334">
        <v>1</v>
      </c>
      <c r="N334">
        <v>0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f t="shared" si="15"/>
        <v>0</v>
      </c>
      <c r="W334">
        <f t="shared" si="16"/>
        <v>0.5</v>
      </c>
      <c r="X334">
        <f t="shared" si="17"/>
        <v>0.69314718055994529</v>
      </c>
    </row>
    <row r="335" spans="1:24" x14ac:dyDescent="0.25">
      <c r="A335">
        <v>334</v>
      </c>
      <c r="B335">
        <v>0</v>
      </c>
      <c r="C335">
        <v>3</v>
      </c>
      <c r="D335" s="1" t="s">
        <v>706</v>
      </c>
      <c r="E335">
        <v>0</v>
      </c>
      <c r="F335">
        <v>16</v>
      </c>
      <c r="G335">
        <v>2</v>
      </c>
      <c r="H335">
        <v>0</v>
      </c>
      <c r="I335" s="1" t="s">
        <v>101</v>
      </c>
      <c r="J335">
        <v>18</v>
      </c>
      <c r="K335" s="1" t="s">
        <v>48</v>
      </c>
      <c r="L335" s="1" t="s">
        <v>14</v>
      </c>
      <c r="M335">
        <v>1</v>
      </c>
      <c r="N335">
        <v>0</v>
      </c>
      <c r="O335">
        <v>0</v>
      </c>
      <c r="P335" t="s">
        <v>1741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f t="shared" si="15"/>
        <v>0</v>
      </c>
      <c r="W335">
        <f t="shared" si="16"/>
        <v>0.5</v>
      </c>
      <c r="X335">
        <f t="shared" si="17"/>
        <v>0.69314718055994529</v>
      </c>
    </row>
    <row r="336" spans="1:24" x14ac:dyDescent="0.25">
      <c r="A336">
        <v>335</v>
      </c>
      <c r="B336">
        <v>1</v>
      </c>
      <c r="C336">
        <v>1</v>
      </c>
      <c r="D336" s="1" t="s">
        <v>707</v>
      </c>
      <c r="E336">
        <v>1</v>
      </c>
      <c r="F336" s="1">
        <v>35.898148148148145</v>
      </c>
      <c r="G336">
        <v>1</v>
      </c>
      <c r="H336">
        <v>0</v>
      </c>
      <c r="I336" s="1" t="s">
        <v>708</v>
      </c>
      <c r="J336">
        <v>133.65</v>
      </c>
      <c r="K336" s="1" t="s">
        <v>48</v>
      </c>
      <c r="L336" s="1" t="s">
        <v>14</v>
      </c>
      <c r="M336">
        <v>1</v>
      </c>
      <c r="N336">
        <v>0</v>
      </c>
      <c r="O336">
        <v>0</v>
      </c>
      <c r="P336" t="s">
        <v>1740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f t="shared" si="15"/>
        <v>1.3618761518134992</v>
      </c>
      <c r="W336">
        <f t="shared" si="16"/>
        <v>0.79606445234832413</v>
      </c>
      <c r="X336">
        <f t="shared" si="17"/>
        <v>0.22807512612883141</v>
      </c>
    </row>
    <row r="337" spans="1:24" x14ac:dyDescent="0.25">
      <c r="A337">
        <v>336</v>
      </c>
      <c r="B337">
        <v>0</v>
      </c>
      <c r="C337">
        <v>3</v>
      </c>
      <c r="D337" s="1" t="s">
        <v>709</v>
      </c>
      <c r="E337">
        <v>0</v>
      </c>
      <c r="F337" s="1">
        <v>32.180156657963444</v>
      </c>
      <c r="G337">
        <v>0</v>
      </c>
      <c r="H337">
        <v>0</v>
      </c>
      <c r="I337" s="1" t="s">
        <v>710</v>
      </c>
      <c r="J337">
        <v>7.8958000000000004</v>
      </c>
      <c r="K337" s="1" t="s">
        <v>48</v>
      </c>
      <c r="L337" s="1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f t="shared" si="15"/>
        <v>0</v>
      </c>
      <c r="W337">
        <f t="shared" si="16"/>
        <v>0.5</v>
      </c>
      <c r="X337">
        <f t="shared" si="17"/>
        <v>0.69314718055994529</v>
      </c>
    </row>
    <row r="338" spans="1:24" x14ac:dyDescent="0.25">
      <c r="A338">
        <v>337</v>
      </c>
      <c r="B338">
        <v>0</v>
      </c>
      <c r="C338">
        <v>1</v>
      </c>
      <c r="D338" s="1" t="s">
        <v>711</v>
      </c>
      <c r="E338">
        <v>0</v>
      </c>
      <c r="F338">
        <v>29</v>
      </c>
      <c r="G338">
        <v>1</v>
      </c>
      <c r="H338">
        <v>0</v>
      </c>
      <c r="I338" s="1" t="s">
        <v>335</v>
      </c>
      <c r="J338">
        <v>66.599999999999994</v>
      </c>
      <c r="K338" s="1" t="s">
        <v>336</v>
      </c>
      <c r="L338" s="1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f t="shared" si="15"/>
        <v>0</v>
      </c>
      <c r="W338">
        <f t="shared" si="16"/>
        <v>0.5</v>
      </c>
      <c r="X338">
        <f t="shared" si="17"/>
        <v>0.69314718055994529</v>
      </c>
    </row>
    <row r="339" spans="1:24" x14ac:dyDescent="0.25">
      <c r="A339">
        <v>338</v>
      </c>
      <c r="B339">
        <v>1</v>
      </c>
      <c r="C339">
        <v>1</v>
      </c>
      <c r="D339" s="1" t="s">
        <v>712</v>
      </c>
      <c r="E339">
        <v>1</v>
      </c>
      <c r="F339">
        <v>41</v>
      </c>
      <c r="G339">
        <v>0</v>
      </c>
      <c r="H339">
        <v>0</v>
      </c>
      <c r="I339" s="1" t="s">
        <v>680</v>
      </c>
      <c r="J339">
        <v>134.5</v>
      </c>
      <c r="K339" s="1" t="s">
        <v>713</v>
      </c>
      <c r="L339" s="1" t="s">
        <v>18</v>
      </c>
      <c r="M339">
        <v>0</v>
      </c>
      <c r="N339">
        <v>1</v>
      </c>
      <c r="O339">
        <v>0</v>
      </c>
      <c r="P339" t="s">
        <v>1739</v>
      </c>
      <c r="Q339">
        <v>1</v>
      </c>
      <c r="R339">
        <v>0</v>
      </c>
      <c r="S339">
        <v>0</v>
      </c>
      <c r="T339">
        <v>0</v>
      </c>
      <c r="U339">
        <v>0</v>
      </c>
      <c r="V339">
        <f t="shared" si="15"/>
        <v>0.87219584275330231</v>
      </c>
      <c r="W339">
        <f t="shared" si="16"/>
        <v>0.70520240168703408</v>
      </c>
      <c r="X339">
        <f t="shared" si="17"/>
        <v>0.34927042278209691</v>
      </c>
    </row>
    <row r="340" spans="1:24" x14ac:dyDescent="0.25">
      <c r="A340">
        <v>339</v>
      </c>
      <c r="B340">
        <v>1</v>
      </c>
      <c r="C340">
        <v>3</v>
      </c>
      <c r="D340" s="1" t="s">
        <v>714</v>
      </c>
      <c r="E340">
        <v>0</v>
      </c>
      <c r="F340">
        <v>45</v>
      </c>
      <c r="G340">
        <v>0</v>
      </c>
      <c r="H340">
        <v>0</v>
      </c>
      <c r="I340" s="1" t="s">
        <v>715</v>
      </c>
      <c r="J340">
        <v>8.0500000000000007</v>
      </c>
      <c r="K340" s="1" t="s">
        <v>48</v>
      </c>
      <c r="L340" s="1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f t="shared" si="15"/>
        <v>0</v>
      </c>
      <c r="W340">
        <f t="shared" si="16"/>
        <v>0.5</v>
      </c>
      <c r="X340">
        <f t="shared" si="17"/>
        <v>0.69314718055994529</v>
      </c>
    </row>
    <row r="341" spans="1:24" x14ac:dyDescent="0.25">
      <c r="A341">
        <v>340</v>
      </c>
      <c r="B341">
        <v>0</v>
      </c>
      <c r="C341">
        <v>1</v>
      </c>
      <c r="D341" s="1" t="s">
        <v>716</v>
      </c>
      <c r="E341">
        <v>0</v>
      </c>
      <c r="F341">
        <v>45</v>
      </c>
      <c r="G341">
        <v>0</v>
      </c>
      <c r="H341">
        <v>0</v>
      </c>
      <c r="I341" s="1" t="s">
        <v>717</v>
      </c>
      <c r="J341">
        <v>35.5</v>
      </c>
      <c r="K341" s="1" t="s">
        <v>718</v>
      </c>
      <c r="L341" s="1" t="s">
        <v>14</v>
      </c>
      <c r="M341">
        <v>1</v>
      </c>
      <c r="N341">
        <v>0</v>
      </c>
      <c r="O341">
        <v>0</v>
      </c>
      <c r="P341" t="s">
        <v>1741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f t="shared" si="15"/>
        <v>0</v>
      </c>
      <c r="W341">
        <f t="shared" si="16"/>
        <v>0.5</v>
      </c>
      <c r="X341">
        <f t="shared" si="17"/>
        <v>0.69314718055994529</v>
      </c>
    </row>
    <row r="342" spans="1:24" x14ac:dyDescent="0.25">
      <c r="A342">
        <v>341</v>
      </c>
      <c r="B342">
        <v>1</v>
      </c>
      <c r="C342">
        <v>2</v>
      </c>
      <c r="D342" s="1" t="s">
        <v>719</v>
      </c>
      <c r="E342">
        <v>0</v>
      </c>
      <c r="F342">
        <v>2</v>
      </c>
      <c r="G342">
        <v>1</v>
      </c>
      <c r="H342">
        <v>1</v>
      </c>
      <c r="I342" s="1" t="s">
        <v>328</v>
      </c>
      <c r="J342">
        <v>26</v>
      </c>
      <c r="K342" s="1" t="s">
        <v>329</v>
      </c>
      <c r="L342" s="1" t="s">
        <v>14</v>
      </c>
      <c r="M342">
        <v>1</v>
      </c>
      <c r="N342">
        <v>0</v>
      </c>
      <c r="O342">
        <v>0</v>
      </c>
      <c r="P342" t="s">
        <v>1742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f t="shared" si="15"/>
        <v>0.21766252466937555</v>
      </c>
      <c r="W342">
        <f t="shared" si="16"/>
        <v>0.55420180681382414</v>
      </c>
      <c r="X342">
        <f t="shared" si="17"/>
        <v>0.59022638633875368</v>
      </c>
    </row>
    <row r="343" spans="1:24" x14ac:dyDescent="0.25">
      <c r="A343">
        <v>342</v>
      </c>
      <c r="B343">
        <v>1</v>
      </c>
      <c r="C343">
        <v>1</v>
      </c>
      <c r="D343" s="1" t="s">
        <v>720</v>
      </c>
      <c r="E343">
        <v>1</v>
      </c>
      <c r="F343">
        <v>24</v>
      </c>
      <c r="G343">
        <v>3</v>
      </c>
      <c r="H343">
        <v>2</v>
      </c>
      <c r="I343" s="1" t="s">
        <v>77</v>
      </c>
      <c r="J343">
        <v>263</v>
      </c>
      <c r="K343" s="1" t="s">
        <v>78</v>
      </c>
      <c r="L343" s="1" t="s">
        <v>14</v>
      </c>
      <c r="M343">
        <v>1</v>
      </c>
      <c r="N343">
        <v>0</v>
      </c>
      <c r="O343">
        <v>0</v>
      </c>
      <c r="P343" t="s">
        <v>1739</v>
      </c>
      <c r="Q343">
        <v>1</v>
      </c>
      <c r="R343">
        <v>0</v>
      </c>
      <c r="S343">
        <v>0</v>
      </c>
      <c r="T343">
        <v>0</v>
      </c>
      <c r="U343">
        <v>0</v>
      </c>
      <c r="V343">
        <f t="shared" si="15"/>
        <v>0.87219584275330231</v>
      </c>
      <c r="W343">
        <f t="shared" si="16"/>
        <v>0.70520240168703408</v>
      </c>
      <c r="X343">
        <f t="shared" si="17"/>
        <v>0.34927042278209691</v>
      </c>
    </row>
    <row r="344" spans="1:24" x14ac:dyDescent="0.25">
      <c r="A344">
        <v>343</v>
      </c>
      <c r="B344">
        <v>0</v>
      </c>
      <c r="C344">
        <v>2</v>
      </c>
      <c r="D344" s="1" t="s">
        <v>721</v>
      </c>
      <c r="E344">
        <v>0</v>
      </c>
      <c r="F344">
        <v>28</v>
      </c>
      <c r="G344">
        <v>0</v>
      </c>
      <c r="H344">
        <v>0</v>
      </c>
      <c r="I344" s="1" t="s">
        <v>722</v>
      </c>
      <c r="J344">
        <v>13</v>
      </c>
      <c r="K344" s="1" t="s">
        <v>48</v>
      </c>
      <c r="L344" s="1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f t="shared" si="15"/>
        <v>0</v>
      </c>
      <c r="W344">
        <f t="shared" si="16"/>
        <v>0.5</v>
      </c>
      <c r="X344">
        <f t="shared" si="17"/>
        <v>0.69314718055994529</v>
      </c>
    </row>
    <row r="345" spans="1:24" x14ac:dyDescent="0.25">
      <c r="A345">
        <v>344</v>
      </c>
      <c r="B345">
        <v>0</v>
      </c>
      <c r="C345">
        <v>2</v>
      </c>
      <c r="D345" s="1" t="s">
        <v>723</v>
      </c>
      <c r="E345">
        <v>0</v>
      </c>
      <c r="F345">
        <v>25</v>
      </c>
      <c r="G345">
        <v>0</v>
      </c>
      <c r="H345">
        <v>0</v>
      </c>
      <c r="I345" s="1" t="s">
        <v>724</v>
      </c>
      <c r="J345">
        <v>13</v>
      </c>
      <c r="K345" s="1" t="s">
        <v>48</v>
      </c>
      <c r="L345" s="1" t="s">
        <v>14</v>
      </c>
      <c r="M345">
        <v>1</v>
      </c>
      <c r="N345">
        <v>0</v>
      </c>
      <c r="O345">
        <v>0</v>
      </c>
      <c r="P345" t="s">
        <v>1741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f t="shared" si="15"/>
        <v>0</v>
      </c>
      <c r="W345">
        <f t="shared" si="16"/>
        <v>0.5</v>
      </c>
      <c r="X345">
        <f t="shared" si="17"/>
        <v>0.69314718055994529</v>
      </c>
    </row>
    <row r="346" spans="1:24" x14ac:dyDescent="0.25">
      <c r="A346">
        <v>345</v>
      </c>
      <c r="B346">
        <v>0</v>
      </c>
      <c r="C346">
        <v>2</v>
      </c>
      <c r="D346" s="1" t="s">
        <v>725</v>
      </c>
      <c r="E346">
        <v>0</v>
      </c>
      <c r="F346">
        <v>36</v>
      </c>
      <c r="G346">
        <v>0</v>
      </c>
      <c r="H346">
        <v>0</v>
      </c>
      <c r="I346" s="1" t="s">
        <v>726</v>
      </c>
      <c r="J346">
        <v>13</v>
      </c>
      <c r="K346" s="1" t="s">
        <v>48</v>
      </c>
      <c r="L346" s="1" t="s">
        <v>14</v>
      </c>
      <c r="M346">
        <v>1</v>
      </c>
      <c r="N346">
        <v>0</v>
      </c>
      <c r="O346">
        <v>0</v>
      </c>
      <c r="P346" t="s">
        <v>1741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f t="shared" si="15"/>
        <v>0</v>
      </c>
      <c r="W346">
        <f t="shared" si="16"/>
        <v>0.5</v>
      </c>
      <c r="X346">
        <f t="shared" si="17"/>
        <v>0.69314718055994529</v>
      </c>
    </row>
    <row r="347" spans="1:24" x14ac:dyDescent="0.25">
      <c r="A347">
        <v>346</v>
      </c>
      <c r="B347">
        <v>1</v>
      </c>
      <c r="C347">
        <v>2</v>
      </c>
      <c r="D347" s="1" t="s">
        <v>727</v>
      </c>
      <c r="E347">
        <v>1</v>
      </c>
      <c r="F347">
        <v>24</v>
      </c>
      <c r="G347">
        <v>0</v>
      </c>
      <c r="H347">
        <v>0</v>
      </c>
      <c r="I347" s="1" t="s">
        <v>728</v>
      </c>
      <c r="J347">
        <v>13</v>
      </c>
      <c r="K347" s="1" t="s">
        <v>163</v>
      </c>
      <c r="L347" s="1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  <c r="V347">
        <f t="shared" si="15"/>
        <v>0.87219584275330231</v>
      </c>
      <c r="W347">
        <f t="shared" si="16"/>
        <v>0.70520240168703408</v>
      </c>
      <c r="X347">
        <f t="shared" si="17"/>
        <v>0.34927042278209691</v>
      </c>
    </row>
    <row r="348" spans="1:24" x14ac:dyDescent="0.25">
      <c r="A348">
        <v>347</v>
      </c>
      <c r="B348">
        <v>1</v>
      </c>
      <c r="C348">
        <v>2</v>
      </c>
      <c r="D348" s="1" t="s">
        <v>729</v>
      </c>
      <c r="E348">
        <v>1</v>
      </c>
      <c r="F348">
        <v>40</v>
      </c>
      <c r="G348">
        <v>0</v>
      </c>
      <c r="H348">
        <v>0</v>
      </c>
      <c r="I348" s="1" t="s">
        <v>730</v>
      </c>
      <c r="J348">
        <v>13</v>
      </c>
      <c r="K348" s="1" t="s">
        <v>48</v>
      </c>
      <c r="L348" s="1" t="s">
        <v>14</v>
      </c>
      <c r="M348">
        <v>1</v>
      </c>
      <c r="N348">
        <v>0</v>
      </c>
      <c r="O348">
        <v>0</v>
      </c>
      <c r="P348" t="s">
        <v>1739</v>
      </c>
      <c r="Q348">
        <v>1</v>
      </c>
      <c r="R348">
        <v>0</v>
      </c>
      <c r="S348">
        <v>0</v>
      </c>
      <c r="T348">
        <v>0</v>
      </c>
      <c r="U348">
        <v>0</v>
      </c>
      <c r="V348">
        <f t="shared" si="15"/>
        <v>0.87219584275330231</v>
      </c>
      <c r="W348">
        <f t="shared" si="16"/>
        <v>0.70520240168703408</v>
      </c>
      <c r="X348">
        <f t="shared" si="17"/>
        <v>0.34927042278209691</v>
      </c>
    </row>
    <row r="349" spans="1:24" x14ac:dyDescent="0.25">
      <c r="A349">
        <v>348</v>
      </c>
      <c r="B349">
        <v>1</v>
      </c>
      <c r="C349">
        <v>3</v>
      </c>
      <c r="D349" s="1" t="s">
        <v>731</v>
      </c>
      <c r="E349">
        <v>1</v>
      </c>
      <c r="F349" s="1">
        <v>35.898148148148145</v>
      </c>
      <c r="G349">
        <v>1</v>
      </c>
      <c r="H349">
        <v>0</v>
      </c>
      <c r="I349" s="1" t="s">
        <v>732</v>
      </c>
      <c r="J349">
        <v>16.100000000000001</v>
      </c>
      <c r="K349" s="1" t="s">
        <v>48</v>
      </c>
      <c r="L349" s="1" t="s">
        <v>14</v>
      </c>
      <c r="M349">
        <v>1</v>
      </c>
      <c r="N349">
        <v>0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f t="shared" si="15"/>
        <v>1.3618761518134992</v>
      </c>
      <c r="W349">
        <f t="shared" si="16"/>
        <v>0.79606445234832413</v>
      </c>
      <c r="X349">
        <f t="shared" si="17"/>
        <v>0.22807512612883141</v>
      </c>
    </row>
    <row r="350" spans="1:24" x14ac:dyDescent="0.25">
      <c r="A350">
        <v>349</v>
      </c>
      <c r="B350">
        <v>1</v>
      </c>
      <c r="C350">
        <v>3</v>
      </c>
      <c r="D350" s="1" t="s">
        <v>733</v>
      </c>
      <c r="E350">
        <v>0</v>
      </c>
      <c r="F350">
        <v>3</v>
      </c>
      <c r="G350">
        <v>1</v>
      </c>
      <c r="H350">
        <v>1</v>
      </c>
      <c r="I350" s="1" t="s">
        <v>734</v>
      </c>
      <c r="J350">
        <v>15.9</v>
      </c>
      <c r="K350" s="1" t="s">
        <v>48</v>
      </c>
      <c r="L350" s="1" t="s">
        <v>14</v>
      </c>
      <c r="M350">
        <v>1</v>
      </c>
      <c r="N350">
        <v>0</v>
      </c>
      <c r="O350">
        <v>0</v>
      </c>
      <c r="P350" t="s">
        <v>1742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f t="shared" si="15"/>
        <v>0.21766252466937555</v>
      </c>
      <c r="W350">
        <f t="shared" si="16"/>
        <v>0.55420180681382414</v>
      </c>
      <c r="X350">
        <f t="shared" si="17"/>
        <v>0.59022638633875368</v>
      </c>
    </row>
    <row r="351" spans="1:24" x14ac:dyDescent="0.25">
      <c r="A351">
        <v>350</v>
      </c>
      <c r="B351">
        <v>0</v>
      </c>
      <c r="C351">
        <v>3</v>
      </c>
      <c r="D351" s="1" t="s">
        <v>735</v>
      </c>
      <c r="E351">
        <v>0</v>
      </c>
      <c r="F351">
        <v>42</v>
      </c>
      <c r="G351">
        <v>0</v>
      </c>
      <c r="H351">
        <v>0</v>
      </c>
      <c r="I351" s="1" t="s">
        <v>736</v>
      </c>
      <c r="J351">
        <v>8.6624999999999996</v>
      </c>
      <c r="K351" s="1" t="s">
        <v>48</v>
      </c>
      <c r="L351" s="1" t="s">
        <v>14</v>
      </c>
      <c r="M351">
        <v>1</v>
      </c>
      <c r="N351">
        <v>0</v>
      </c>
      <c r="O351">
        <v>0</v>
      </c>
      <c r="P351" t="s">
        <v>1741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f t="shared" si="15"/>
        <v>0</v>
      </c>
      <c r="W351">
        <f t="shared" si="16"/>
        <v>0.5</v>
      </c>
      <c r="X351">
        <f t="shared" si="17"/>
        <v>0.69314718055994529</v>
      </c>
    </row>
    <row r="352" spans="1:24" x14ac:dyDescent="0.25">
      <c r="A352">
        <v>351</v>
      </c>
      <c r="B352">
        <v>0</v>
      </c>
      <c r="C352">
        <v>3</v>
      </c>
      <c r="D352" s="1" t="s">
        <v>737</v>
      </c>
      <c r="E352">
        <v>0</v>
      </c>
      <c r="F352">
        <v>23</v>
      </c>
      <c r="G352">
        <v>0</v>
      </c>
      <c r="H352">
        <v>0</v>
      </c>
      <c r="I352" s="1" t="s">
        <v>738</v>
      </c>
      <c r="J352">
        <v>9.2249999999999996</v>
      </c>
      <c r="K352" s="1" t="s">
        <v>48</v>
      </c>
      <c r="L352" s="1" t="s">
        <v>14</v>
      </c>
      <c r="M352">
        <v>1</v>
      </c>
      <c r="N352">
        <v>0</v>
      </c>
      <c r="O352">
        <v>0</v>
      </c>
      <c r="P352" t="s">
        <v>1741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f t="shared" si="15"/>
        <v>0</v>
      </c>
      <c r="W352">
        <f t="shared" si="16"/>
        <v>0.5</v>
      </c>
      <c r="X352">
        <f t="shared" si="17"/>
        <v>0.69314718055994529</v>
      </c>
    </row>
    <row r="353" spans="1:24" x14ac:dyDescent="0.25">
      <c r="A353">
        <v>352</v>
      </c>
      <c r="B353">
        <v>0</v>
      </c>
      <c r="C353">
        <v>1</v>
      </c>
      <c r="D353" s="1" t="s">
        <v>739</v>
      </c>
      <c r="E353">
        <v>0</v>
      </c>
      <c r="F353" s="1">
        <v>32.180156657963444</v>
      </c>
      <c r="G353">
        <v>0</v>
      </c>
      <c r="H353">
        <v>0</v>
      </c>
      <c r="I353" s="1" t="s">
        <v>740</v>
      </c>
      <c r="J353">
        <v>35</v>
      </c>
      <c r="K353" s="1" t="s">
        <v>741</v>
      </c>
      <c r="L353" s="1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f t="shared" si="15"/>
        <v>0</v>
      </c>
      <c r="W353">
        <f t="shared" si="16"/>
        <v>0.5</v>
      </c>
      <c r="X353">
        <f t="shared" si="17"/>
        <v>0.69314718055994529</v>
      </c>
    </row>
    <row r="354" spans="1:24" x14ac:dyDescent="0.25">
      <c r="A354">
        <v>353</v>
      </c>
      <c r="B354">
        <v>0</v>
      </c>
      <c r="C354">
        <v>3</v>
      </c>
      <c r="D354" s="1" t="s">
        <v>742</v>
      </c>
      <c r="E354">
        <v>0</v>
      </c>
      <c r="F354">
        <v>15</v>
      </c>
      <c r="G354">
        <v>1</v>
      </c>
      <c r="H354">
        <v>1</v>
      </c>
      <c r="I354" s="1" t="s">
        <v>743</v>
      </c>
      <c r="J354">
        <v>7.2291999999999996</v>
      </c>
      <c r="K354" s="1" t="s">
        <v>48</v>
      </c>
      <c r="L354" s="1" t="s">
        <v>18</v>
      </c>
      <c r="M354">
        <v>0</v>
      </c>
      <c r="N354">
        <v>1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f t="shared" si="15"/>
        <v>0</v>
      </c>
      <c r="W354">
        <f t="shared" si="16"/>
        <v>0.5</v>
      </c>
      <c r="X354">
        <f t="shared" si="17"/>
        <v>0.69314718055994529</v>
      </c>
    </row>
    <row r="355" spans="1:24" x14ac:dyDescent="0.25">
      <c r="A355">
        <v>354</v>
      </c>
      <c r="B355">
        <v>0</v>
      </c>
      <c r="C355">
        <v>3</v>
      </c>
      <c r="D355" s="1" t="s">
        <v>744</v>
      </c>
      <c r="E355">
        <v>0</v>
      </c>
      <c r="F355">
        <v>25</v>
      </c>
      <c r="G355">
        <v>1</v>
      </c>
      <c r="H355">
        <v>0</v>
      </c>
      <c r="I355" s="1" t="s">
        <v>123</v>
      </c>
      <c r="J355">
        <v>17.8</v>
      </c>
      <c r="K355" s="1" t="s">
        <v>48</v>
      </c>
      <c r="L355" s="1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f t="shared" si="15"/>
        <v>0</v>
      </c>
      <c r="W355">
        <f t="shared" si="16"/>
        <v>0.5</v>
      </c>
      <c r="X355">
        <f t="shared" si="17"/>
        <v>0.69314718055994529</v>
      </c>
    </row>
    <row r="356" spans="1:24" x14ac:dyDescent="0.25">
      <c r="A356">
        <v>355</v>
      </c>
      <c r="B356">
        <v>0</v>
      </c>
      <c r="C356">
        <v>3</v>
      </c>
      <c r="D356" s="1" t="s">
        <v>745</v>
      </c>
      <c r="E356">
        <v>0</v>
      </c>
      <c r="F356" s="1">
        <v>32.180156657963444</v>
      </c>
      <c r="G356">
        <v>0</v>
      </c>
      <c r="H356">
        <v>0</v>
      </c>
      <c r="I356" s="1" t="s">
        <v>746</v>
      </c>
      <c r="J356">
        <v>7.2249999999999996</v>
      </c>
      <c r="K356" s="1" t="s">
        <v>48</v>
      </c>
      <c r="L356" s="1" t="s">
        <v>18</v>
      </c>
      <c r="M356">
        <v>0</v>
      </c>
      <c r="N356">
        <v>1</v>
      </c>
      <c r="O356">
        <v>0</v>
      </c>
      <c r="P356" t="s">
        <v>1741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f t="shared" si="15"/>
        <v>0</v>
      </c>
      <c r="W356">
        <f t="shared" si="16"/>
        <v>0.5</v>
      </c>
      <c r="X356">
        <f t="shared" si="17"/>
        <v>0.69314718055994529</v>
      </c>
    </row>
    <row r="357" spans="1:24" x14ac:dyDescent="0.25">
      <c r="A357">
        <v>356</v>
      </c>
      <c r="B357">
        <v>0</v>
      </c>
      <c r="C357">
        <v>3</v>
      </c>
      <c r="D357" s="1" t="s">
        <v>747</v>
      </c>
      <c r="E357">
        <v>0</v>
      </c>
      <c r="F357">
        <v>28</v>
      </c>
      <c r="G357">
        <v>0</v>
      </c>
      <c r="H357">
        <v>0</v>
      </c>
      <c r="I357" s="1" t="s">
        <v>748</v>
      </c>
      <c r="J357">
        <v>9.5</v>
      </c>
      <c r="K357" s="1" t="s">
        <v>48</v>
      </c>
      <c r="L357" s="1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f t="shared" si="15"/>
        <v>0</v>
      </c>
      <c r="W357">
        <f t="shared" si="16"/>
        <v>0.5</v>
      </c>
      <c r="X357">
        <f t="shared" si="17"/>
        <v>0.69314718055994529</v>
      </c>
    </row>
    <row r="358" spans="1:24" x14ac:dyDescent="0.25">
      <c r="A358">
        <v>357</v>
      </c>
      <c r="B358">
        <v>1</v>
      </c>
      <c r="C358">
        <v>1</v>
      </c>
      <c r="D358" s="1" t="s">
        <v>749</v>
      </c>
      <c r="E358">
        <v>1</v>
      </c>
      <c r="F358">
        <v>22</v>
      </c>
      <c r="G358">
        <v>0</v>
      </c>
      <c r="H358">
        <v>1</v>
      </c>
      <c r="I358" s="1" t="s">
        <v>365</v>
      </c>
      <c r="J358">
        <v>55</v>
      </c>
      <c r="K358" s="1" t="s">
        <v>366</v>
      </c>
      <c r="L358" s="1" t="s">
        <v>14</v>
      </c>
      <c r="M358">
        <v>1</v>
      </c>
      <c r="N358">
        <v>0</v>
      </c>
      <c r="O358">
        <v>0</v>
      </c>
      <c r="P358" t="s">
        <v>1739</v>
      </c>
      <c r="Q358">
        <v>1</v>
      </c>
      <c r="R358">
        <v>0</v>
      </c>
      <c r="S358">
        <v>0</v>
      </c>
      <c r="T358">
        <v>0</v>
      </c>
      <c r="U358">
        <v>0</v>
      </c>
      <c r="V358">
        <f t="shared" si="15"/>
        <v>0.87219584275330231</v>
      </c>
      <c r="W358">
        <f t="shared" si="16"/>
        <v>0.70520240168703408</v>
      </c>
      <c r="X358">
        <f t="shared" si="17"/>
        <v>0.34927042278209691</v>
      </c>
    </row>
    <row r="359" spans="1:24" x14ac:dyDescent="0.25">
      <c r="A359">
        <v>358</v>
      </c>
      <c r="B359">
        <v>0</v>
      </c>
      <c r="C359">
        <v>2</v>
      </c>
      <c r="D359" s="1" t="s">
        <v>750</v>
      </c>
      <c r="E359">
        <v>1</v>
      </c>
      <c r="F359">
        <v>38</v>
      </c>
      <c r="G359">
        <v>0</v>
      </c>
      <c r="H359">
        <v>0</v>
      </c>
      <c r="I359" s="1" t="s">
        <v>751</v>
      </c>
      <c r="J359">
        <v>13</v>
      </c>
      <c r="K359" s="1" t="s">
        <v>48</v>
      </c>
      <c r="L359" s="1" t="s">
        <v>14</v>
      </c>
      <c r="M359">
        <v>1</v>
      </c>
      <c r="N359">
        <v>0</v>
      </c>
      <c r="O359">
        <v>0</v>
      </c>
      <c r="P359" t="s">
        <v>1739</v>
      </c>
      <c r="Q359">
        <v>1</v>
      </c>
      <c r="R359">
        <v>0</v>
      </c>
      <c r="S359">
        <v>0</v>
      </c>
      <c r="T359">
        <v>0</v>
      </c>
      <c r="U359">
        <v>0</v>
      </c>
      <c r="V359">
        <f t="shared" si="15"/>
        <v>0.87219584275330231</v>
      </c>
      <c r="W359">
        <f t="shared" si="16"/>
        <v>0.70520240168703408</v>
      </c>
      <c r="X359">
        <f t="shared" si="17"/>
        <v>1.2214662655353992</v>
      </c>
    </row>
    <row r="360" spans="1:24" x14ac:dyDescent="0.25">
      <c r="A360">
        <v>359</v>
      </c>
      <c r="B360">
        <v>1</v>
      </c>
      <c r="C360">
        <v>3</v>
      </c>
      <c r="D360" s="1" t="s">
        <v>752</v>
      </c>
      <c r="E360">
        <v>1</v>
      </c>
      <c r="F360" s="1">
        <v>21.98581560283688</v>
      </c>
      <c r="G360">
        <v>0</v>
      </c>
      <c r="H360">
        <v>0</v>
      </c>
      <c r="I360" s="1" t="s">
        <v>753</v>
      </c>
      <c r="J360">
        <v>7.8792</v>
      </c>
      <c r="K360" s="1" t="s">
        <v>48</v>
      </c>
      <c r="L360" s="1" t="s">
        <v>28</v>
      </c>
      <c r="M360">
        <v>0</v>
      </c>
      <c r="N360">
        <v>0</v>
      </c>
      <c r="O360">
        <v>1</v>
      </c>
      <c r="P360" t="s">
        <v>1739</v>
      </c>
      <c r="Q360">
        <v>1</v>
      </c>
      <c r="R360">
        <v>0</v>
      </c>
      <c r="S360">
        <v>0</v>
      </c>
      <c r="T360">
        <v>0</v>
      </c>
      <c r="U360">
        <v>0</v>
      </c>
      <c r="V360">
        <f t="shared" si="15"/>
        <v>0.87219584275330231</v>
      </c>
      <c r="W360">
        <f t="shared" si="16"/>
        <v>0.70520240168703408</v>
      </c>
      <c r="X360">
        <f t="shared" si="17"/>
        <v>0.34927042278209691</v>
      </c>
    </row>
    <row r="361" spans="1:24" x14ac:dyDescent="0.25">
      <c r="A361">
        <v>360</v>
      </c>
      <c r="B361">
        <v>1</v>
      </c>
      <c r="C361">
        <v>3</v>
      </c>
      <c r="D361" s="1" t="s">
        <v>754</v>
      </c>
      <c r="E361">
        <v>1</v>
      </c>
      <c r="F361" s="1">
        <v>21.98581560283688</v>
      </c>
      <c r="G361">
        <v>0</v>
      </c>
      <c r="H361">
        <v>0</v>
      </c>
      <c r="I361" s="1" t="s">
        <v>755</v>
      </c>
      <c r="J361">
        <v>7.8792</v>
      </c>
      <c r="K361" s="1" t="s">
        <v>48</v>
      </c>
      <c r="L361" s="1" t="s">
        <v>28</v>
      </c>
      <c r="M361">
        <v>0</v>
      </c>
      <c r="N361">
        <v>0</v>
      </c>
      <c r="O361">
        <v>1</v>
      </c>
      <c r="P361" t="s">
        <v>1739</v>
      </c>
      <c r="Q361">
        <v>1</v>
      </c>
      <c r="R361">
        <v>0</v>
      </c>
      <c r="S361">
        <v>0</v>
      </c>
      <c r="T361">
        <v>0</v>
      </c>
      <c r="U361">
        <v>0</v>
      </c>
      <c r="V361">
        <f t="shared" si="15"/>
        <v>0.87219584275330231</v>
      </c>
      <c r="W361">
        <f t="shared" si="16"/>
        <v>0.70520240168703408</v>
      </c>
      <c r="X361">
        <f t="shared" si="17"/>
        <v>0.34927042278209691</v>
      </c>
    </row>
    <row r="362" spans="1:24" x14ac:dyDescent="0.25">
      <c r="A362">
        <v>361</v>
      </c>
      <c r="B362">
        <v>0</v>
      </c>
      <c r="C362">
        <v>3</v>
      </c>
      <c r="D362" s="1" t="s">
        <v>756</v>
      </c>
      <c r="E362">
        <v>0</v>
      </c>
      <c r="F362">
        <v>40</v>
      </c>
      <c r="G362">
        <v>1</v>
      </c>
      <c r="H362">
        <v>4</v>
      </c>
      <c r="I362" s="1" t="s">
        <v>156</v>
      </c>
      <c r="J362">
        <v>27.9</v>
      </c>
      <c r="K362" s="1" t="s">
        <v>48</v>
      </c>
      <c r="L362" s="1" t="s">
        <v>14</v>
      </c>
      <c r="M362">
        <v>1</v>
      </c>
      <c r="N362">
        <v>0</v>
      </c>
      <c r="O362">
        <v>0</v>
      </c>
      <c r="P362" t="s">
        <v>1741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f t="shared" si="15"/>
        <v>0</v>
      </c>
      <c r="W362">
        <f t="shared" si="16"/>
        <v>0.5</v>
      </c>
      <c r="X362">
        <f t="shared" si="17"/>
        <v>0.69314718055994529</v>
      </c>
    </row>
    <row r="363" spans="1:24" x14ac:dyDescent="0.25">
      <c r="A363">
        <v>362</v>
      </c>
      <c r="B363">
        <v>0</v>
      </c>
      <c r="C363">
        <v>2</v>
      </c>
      <c r="D363" s="1" t="s">
        <v>757</v>
      </c>
      <c r="E363">
        <v>0</v>
      </c>
      <c r="F363">
        <v>29</v>
      </c>
      <c r="G363">
        <v>1</v>
      </c>
      <c r="H363">
        <v>0</v>
      </c>
      <c r="I363" s="1" t="s">
        <v>758</v>
      </c>
      <c r="J363">
        <v>27.720800000000001</v>
      </c>
      <c r="K363" s="1" t="s">
        <v>48</v>
      </c>
      <c r="L363" s="1" t="s">
        <v>18</v>
      </c>
      <c r="M363">
        <v>0</v>
      </c>
      <c r="N363">
        <v>1</v>
      </c>
      <c r="O363">
        <v>0</v>
      </c>
      <c r="P363" t="s">
        <v>1741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f t="shared" si="15"/>
        <v>0</v>
      </c>
      <c r="W363">
        <f t="shared" si="16"/>
        <v>0.5</v>
      </c>
      <c r="X363">
        <f t="shared" si="17"/>
        <v>0.69314718055994529</v>
      </c>
    </row>
    <row r="364" spans="1:24" x14ac:dyDescent="0.25">
      <c r="A364">
        <v>363</v>
      </c>
      <c r="B364">
        <v>0</v>
      </c>
      <c r="C364">
        <v>3</v>
      </c>
      <c r="D364" s="1" t="s">
        <v>759</v>
      </c>
      <c r="E364">
        <v>1</v>
      </c>
      <c r="F364">
        <v>45</v>
      </c>
      <c r="G364">
        <v>0</v>
      </c>
      <c r="H364">
        <v>1</v>
      </c>
      <c r="I364" s="1" t="s">
        <v>760</v>
      </c>
      <c r="J364">
        <v>14.4542</v>
      </c>
      <c r="K364" s="1" t="s">
        <v>48</v>
      </c>
      <c r="L364" s="1" t="s">
        <v>18</v>
      </c>
      <c r="M364">
        <v>0</v>
      </c>
      <c r="N364">
        <v>1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f t="shared" si="15"/>
        <v>1.3618761518134992</v>
      </c>
      <c r="W364">
        <f t="shared" si="16"/>
        <v>0.79606445234832413</v>
      </c>
      <c r="X364">
        <f t="shared" si="17"/>
        <v>1.5899512779423304</v>
      </c>
    </row>
    <row r="365" spans="1:24" x14ac:dyDescent="0.25">
      <c r="A365">
        <v>364</v>
      </c>
      <c r="B365">
        <v>0</v>
      </c>
      <c r="C365">
        <v>3</v>
      </c>
      <c r="D365" s="1" t="s">
        <v>761</v>
      </c>
      <c r="E365">
        <v>0</v>
      </c>
      <c r="F365">
        <v>35</v>
      </c>
      <c r="G365">
        <v>0</v>
      </c>
      <c r="H365">
        <v>0</v>
      </c>
      <c r="I365" s="1" t="s">
        <v>762</v>
      </c>
      <c r="J365">
        <v>7.05</v>
      </c>
      <c r="K365" s="1" t="s">
        <v>48</v>
      </c>
      <c r="L365" s="1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f t="shared" si="15"/>
        <v>0</v>
      </c>
      <c r="W365">
        <f t="shared" si="16"/>
        <v>0.5</v>
      </c>
      <c r="X365">
        <f t="shared" si="17"/>
        <v>0.69314718055994529</v>
      </c>
    </row>
    <row r="366" spans="1:24" x14ac:dyDescent="0.25">
      <c r="A366">
        <v>365</v>
      </c>
      <c r="B366">
        <v>0</v>
      </c>
      <c r="C366">
        <v>3</v>
      </c>
      <c r="D366" s="1" t="s">
        <v>763</v>
      </c>
      <c r="E366">
        <v>0</v>
      </c>
      <c r="F366" s="1">
        <v>32.180156657963444</v>
      </c>
      <c r="G366">
        <v>1</v>
      </c>
      <c r="H366">
        <v>0</v>
      </c>
      <c r="I366" s="1" t="s">
        <v>405</v>
      </c>
      <c r="J366">
        <v>15.5</v>
      </c>
      <c r="K366" s="1" t="s">
        <v>48</v>
      </c>
      <c r="L366" s="1" t="s">
        <v>28</v>
      </c>
      <c r="M366">
        <v>0</v>
      </c>
      <c r="N366">
        <v>0</v>
      </c>
      <c r="O366">
        <v>1</v>
      </c>
      <c r="P366" t="s">
        <v>1741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f t="shared" si="15"/>
        <v>0</v>
      </c>
      <c r="W366">
        <f t="shared" si="16"/>
        <v>0.5</v>
      </c>
      <c r="X366">
        <f t="shared" si="17"/>
        <v>0.69314718055994529</v>
      </c>
    </row>
    <row r="367" spans="1:24" x14ac:dyDescent="0.25">
      <c r="A367">
        <v>366</v>
      </c>
      <c r="B367">
        <v>0</v>
      </c>
      <c r="C367">
        <v>3</v>
      </c>
      <c r="D367" s="1" t="s">
        <v>764</v>
      </c>
      <c r="E367">
        <v>0</v>
      </c>
      <c r="F367">
        <v>30</v>
      </c>
      <c r="G367">
        <v>0</v>
      </c>
      <c r="H367">
        <v>0</v>
      </c>
      <c r="I367" s="1" t="s">
        <v>765</v>
      </c>
      <c r="J367">
        <v>7.25</v>
      </c>
      <c r="K367" s="1" t="s">
        <v>48</v>
      </c>
      <c r="L367" s="1" t="s">
        <v>14</v>
      </c>
      <c r="M367">
        <v>1</v>
      </c>
      <c r="N367">
        <v>0</v>
      </c>
      <c r="O367">
        <v>0</v>
      </c>
      <c r="P367" t="s">
        <v>1741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f t="shared" si="15"/>
        <v>0</v>
      </c>
      <c r="W367">
        <f t="shared" si="16"/>
        <v>0.5</v>
      </c>
      <c r="X367">
        <f t="shared" si="17"/>
        <v>0.69314718055994529</v>
      </c>
    </row>
    <row r="368" spans="1:24" x14ac:dyDescent="0.25">
      <c r="A368">
        <v>367</v>
      </c>
      <c r="B368">
        <v>1</v>
      </c>
      <c r="C368">
        <v>1</v>
      </c>
      <c r="D368" s="1" t="s">
        <v>766</v>
      </c>
      <c r="E368">
        <v>1</v>
      </c>
      <c r="F368">
        <v>60</v>
      </c>
      <c r="G368">
        <v>1</v>
      </c>
      <c r="H368">
        <v>0</v>
      </c>
      <c r="I368" s="1" t="s">
        <v>767</v>
      </c>
      <c r="J368">
        <v>75.25</v>
      </c>
      <c r="K368" s="1" t="s">
        <v>768</v>
      </c>
      <c r="L368" s="1" t="s">
        <v>18</v>
      </c>
      <c r="M368">
        <v>0</v>
      </c>
      <c r="N368">
        <v>1</v>
      </c>
      <c r="O368">
        <v>0</v>
      </c>
      <c r="P368" t="s">
        <v>1740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f t="shared" si="15"/>
        <v>1.3618761518134992</v>
      </c>
      <c r="W368">
        <f t="shared" si="16"/>
        <v>0.79606445234832413</v>
      </c>
      <c r="X368">
        <f t="shared" si="17"/>
        <v>0.22807512612883141</v>
      </c>
    </row>
    <row r="369" spans="1:24" x14ac:dyDescent="0.25">
      <c r="A369">
        <v>368</v>
      </c>
      <c r="B369">
        <v>1</v>
      </c>
      <c r="C369">
        <v>3</v>
      </c>
      <c r="D369" s="1" t="s">
        <v>769</v>
      </c>
      <c r="E369">
        <v>1</v>
      </c>
      <c r="F369" s="1">
        <v>35.898148148148145</v>
      </c>
      <c r="G369">
        <v>0</v>
      </c>
      <c r="H369">
        <v>0</v>
      </c>
      <c r="I369" s="1" t="s">
        <v>770</v>
      </c>
      <c r="J369">
        <v>7.2291999999999996</v>
      </c>
      <c r="K369" s="1" t="s">
        <v>48</v>
      </c>
      <c r="L369" s="1" t="s">
        <v>18</v>
      </c>
      <c r="M369">
        <v>0</v>
      </c>
      <c r="N369">
        <v>1</v>
      </c>
      <c r="O369">
        <v>0</v>
      </c>
      <c r="P369" t="s">
        <v>1740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f t="shared" si="15"/>
        <v>1.3618761518134992</v>
      </c>
      <c r="W369">
        <f t="shared" si="16"/>
        <v>0.79606445234832413</v>
      </c>
      <c r="X369">
        <f t="shared" si="17"/>
        <v>0.22807512612883141</v>
      </c>
    </row>
    <row r="370" spans="1:24" x14ac:dyDescent="0.25">
      <c r="A370">
        <v>369</v>
      </c>
      <c r="B370">
        <v>1</v>
      </c>
      <c r="C370">
        <v>3</v>
      </c>
      <c r="D370" s="1" t="s">
        <v>771</v>
      </c>
      <c r="E370">
        <v>1</v>
      </c>
      <c r="F370" s="1">
        <v>21.98581560283688</v>
      </c>
      <c r="G370">
        <v>0</v>
      </c>
      <c r="H370">
        <v>0</v>
      </c>
      <c r="I370" s="1" t="s">
        <v>772</v>
      </c>
      <c r="J370">
        <v>7.75</v>
      </c>
      <c r="K370" s="1" t="s">
        <v>48</v>
      </c>
      <c r="L370" s="1" t="s">
        <v>28</v>
      </c>
      <c r="M370">
        <v>0</v>
      </c>
      <c r="N370">
        <v>0</v>
      </c>
      <c r="O370">
        <v>1</v>
      </c>
      <c r="P370" t="s">
        <v>1739</v>
      </c>
      <c r="Q370">
        <v>1</v>
      </c>
      <c r="R370">
        <v>0</v>
      </c>
      <c r="S370">
        <v>0</v>
      </c>
      <c r="T370">
        <v>0</v>
      </c>
      <c r="U370">
        <v>0</v>
      </c>
      <c r="V370">
        <f t="shared" si="15"/>
        <v>0.87219584275330231</v>
      </c>
      <c r="W370">
        <f t="shared" si="16"/>
        <v>0.70520240168703408</v>
      </c>
      <c r="X370">
        <f t="shared" si="17"/>
        <v>0.34927042278209691</v>
      </c>
    </row>
    <row r="371" spans="1:24" x14ac:dyDescent="0.25">
      <c r="A371">
        <v>370</v>
      </c>
      <c r="B371">
        <v>1</v>
      </c>
      <c r="C371">
        <v>1</v>
      </c>
      <c r="D371" s="1" t="s">
        <v>773</v>
      </c>
      <c r="E371">
        <v>1</v>
      </c>
      <c r="F371">
        <v>24</v>
      </c>
      <c r="G371">
        <v>0</v>
      </c>
      <c r="H371">
        <v>0</v>
      </c>
      <c r="I371" s="1" t="s">
        <v>774</v>
      </c>
      <c r="J371">
        <v>69.3</v>
      </c>
      <c r="K371" s="1" t="s">
        <v>775</v>
      </c>
      <c r="L371" s="1" t="s">
        <v>18</v>
      </c>
      <c r="M371">
        <v>0</v>
      </c>
      <c r="N371">
        <v>1</v>
      </c>
      <c r="O371">
        <v>0</v>
      </c>
      <c r="P371" t="s">
        <v>1747</v>
      </c>
      <c r="Q371">
        <v>0</v>
      </c>
      <c r="R371">
        <v>1</v>
      </c>
      <c r="S371">
        <v>0</v>
      </c>
      <c r="T371">
        <v>0</v>
      </c>
      <c r="U371">
        <v>0</v>
      </c>
      <c r="V371">
        <f t="shared" si="15"/>
        <v>1.3618761518134992</v>
      </c>
      <c r="W371">
        <f t="shared" si="16"/>
        <v>0.79606445234832413</v>
      </c>
      <c r="X371">
        <f t="shared" si="17"/>
        <v>0.22807512612883141</v>
      </c>
    </row>
    <row r="372" spans="1:24" x14ac:dyDescent="0.25">
      <c r="A372">
        <v>371</v>
      </c>
      <c r="B372">
        <v>1</v>
      </c>
      <c r="C372">
        <v>1</v>
      </c>
      <c r="D372" s="1" t="s">
        <v>776</v>
      </c>
      <c r="E372">
        <v>0</v>
      </c>
      <c r="F372">
        <v>25</v>
      </c>
      <c r="G372">
        <v>1</v>
      </c>
      <c r="H372">
        <v>0</v>
      </c>
      <c r="I372" s="1" t="s">
        <v>777</v>
      </c>
      <c r="J372">
        <v>55.441699999999997</v>
      </c>
      <c r="K372" s="1" t="s">
        <v>778</v>
      </c>
      <c r="L372" s="1" t="s">
        <v>18</v>
      </c>
      <c r="M372">
        <v>0</v>
      </c>
      <c r="N372">
        <v>1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f t="shared" si="15"/>
        <v>0</v>
      </c>
      <c r="W372">
        <f t="shared" si="16"/>
        <v>0.5</v>
      </c>
      <c r="X372">
        <f t="shared" si="17"/>
        <v>0.69314718055994529</v>
      </c>
    </row>
    <row r="373" spans="1:24" x14ac:dyDescent="0.25">
      <c r="A373">
        <v>372</v>
      </c>
      <c r="B373">
        <v>0</v>
      </c>
      <c r="C373">
        <v>3</v>
      </c>
      <c r="D373" s="1" t="s">
        <v>779</v>
      </c>
      <c r="E373">
        <v>0</v>
      </c>
      <c r="F373">
        <v>18</v>
      </c>
      <c r="G373">
        <v>1</v>
      </c>
      <c r="H373">
        <v>0</v>
      </c>
      <c r="I373" s="1" t="s">
        <v>780</v>
      </c>
      <c r="J373">
        <v>6.4958</v>
      </c>
      <c r="K373" s="1" t="s">
        <v>48</v>
      </c>
      <c r="L373" s="1" t="s">
        <v>14</v>
      </c>
      <c r="M373">
        <v>1</v>
      </c>
      <c r="N373">
        <v>0</v>
      </c>
      <c r="O373">
        <v>0</v>
      </c>
      <c r="P373" t="s">
        <v>1741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f t="shared" si="15"/>
        <v>0</v>
      </c>
      <c r="W373">
        <f t="shared" si="16"/>
        <v>0.5</v>
      </c>
      <c r="X373">
        <f t="shared" si="17"/>
        <v>0.69314718055994529</v>
      </c>
    </row>
    <row r="374" spans="1:24" x14ac:dyDescent="0.25">
      <c r="A374">
        <v>373</v>
      </c>
      <c r="B374">
        <v>0</v>
      </c>
      <c r="C374">
        <v>3</v>
      </c>
      <c r="D374" s="1" t="s">
        <v>781</v>
      </c>
      <c r="E374">
        <v>0</v>
      </c>
      <c r="F374">
        <v>19</v>
      </c>
      <c r="G374">
        <v>0</v>
      </c>
      <c r="H374">
        <v>0</v>
      </c>
      <c r="I374" s="1" t="s">
        <v>782</v>
      </c>
      <c r="J374">
        <v>8.0500000000000007</v>
      </c>
      <c r="K374" s="1" t="s">
        <v>48</v>
      </c>
      <c r="L374" s="1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f t="shared" si="15"/>
        <v>0</v>
      </c>
      <c r="W374">
        <f t="shared" si="16"/>
        <v>0.5</v>
      </c>
      <c r="X374">
        <f t="shared" si="17"/>
        <v>0.69314718055994529</v>
      </c>
    </row>
    <row r="375" spans="1:24" x14ac:dyDescent="0.25">
      <c r="A375">
        <v>374</v>
      </c>
      <c r="B375">
        <v>0</v>
      </c>
      <c r="C375">
        <v>1</v>
      </c>
      <c r="D375" s="1" t="s">
        <v>783</v>
      </c>
      <c r="E375">
        <v>0</v>
      </c>
      <c r="F375">
        <v>22</v>
      </c>
      <c r="G375">
        <v>0</v>
      </c>
      <c r="H375">
        <v>0</v>
      </c>
      <c r="I375" s="1" t="s">
        <v>573</v>
      </c>
      <c r="J375">
        <v>135.63329999999999</v>
      </c>
      <c r="K375" s="1" t="s">
        <v>48</v>
      </c>
      <c r="L375" s="1" t="s">
        <v>18</v>
      </c>
      <c r="M375">
        <v>0</v>
      </c>
      <c r="N375">
        <v>1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f t="shared" si="15"/>
        <v>0</v>
      </c>
      <c r="W375">
        <f t="shared" si="16"/>
        <v>0.5</v>
      </c>
      <c r="X375">
        <f t="shared" si="17"/>
        <v>0.69314718055994529</v>
      </c>
    </row>
    <row r="376" spans="1:24" x14ac:dyDescent="0.25">
      <c r="A376">
        <v>375</v>
      </c>
      <c r="B376">
        <v>0</v>
      </c>
      <c r="C376">
        <v>3</v>
      </c>
      <c r="D376" s="1" t="s">
        <v>784</v>
      </c>
      <c r="E376">
        <v>1</v>
      </c>
      <c r="F376">
        <v>3</v>
      </c>
      <c r="G376">
        <v>3</v>
      </c>
      <c r="H376">
        <v>1</v>
      </c>
      <c r="I376" s="1" t="s">
        <v>33</v>
      </c>
      <c r="J376">
        <v>21.074999999999999</v>
      </c>
      <c r="K376" s="1" t="s">
        <v>48</v>
      </c>
      <c r="L376" s="1" t="s">
        <v>14</v>
      </c>
      <c r="M376">
        <v>1</v>
      </c>
      <c r="N376">
        <v>0</v>
      </c>
      <c r="O376">
        <v>0</v>
      </c>
      <c r="P376" t="s">
        <v>1739</v>
      </c>
      <c r="Q376">
        <v>1</v>
      </c>
      <c r="R376">
        <v>0</v>
      </c>
      <c r="S376">
        <v>0</v>
      </c>
      <c r="T376">
        <v>0</v>
      </c>
      <c r="U376">
        <v>0</v>
      </c>
      <c r="V376">
        <f t="shared" si="15"/>
        <v>0.87219584275330231</v>
      </c>
      <c r="W376">
        <f t="shared" si="16"/>
        <v>0.70520240168703408</v>
      </c>
      <c r="X376">
        <f t="shared" si="17"/>
        <v>1.2214662655353992</v>
      </c>
    </row>
    <row r="377" spans="1:24" x14ac:dyDescent="0.25">
      <c r="A377">
        <v>376</v>
      </c>
      <c r="B377">
        <v>1</v>
      </c>
      <c r="C377">
        <v>1</v>
      </c>
      <c r="D377" s="1" t="s">
        <v>785</v>
      </c>
      <c r="E377">
        <v>1</v>
      </c>
      <c r="F377" s="1">
        <v>35.898148148148145</v>
      </c>
      <c r="G377">
        <v>1</v>
      </c>
      <c r="H377">
        <v>0</v>
      </c>
      <c r="I377" s="1" t="s">
        <v>93</v>
      </c>
      <c r="J377">
        <v>82.1708</v>
      </c>
      <c r="K377" s="1" t="s">
        <v>48</v>
      </c>
      <c r="L377" s="1" t="s">
        <v>18</v>
      </c>
      <c r="M377">
        <v>0</v>
      </c>
      <c r="N377">
        <v>1</v>
      </c>
      <c r="O377">
        <v>0</v>
      </c>
      <c r="P377" t="s">
        <v>1740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f t="shared" si="15"/>
        <v>1.3618761518134992</v>
      </c>
      <c r="W377">
        <f t="shared" si="16"/>
        <v>0.79606445234832413</v>
      </c>
      <c r="X377">
        <f t="shared" si="17"/>
        <v>0.22807512612883141</v>
      </c>
    </row>
    <row r="378" spans="1:24" x14ac:dyDescent="0.25">
      <c r="A378">
        <v>377</v>
      </c>
      <c r="B378">
        <v>1</v>
      </c>
      <c r="C378">
        <v>3</v>
      </c>
      <c r="D378" s="1" t="s">
        <v>786</v>
      </c>
      <c r="E378">
        <v>1</v>
      </c>
      <c r="F378">
        <v>22</v>
      </c>
      <c r="G378">
        <v>0</v>
      </c>
      <c r="H378">
        <v>0</v>
      </c>
      <c r="I378" s="1" t="s">
        <v>787</v>
      </c>
      <c r="J378">
        <v>7.25</v>
      </c>
      <c r="K378" s="1" t="s">
        <v>48</v>
      </c>
      <c r="L378" s="1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  <c r="V378">
        <f t="shared" si="15"/>
        <v>0.87219584275330231</v>
      </c>
      <c r="W378">
        <f t="shared" si="16"/>
        <v>0.70520240168703408</v>
      </c>
      <c r="X378">
        <f t="shared" si="17"/>
        <v>0.34927042278209691</v>
      </c>
    </row>
    <row r="379" spans="1:24" x14ac:dyDescent="0.25">
      <c r="A379">
        <v>378</v>
      </c>
      <c r="B379">
        <v>0</v>
      </c>
      <c r="C379">
        <v>1</v>
      </c>
      <c r="D379" s="1" t="s">
        <v>788</v>
      </c>
      <c r="E379">
        <v>0</v>
      </c>
      <c r="F379">
        <v>27</v>
      </c>
      <c r="G379">
        <v>0</v>
      </c>
      <c r="H379">
        <v>2</v>
      </c>
      <c r="I379" s="1" t="s">
        <v>789</v>
      </c>
      <c r="J379">
        <v>211.5</v>
      </c>
      <c r="K379" s="1" t="s">
        <v>790</v>
      </c>
      <c r="L379" s="1" t="s">
        <v>18</v>
      </c>
      <c r="M379">
        <v>0</v>
      </c>
      <c r="N379">
        <v>1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f t="shared" si="15"/>
        <v>0</v>
      </c>
      <c r="W379">
        <f t="shared" si="16"/>
        <v>0.5</v>
      </c>
      <c r="X379">
        <f t="shared" si="17"/>
        <v>0.69314718055994529</v>
      </c>
    </row>
    <row r="380" spans="1:24" x14ac:dyDescent="0.25">
      <c r="A380">
        <v>379</v>
      </c>
      <c r="B380">
        <v>0</v>
      </c>
      <c r="C380">
        <v>3</v>
      </c>
      <c r="D380" s="1" t="s">
        <v>791</v>
      </c>
      <c r="E380">
        <v>0</v>
      </c>
      <c r="F380">
        <v>20</v>
      </c>
      <c r="G380">
        <v>0</v>
      </c>
      <c r="H380">
        <v>0</v>
      </c>
      <c r="I380" s="1" t="s">
        <v>792</v>
      </c>
      <c r="J380">
        <v>4.0125000000000002</v>
      </c>
      <c r="K380" s="1" t="s">
        <v>48</v>
      </c>
      <c r="L380" s="1" t="s">
        <v>18</v>
      </c>
      <c r="M380">
        <v>0</v>
      </c>
      <c r="N380">
        <v>1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f t="shared" si="15"/>
        <v>0</v>
      </c>
      <c r="W380">
        <f t="shared" si="16"/>
        <v>0.5</v>
      </c>
      <c r="X380">
        <f t="shared" si="17"/>
        <v>0.69314718055994529</v>
      </c>
    </row>
    <row r="381" spans="1:24" x14ac:dyDescent="0.25">
      <c r="A381">
        <v>380</v>
      </c>
      <c r="B381">
        <v>0</v>
      </c>
      <c r="C381">
        <v>3</v>
      </c>
      <c r="D381" s="1" t="s">
        <v>793</v>
      </c>
      <c r="E381">
        <v>0</v>
      </c>
      <c r="F381">
        <v>19</v>
      </c>
      <c r="G381">
        <v>0</v>
      </c>
      <c r="H381">
        <v>0</v>
      </c>
      <c r="I381" s="1" t="s">
        <v>794</v>
      </c>
      <c r="J381">
        <v>7.7750000000000004</v>
      </c>
      <c r="K381" s="1" t="s">
        <v>48</v>
      </c>
      <c r="L381" s="1" t="s">
        <v>14</v>
      </c>
      <c r="M381">
        <v>1</v>
      </c>
      <c r="N381">
        <v>0</v>
      </c>
      <c r="O381">
        <v>0</v>
      </c>
      <c r="P381" t="s">
        <v>1741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f t="shared" si="15"/>
        <v>0</v>
      </c>
      <c r="W381">
        <f t="shared" si="16"/>
        <v>0.5</v>
      </c>
      <c r="X381">
        <f t="shared" si="17"/>
        <v>0.69314718055994529</v>
      </c>
    </row>
    <row r="382" spans="1:24" x14ac:dyDescent="0.25">
      <c r="A382">
        <v>381</v>
      </c>
      <c r="B382">
        <v>1</v>
      </c>
      <c r="C382">
        <v>1</v>
      </c>
      <c r="D382" s="1" t="s">
        <v>795</v>
      </c>
      <c r="E382">
        <v>1</v>
      </c>
      <c r="F382">
        <v>42</v>
      </c>
      <c r="G382">
        <v>0</v>
      </c>
      <c r="H382">
        <v>0</v>
      </c>
      <c r="I382" s="1" t="s">
        <v>796</v>
      </c>
      <c r="J382">
        <v>227.52500000000001</v>
      </c>
      <c r="K382" s="1" t="s">
        <v>48</v>
      </c>
      <c r="L382" s="1" t="s">
        <v>18</v>
      </c>
      <c r="M382">
        <v>0</v>
      </c>
      <c r="N382">
        <v>1</v>
      </c>
      <c r="O382">
        <v>0</v>
      </c>
      <c r="P382" t="s">
        <v>1739</v>
      </c>
      <c r="Q382">
        <v>1</v>
      </c>
      <c r="R382">
        <v>0</v>
      </c>
      <c r="S382">
        <v>0</v>
      </c>
      <c r="T382">
        <v>0</v>
      </c>
      <c r="U382">
        <v>0</v>
      </c>
      <c r="V382">
        <f t="shared" si="15"/>
        <v>0.87219584275330231</v>
      </c>
      <c r="W382">
        <f t="shared" si="16"/>
        <v>0.70520240168703408</v>
      </c>
      <c r="X382">
        <f t="shared" si="17"/>
        <v>0.34927042278209691</v>
      </c>
    </row>
    <row r="383" spans="1:24" x14ac:dyDescent="0.25">
      <c r="A383">
        <v>382</v>
      </c>
      <c r="B383">
        <v>1</v>
      </c>
      <c r="C383">
        <v>3</v>
      </c>
      <c r="D383" s="1" t="s">
        <v>797</v>
      </c>
      <c r="E383">
        <v>1</v>
      </c>
      <c r="F383">
        <v>1</v>
      </c>
      <c r="G383">
        <v>0</v>
      </c>
      <c r="H383">
        <v>2</v>
      </c>
      <c r="I383" s="1" t="s">
        <v>798</v>
      </c>
      <c r="J383">
        <v>15.7417</v>
      </c>
      <c r="K383" s="1" t="s">
        <v>48</v>
      </c>
      <c r="L383" s="1" t="s">
        <v>18</v>
      </c>
      <c r="M383">
        <v>0</v>
      </c>
      <c r="N383">
        <v>1</v>
      </c>
      <c r="O383">
        <v>0</v>
      </c>
      <c r="P383" t="s">
        <v>1739</v>
      </c>
      <c r="Q383">
        <v>1</v>
      </c>
      <c r="R383">
        <v>0</v>
      </c>
      <c r="S383">
        <v>0</v>
      </c>
      <c r="T383">
        <v>0</v>
      </c>
      <c r="U383">
        <v>0</v>
      </c>
      <c r="V383">
        <f t="shared" si="15"/>
        <v>0.87219584275330231</v>
      </c>
      <c r="W383">
        <f t="shared" si="16"/>
        <v>0.70520240168703408</v>
      </c>
      <c r="X383">
        <f t="shared" si="17"/>
        <v>0.34927042278209691</v>
      </c>
    </row>
    <row r="384" spans="1:24" x14ac:dyDescent="0.25">
      <c r="A384">
        <v>383</v>
      </c>
      <c r="B384">
        <v>0</v>
      </c>
      <c r="C384">
        <v>3</v>
      </c>
      <c r="D384" s="1" t="s">
        <v>799</v>
      </c>
      <c r="E384">
        <v>0</v>
      </c>
      <c r="F384">
        <v>32</v>
      </c>
      <c r="G384">
        <v>0</v>
      </c>
      <c r="H384">
        <v>0</v>
      </c>
      <c r="I384" s="1" t="s">
        <v>800</v>
      </c>
      <c r="J384">
        <v>7.9249999999999998</v>
      </c>
      <c r="K384" s="1" t="s">
        <v>48</v>
      </c>
      <c r="L384" s="1" t="s">
        <v>14</v>
      </c>
      <c r="M384">
        <v>1</v>
      </c>
      <c r="N384">
        <v>0</v>
      </c>
      <c r="O384">
        <v>0</v>
      </c>
      <c r="P384" t="s">
        <v>1741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f t="shared" si="15"/>
        <v>0</v>
      </c>
      <c r="W384">
        <f t="shared" si="16"/>
        <v>0.5</v>
      </c>
      <c r="X384">
        <f t="shared" si="17"/>
        <v>0.69314718055994529</v>
      </c>
    </row>
    <row r="385" spans="1:24" x14ac:dyDescent="0.25">
      <c r="A385">
        <v>384</v>
      </c>
      <c r="B385">
        <v>1</v>
      </c>
      <c r="C385">
        <v>1</v>
      </c>
      <c r="D385" s="1" t="s">
        <v>801</v>
      </c>
      <c r="E385">
        <v>1</v>
      </c>
      <c r="F385">
        <v>35</v>
      </c>
      <c r="G385">
        <v>1</v>
      </c>
      <c r="H385">
        <v>0</v>
      </c>
      <c r="I385" s="1" t="s">
        <v>95</v>
      </c>
      <c r="J385">
        <v>52</v>
      </c>
      <c r="K385" s="1" t="s">
        <v>48</v>
      </c>
      <c r="L385" s="1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f t="shared" si="15"/>
        <v>1.3618761518134992</v>
      </c>
      <c r="W385">
        <f t="shared" si="16"/>
        <v>0.79606445234832413</v>
      </c>
      <c r="X385">
        <f t="shared" si="17"/>
        <v>0.22807512612883141</v>
      </c>
    </row>
    <row r="386" spans="1:24" x14ac:dyDescent="0.25">
      <c r="A386">
        <v>385</v>
      </c>
      <c r="B386">
        <v>0</v>
      </c>
      <c r="C386">
        <v>3</v>
      </c>
      <c r="D386" s="1" t="s">
        <v>802</v>
      </c>
      <c r="E386">
        <v>0</v>
      </c>
      <c r="F386" s="1">
        <v>32.180156657963444</v>
      </c>
      <c r="G386">
        <v>0</v>
      </c>
      <c r="H386">
        <v>0</v>
      </c>
      <c r="I386" s="1" t="s">
        <v>803</v>
      </c>
      <c r="J386">
        <v>7.8958000000000004</v>
      </c>
      <c r="K386" s="1" t="s">
        <v>48</v>
      </c>
      <c r="L386" s="1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f t="shared" si="15"/>
        <v>0</v>
      </c>
      <c r="W386">
        <f t="shared" si="16"/>
        <v>0.5</v>
      </c>
      <c r="X386">
        <f t="shared" si="17"/>
        <v>0.69314718055994529</v>
      </c>
    </row>
    <row r="387" spans="1:24" x14ac:dyDescent="0.25">
      <c r="A387">
        <v>386</v>
      </c>
      <c r="B387">
        <v>0</v>
      </c>
      <c r="C387">
        <v>2</v>
      </c>
      <c r="D387" s="1" t="s">
        <v>804</v>
      </c>
      <c r="E387">
        <v>0</v>
      </c>
      <c r="F387">
        <v>18</v>
      </c>
      <c r="G387">
        <v>0</v>
      </c>
      <c r="H387">
        <v>0</v>
      </c>
      <c r="I387" s="1" t="s">
        <v>174</v>
      </c>
      <c r="J387">
        <v>73.5</v>
      </c>
      <c r="K387" s="1" t="s">
        <v>48</v>
      </c>
      <c r="L387" s="1" t="s">
        <v>14</v>
      </c>
      <c r="M387">
        <v>1</v>
      </c>
      <c r="N387">
        <v>0</v>
      </c>
      <c r="O387">
        <v>0</v>
      </c>
      <c r="P387" t="s">
        <v>1741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f t="shared" ref="V387:V450" si="18">$AB$1+C387*$AB$2+E387*$AB$3+F387*$AB$4+G387*$AB$5+H387*$AB$6+J387*$AB$7+M387*$AB$8+N387*$AB$9+O387*$AB$10+Q387*$AB$11+R387*$AB$12+S387*$AB$13+T387*$AB$14+U387*$AB$15</f>
        <v>0</v>
      </c>
      <c r="W387">
        <f t="shared" ref="W387:W450" si="19">1/(1+EXP(-V387))</f>
        <v>0.5</v>
      </c>
      <c r="X387">
        <f t="shared" ref="X387:X450" si="20">-(B387*LN(MAX(0.000001,MIN(0.999999,W387))) +(1-B387)*LN(MAX(0.000001,MIN(0.999999,1-W387))))</f>
        <v>0.69314718055994529</v>
      </c>
    </row>
    <row r="388" spans="1:24" x14ac:dyDescent="0.25">
      <c r="A388">
        <v>387</v>
      </c>
      <c r="B388">
        <v>0</v>
      </c>
      <c r="C388">
        <v>3</v>
      </c>
      <c r="D388" s="1" t="s">
        <v>805</v>
      </c>
      <c r="E388">
        <v>0</v>
      </c>
      <c r="F388">
        <v>1</v>
      </c>
      <c r="G388">
        <v>5</v>
      </c>
      <c r="H388">
        <v>2</v>
      </c>
      <c r="I388" s="1" t="s">
        <v>146</v>
      </c>
      <c r="J388">
        <v>46.9</v>
      </c>
      <c r="K388" s="1" t="s">
        <v>48</v>
      </c>
      <c r="L388" s="1" t="s">
        <v>14</v>
      </c>
      <c r="M388">
        <v>1</v>
      </c>
      <c r="N388">
        <v>0</v>
      </c>
      <c r="O388">
        <v>0</v>
      </c>
      <c r="P388" t="s">
        <v>1742</v>
      </c>
      <c r="Q388">
        <v>0</v>
      </c>
      <c r="R388">
        <v>0</v>
      </c>
      <c r="S388">
        <v>0</v>
      </c>
      <c r="T388">
        <v>1</v>
      </c>
      <c r="U388">
        <v>0</v>
      </c>
      <c r="V388">
        <f t="shared" si="18"/>
        <v>0.21766252466937555</v>
      </c>
      <c r="W388">
        <f t="shared" si="19"/>
        <v>0.55420180681382414</v>
      </c>
      <c r="X388">
        <f t="shared" si="20"/>
        <v>0.8078889110081291</v>
      </c>
    </row>
    <row r="389" spans="1:24" x14ac:dyDescent="0.25">
      <c r="A389">
        <v>388</v>
      </c>
      <c r="B389">
        <v>1</v>
      </c>
      <c r="C389">
        <v>2</v>
      </c>
      <c r="D389" s="1" t="s">
        <v>806</v>
      </c>
      <c r="E389">
        <v>1</v>
      </c>
      <c r="F389">
        <v>36</v>
      </c>
      <c r="G389">
        <v>0</v>
      </c>
      <c r="H389">
        <v>0</v>
      </c>
      <c r="I389" s="1" t="s">
        <v>807</v>
      </c>
      <c r="J389">
        <v>13</v>
      </c>
      <c r="K389" s="1" t="s">
        <v>48</v>
      </c>
      <c r="L389" s="1" t="s">
        <v>14</v>
      </c>
      <c r="M389">
        <v>1</v>
      </c>
      <c r="N389">
        <v>0</v>
      </c>
      <c r="O389">
        <v>0</v>
      </c>
      <c r="P389" t="s">
        <v>1739</v>
      </c>
      <c r="Q389">
        <v>1</v>
      </c>
      <c r="R389">
        <v>0</v>
      </c>
      <c r="S389">
        <v>0</v>
      </c>
      <c r="T389">
        <v>0</v>
      </c>
      <c r="U389">
        <v>0</v>
      </c>
      <c r="V389">
        <f t="shared" si="18"/>
        <v>0.87219584275330231</v>
      </c>
      <c r="W389">
        <f t="shared" si="19"/>
        <v>0.70520240168703408</v>
      </c>
      <c r="X389">
        <f t="shared" si="20"/>
        <v>0.34927042278209691</v>
      </c>
    </row>
    <row r="390" spans="1:24" x14ac:dyDescent="0.25">
      <c r="A390">
        <v>389</v>
      </c>
      <c r="B390">
        <v>0</v>
      </c>
      <c r="C390">
        <v>3</v>
      </c>
      <c r="D390" s="1" t="s">
        <v>808</v>
      </c>
      <c r="E390">
        <v>0</v>
      </c>
      <c r="F390" s="1">
        <v>32.180156657963444</v>
      </c>
      <c r="G390">
        <v>0</v>
      </c>
      <c r="H390">
        <v>0</v>
      </c>
      <c r="I390" s="1" t="s">
        <v>809</v>
      </c>
      <c r="J390">
        <v>7.7291999999999996</v>
      </c>
      <c r="K390" s="1" t="s">
        <v>48</v>
      </c>
      <c r="L390" s="1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f t="shared" si="18"/>
        <v>0</v>
      </c>
      <c r="W390">
        <f t="shared" si="19"/>
        <v>0.5</v>
      </c>
      <c r="X390">
        <f t="shared" si="20"/>
        <v>0.69314718055994529</v>
      </c>
    </row>
    <row r="391" spans="1:24" x14ac:dyDescent="0.25">
      <c r="A391">
        <v>390</v>
      </c>
      <c r="B391">
        <v>1</v>
      </c>
      <c r="C391">
        <v>2</v>
      </c>
      <c r="D391" s="1" t="s">
        <v>810</v>
      </c>
      <c r="E391">
        <v>1</v>
      </c>
      <c r="F391">
        <v>17</v>
      </c>
      <c r="G391">
        <v>0</v>
      </c>
      <c r="H391">
        <v>0</v>
      </c>
      <c r="I391" s="1" t="s">
        <v>811</v>
      </c>
      <c r="J391">
        <v>12</v>
      </c>
      <c r="K391" s="1" t="s">
        <v>48</v>
      </c>
      <c r="L391" s="1" t="s">
        <v>18</v>
      </c>
      <c r="M391">
        <v>0</v>
      </c>
      <c r="N391">
        <v>1</v>
      </c>
      <c r="O391">
        <v>0</v>
      </c>
      <c r="P391" t="s">
        <v>1739</v>
      </c>
      <c r="Q391">
        <v>1</v>
      </c>
      <c r="R391">
        <v>0</v>
      </c>
      <c r="S391">
        <v>0</v>
      </c>
      <c r="T391">
        <v>0</v>
      </c>
      <c r="U391">
        <v>0</v>
      </c>
      <c r="V391">
        <f t="shared" si="18"/>
        <v>0.87219584275330231</v>
      </c>
      <c r="W391">
        <f t="shared" si="19"/>
        <v>0.70520240168703408</v>
      </c>
      <c r="X391">
        <f t="shared" si="20"/>
        <v>0.34927042278209691</v>
      </c>
    </row>
    <row r="392" spans="1:24" x14ac:dyDescent="0.25">
      <c r="A392">
        <v>391</v>
      </c>
      <c r="B392">
        <v>1</v>
      </c>
      <c r="C392">
        <v>1</v>
      </c>
      <c r="D392" s="1" t="s">
        <v>812</v>
      </c>
      <c r="E392">
        <v>0</v>
      </c>
      <c r="F392">
        <v>36</v>
      </c>
      <c r="G392">
        <v>1</v>
      </c>
      <c r="H392">
        <v>2</v>
      </c>
      <c r="I392" s="1" t="s">
        <v>813</v>
      </c>
      <c r="J392">
        <v>120</v>
      </c>
      <c r="K392" s="1" t="s">
        <v>814</v>
      </c>
      <c r="L392" s="1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f t="shared" si="18"/>
        <v>0</v>
      </c>
      <c r="W392">
        <f t="shared" si="19"/>
        <v>0.5</v>
      </c>
      <c r="X392">
        <f t="shared" si="20"/>
        <v>0.69314718055994529</v>
      </c>
    </row>
    <row r="393" spans="1:24" x14ac:dyDescent="0.25">
      <c r="A393">
        <v>392</v>
      </c>
      <c r="B393">
        <v>1</v>
      </c>
      <c r="C393">
        <v>3</v>
      </c>
      <c r="D393" s="1" t="s">
        <v>815</v>
      </c>
      <c r="E393">
        <v>0</v>
      </c>
      <c r="F393">
        <v>21</v>
      </c>
      <c r="G393">
        <v>0</v>
      </c>
      <c r="H393">
        <v>0</v>
      </c>
      <c r="I393" s="1" t="s">
        <v>816</v>
      </c>
      <c r="J393">
        <v>7.7957999999999998</v>
      </c>
      <c r="K393" s="1" t="s">
        <v>48</v>
      </c>
      <c r="L393" s="1" t="s">
        <v>14</v>
      </c>
      <c r="M393">
        <v>1</v>
      </c>
      <c r="N393">
        <v>0</v>
      </c>
      <c r="O393">
        <v>0</v>
      </c>
      <c r="P393" t="s">
        <v>1741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f t="shared" si="18"/>
        <v>0</v>
      </c>
      <c r="W393">
        <f t="shared" si="19"/>
        <v>0.5</v>
      </c>
      <c r="X393">
        <f t="shared" si="20"/>
        <v>0.69314718055994529</v>
      </c>
    </row>
    <row r="394" spans="1:24" x14ac:dyDescent="0.25">
      <c r="A394">
        <v>393</v>
      </c>
      <c r="B394">
        <v>0</v>
      </c>
      <c r="C394">
        <v>3</v>
      </c>
      <c r="D394" s="1" t="s">
        <v>817</v>
      </c>
      <c r="E394">
        <v>0</v>
      </c>
      <c r="F394">
        <v>28</v>
      </c>
      <c r="G394">
        <v>2</v>
      </c>
      <c r="H394">
        <v>0</v>
      </c>
      <c r="I394" s="1" t="s">
        <v>818</v>
      </c>
      <c r="J394">
        <v>7.9249999999999998</v>
      </c>
      <c r="K394" s="1" t="s">
        <v>48</v>
      </c>
      <c r="L394" s="1" t="s">
        <v>14</v>
      </c>
      <c r="M394">
        <v>1</v>
      </c>
      <c r="N394">
        <v>0</v>
      </c>
      <c r="O394">
        <v>0</v>
      </c>
      <c r="P394" t="s">
        <v>1741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f t="shared" si="18"/>
        <v>0</v>
      </c>
      <c r="W394">
        <f t="shared" si="19"/>
        <v>0.5</v>
      </c>
      <c r="X394">
        <f t="shared" si="20"/>
        <v>0.69314718055994529</v>
      </c>
    </row>
    <row r="395" spans="1:24" x14ac:dyDescent="0.25">
      <c r="A395">
        <v>394</v>
      </c>
      <c r="B395">
        <v>1</v>
      </c>
      <c r="C395">
        <v>1</v>
      </c>
      <c r="D395" s="1" t="s">
        <v>819</v>
      </c>
      <c r="E395">
        <v>1</v>
      </c>
      <c r="F395">
        <v>23</v>
      </c>
      <c r="G395">
        <v>1</v>
      </c>
      <c r="H395">
        <v>0</v>
      </c>
      <c r="I395" s="1" t="s">
        <v>462</v>
      </c>
      <c r="J395">
        <v>113.27500000000001</v>
      </c>
      <c r="K395" s="1" t="s">
        <v>463</v>
      </c>
      <c r="L395" s="1" t="s">
        <v>18</v>
      </c>
      <c r="M395">
        <v>0</v>
      </c>
      <c r="N395">
        <v>1</v>
      </c>
      <c r="O395">
        <v>0</v>
      </c>
      <c r="P395" t="s">
        <v>1739</v>
      </c>
      <c r="Q395">
        <v>1</v>
      </c>
      <c r="R395">
        <v>0</v>
      </c>
      <c r="S395">
        <v>0</v>
      </c>
      <c r="T395">
        <v>0</v>
      </c>
      <c r="U395">
        <v>0</v>
      </c>
      <c r="V395">
        <f t="shared" si="18"/>
        <v>0.87219584275330231</v>
      </c>
      <c r="W395">
        <f t="shared" si="19"/>
        <v>0.70520240168703408</v>
      </c>
      <c r="X395">
        <f t="shared" si="20"/>
        <v>0.34927042278209691</v>
      </c>
    </row>
    <row r="396" spans="1:24" x14ac:dyDescent="0.25">
      <c r="A396">
        <v>395</v>
      </c>
      <c r="B396">
        <v>1</v>
      </c>
      <c r="C396">
        <v>3</v>
      </c>
      <c r="D396" s="1" t="s">
        <v>820</v>
      </c>
      <c r="E396">
        <v>1</v>
      </c>
      <c r="F396">
        <v>24</v>
      </c>
      <c r="G396">
        <v>0</v>
      </c>
      <c r="H396">
        <v>2</v>
      </c>
      <c r="I396" s="1" t="s">
        <v>39</v>
      </c>
      <c r="J396">
        <v>16.7</v>
      </c>
      <c r="K396" s="1" t="s">
        <v>40</v>
      </c>
      <c r="L396" s="1" t="s">
        <v>14</v>
      </c>
      <c r="M396">
        <v>1</v>
      </c>
      <c r="N396">
        <v>0</v>
      </c>
      <c r="O396">
        <v>0</v>
      </c>
      <c r="P396" t="s">
        <v>1740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f t="shared" si="18"/>
        <v>1.3618761518134992</v>
      </c>
      <c r="W396">
        <f t="shared" si="19"/>
        <v>0.79606445234832413</v>
      </c>
      <c r="X396">
        <f t="shared" si="20"/>
        <v>0.22807512612883141</v>
      </c>
    </row>
    <row r="397" spans="1:24" x14ac:dyDescent="0.25">
      <c r="A397">
        <v>396</v>
      </c>
      <c r="B397">
        <v>0</v>
      </c>
      <c r="C397">
        <v>3</v>
      </c>
      <c r="D397" s="1" t="s">
        <v>821</v>
      </c>
      <c r="E397">
        <v>0</v>
      </c>
      <c r="F397">
        <v>22</v>
      </c>
      <c r="G397">
        <v>0</v>
      </c>
      <c r="H397">
        <v>0</v>
      </c>
      <c r="I397" s="1" t="s">
        <v>822</v>
      </c>
      <c r="J397">
        <v>7.7957999999999998</v>
      </c>
      <c r="K397" s="1" t="s">
        <v>48</v>
      </c>
      <c r="L397" s="1" t="s">
        <v>14</v>
      </c>
      <c r="M397">
        <v>1</v>
      </c>
      <c r="N397">
        <v>0</v>
      </c>
      <c r="O397">
        <v>0</v>
      </c>
      <c r="P397" t="s">
        <v>1741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f t="shared" si="18"/>
        <v>0</v>
      </c>
      <c r="W397">
        <f t="shared" si="19"/>
        <v>0.5</v>
      </c>
      <c r="X397">
        <f t="shared" si="20"/>
        <v>0.69314718055994529</v>
      </c>
    </row>
    <row r="398" spans="1:24" x14ac:dyDescent="0.25">
      <c r="A398">
        <v>397</v>
      </c>
      <c r="B398">
        <v>0</v>
      </c>
      <c r="C398">
        <v>3</v>
      </c>
      <c r="D398" s="1" t="s">
        <v>823</v>
      </c>
      <c r="E398">
        <v>1</v>
      </c>
      <c r="F398">
        <v>31</v>
      </c>
      <c r="G398">
        <v>0</v>
      </c>
      <c r="H398">
        <v>0</v>
      </c>
      <c r="I398" s="1" t="s">
        <v>824</v>
      </c>
      <c r="J398">
        <v>7.8541999999999996</v>
      </c>
      <c r="K398" s="1" t="s">
        <v>48</v>
      </c>
      <c r="L398" s="1" t="s">
        <v>14</v>
      </c>
      <c r="M398">
        <v>1</v>
      </c>
      <c r="N398">
        <v>0</v>
      </c>
      <c r="O398">
        <v>0</v>
      </c>
      <c r="P398" t="s">
        <v>1739</v>
      </c>
      <c r="Q398">
        <v>1</v>
      </c>
      <c r="R398">
        <v>0</v>
      </c>
      <c r="S398">
        <v>0</v>
      </c>
      <c r="T398">
        <v>0</v>
      </c>
      <c r="U398">
        <v>0</v>
      </c>
      <c r="V398">
        <f t="shared" si="18"/>
        <v>0.87219584275330231</v>
      </c>
      <c r="W398">
        <f t="shared" si="19"/>
        <v>0.70520240168703408</v>
      </c>
      <c r="X398">
        <f t="shared" si="20"/>
        <v>1.2214662655353992</v>
      </c>
    </row>
    <row r="399" spans="1:24" x14ac:dyDescent="0.25">
      <c r="A399">
        <v>398</v>
      </c>
      <c r="B399">
        <v>0</v>
      </c>
      <c r="C399">
        <v>2</v>
      </c>
      <c r="D399" s="1" t="s">
        <v>825</v>
      </c>
      <c r="E399">
        <v>0</v>
      </c>
      <c r="F399">
        <v>46</v>
      </c>
      <c r="G399">
        <v>0</v>
      </c>
      <c r="H399">
        <v>0</v>
      </c>
      <c r="I399" s="1" t="s">
        <v>826</v>
      </c>
      <c r="J399">
        <v>26</v>
      </c>
      <c r="K399" s="1" t="s">
        <v>48</v>
      </c>
      <c r="L399" s="1" t="s">
        <v>14</v>
      </c>
      <c r="M399">
        <v>1</v>
      </c>
      <c r="N399">
        <v>0</v>
      </c>
      <c r="O399">
        <v>0</v>
      </c>
      <c r="P399" t="s">
        <v>1741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f t="shared" si="18"/>
        <v>0</v>
      </c>
      <c r="W399">
        <f t="shared" si="19"/>
        <v>0.5</v>
      </c>
      <c r="X399">
        <f t="shared" si="20"/>
        <v>0.69314718055994529</v>
      </c>
    </row>
    <row r="400" spans="1:24" x14ac:dyDescent="0.25">
      <c r="A400">
        <v>399</v>
      </c>
      <c r="B400">
        <v>0</v>
      </c>
      <c r="C400">
        <v>2</v>
      </c>
      <c r="D400" s="1" t="s">
        <v>827</v>
      </c>
      <c r="E400">
        <v>0</v>
      </c>
      <c r="F400">
        <v>23</v>
      </c>
      <c r="G400">
        <v>0</v>
      </c>
      <c r="H400">
        <v>0</v>
      </c>
      <c r="I400" s="1" t="s">
        <v>828</v>
      </c>
      <c r="J400">
        <v>10.5</v>
      </c>
      <c r="K400" s="1" t="s">
        <v>48</v>
      </c>
      <c r="L400" s="1" t="s">
        <v>14</v>
      </c>
      <c r="M400">
        <v>1</v>
      </c>
      <c r="N400">
        <v>0</v>
      </c>
      <c r="O400">
        <v>0</v>
      </c>
      <c r="P400" t="s">
        <v>1746</v>
      </c>
      <c r="Q400">
        <v>0</v>
      </c>
      <c r="R400">
        <v>0</v>
      </c>
      <c r="S400">
        <v>0</v>
      </c>
      <c r="T400">
        <v>0</v>
      </c>
      <c r="U400">
        <v>1</v>
      </c>
      <c r="V400">
        <f t="shared" si="18"/>
        <v>0</v>
      </c>
      <c r="W400">
        <f t="shared" si="19"/>
        <v>0.5</v>
      </c>
      <c r="X400">
        <f t="shared" si="20"/>
        <v>0.69314718055994529</v>
      </c>
    </row>
    <row r="401" spans="1:24" x14ac:dyDescent="0.25">
      <c r="A401">
        <v>400</v>
      </c>
      <c r="B401">
        <v>1</v>
      </c>
      <c r="C401">
        <v>2</v>
      </c>
      <c r="D401" s="1" t="s">
        <v>829</v>
      </c>
      <c r="E401">
        <v>1</v>
      </c>
      <c r="F401">
        <v>28</v>
      </c>
      <c r="G401">
        <v>0</v>
      </c>
      <c r="H401">
        <v>0</v>
      </c>
      <c r="I401" s="1" t="s">
        <v>830</v>
      </c>
      <c r="J401">
        <v>12.65</v>
      </c>
      <c r="K401" s="1" t="s">
        <v>48</v>
      </c>
      <c r="L401" s="1" t="s">
        <v>14</v>
      </c>
      <c r="M401">
        <v>1</v>
      </c>
      <c r="N401">
        <v>0</v>
      </c>
      <c r="O401">
        <v>0</v>
      </c>
      <c r="P401" t="s">
        <v>1740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f t="shared" si="18"/>
        <v>1.3618761518134992</v>
      </c>
      <c r="W401">
        <f t="shared" si="19"/>
        <v>0.79606445234832413</v>
      </c>
      <c r="X401">
        <f t="shared" si="20"/>
        <v>0.22807512612883141</v>
      </c>
    </row>
    <row r="402" spans="1:24" x14ac:dyDescent="0.25">
      <c r="A402">
        <v>401</v>
      </c>
      <c r="B402">
        <v>1</v>
      </c>
      <c r="C402">
        <v>3</v>
      </c>
      <c r="D402" s="1" t="s">
        <v>831</v>
      </c>
      <c r="E402">
        <v>0</v>
      </c>
      <c r="F402">
        <v>39</v>
      </c>
      <c r="G402">
        <v>0</v>
      </c>
      <c r="H402">
        <v>0</v>
      </c>
      <c r="I402" s="1" t="s">
        <v>832</v>
      </c>
      <c r="J402">
        <v>7.9249999999999998</v>
      </c>
      <c r="K402" s="1" t="s">
        <v>48</v>
      </c>
      <c r="L402" s="1" t="s">
        <v>14</v>
      </c>
      <c r="M402">
        <v>1</v>
      </c>
      <c r="N402">
        <v>0</v>
      </c>
      <c r="O402">
        <v>0</v>
      </c>
      <c r="P402" t="s">
        <v>1741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f t="shared" si="18"/>
        <v>0</v>
      </c>
      <c r="W402">
        <f t="shared" si="19"/>
        <v>0.5</v>
      </c>
      <c r="X402">
        <f t="shared" si="20"/>
        <v>0.69314718055994529</v>
      </c>
    </row>
    <row r="403" spans="1:24" x14ac:dyDescent="0.25">
      <c r="A403">
        <v>402</v>
      </c>
      <c r="B403">
        <v>0</v>
      </c>
      <c r="C403">
        <v>3</v>
      </c>
      <c r="D403" s="1" t="s">
        <v>833</v>
      </c>
      <c r="E403">
        <v>0</v>
      </c>
      <c r="F403">
        <v>26</v>
      </c>
      <c r="G403">
        <v>0</v>
      </c>
      <c r="H403">
        <v>0</v>
      </c>
      <c r="I403" s="1" t="s">
        <v>834</v>
      </c>
      <c r="J403">
        <v>8.0500000000000007</v>
      </c>
      <c r="K403" s="1" t="s">
        <v>48</v>
      </c>
      <c r="L403" s="1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f t="shared" si="18"/>
        <v>0</v>
      </c>
      <c r="W403">
        <f t="shared" si="19"/>
        <v>0.5</v>
      </c>
      <c r="X403">
        <f t="shared" si="20"/>
        <v>0.69314718055994529</v>
      </c>
    </row>
    <row r="404" spans="1:24" x14ac:dyDescent="0.25">
      <c r="A404">
        <v>403</v>
      </c>
      <c r="B404">
        <v>0</v>
      </c>
      <c r="C404">
        <v>3</v>
      </c>
      <c r="D404" s="1" t="s">
        <v>835</v>
      </c>
      <c r="E404">
        <v>1</v>
      </c>
      <c r="F404">
        <v>21</v>
      </c>
      <c r="G404">
        <v>1</v>
      </c>
      <c r="H404">
        <v>0</v>
      </c>
      <c r="I404" s="1" t="s">
        <v>836</v>
      </c>
      <c r="J404">
        <v>9.8249999999999993</v>
      </c>
      <c r="K404" s="1" t="s">
        <v>48</v>
      </c>
      <c r="L404" s="1" t="s">
        <v>14</v>
      </c>
      <c r="M404">
        <v>1</v>
      </c>
      <c r="N404">
        <v>0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  <c r="V404">
        <f t="shared" si="18"/>
        <v>0.87219584275330231</v>
      </c>
      <c r="W404">
        <f t="shared" si="19"/>
        <v>0.70520240168703408</v>
      </c>
      <c r="X404">
        <f t="shared" si="20"/>
        <v>1.2214662655353992</v>
      </c>
    </row>
    <row r="405" spans="1:24" x14ac:dyDescent="0.25">
      <c r="A405">
        <v>404</v>
      </c>
      <c r="B405">
        <v>0</v>
      </c>
      <c r="C405">
        <v>3</v>
      </c>
      <c r="D405" s="1" t="s">
        <v>837</v>
      </c>
      <c r="E405">
        <v>0</v>
      </c>
      <c r="F405">
        <v>28</v>
      </c>
      <c r="G405">
        <v>1</v>
      </c>
      <c r="H405">
        <v>0</v>
      </c>
      <c r="I405" s="1" t="s">
        <v>317</v>
      </c>
      <c r="J405">
        <v>15.85</v>
      </c>
      <c r="K405" s="1" t="s">
        <v>48</v>
      </c>
      <c r="L405" s="1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f t="shared" si="18"/>
        <v>0</v>
      </c>
      <c r="W405">
        <f t="shared" si="19"/>
        <v>0.5</v>
      </c>
      <c r="X405">
        <f t="shared" si="20"/>
        <v>0.69314718055994529</v>
      </c>
    </row>
    <row r="406" spans="1:24" x14ac:dyDescent="0.25">
      <c r="A406">
        <v>405</v>
      </c>
      <c r="B406">
        <v>0</v>
      </c>
      <c r="C406">
        <v>3</v>
      </c>
      <c r="D406" s="1" t="s">
        <v>838</v>
      </c>
      <c r="E406">
        <v>1</v>
      </c>
      <c r="F406">
        <v>20</v>
      </c>
      <c r="G406">
        <v>0</v>
      </c>
      <c r="H406">
        <v>0</v>
      </c>
      <c r="I406" s="1" t="s">
        <v>839</v>
      </c>
      <c r="J406">
        <v>8.6624999999999996</v>
      </c>
      <c r="K406" s="1" t="s">
        <v>48</v>
      </c>
      <c r="L406" s="1" t="s">
        <v>14</v>
      </c>
      <c r="M406">
        <v>1</v>
      </c>
      <c r="N406">
        <v>0</v>
      </c>
      <c r="O406">
        <v>0</v>
      </c>
      <c r="P406" t="s">
        <v>1739</v>
      </c>
      <c r="Q406">
        <v>1</v>
      </c>
      <c r="R406">
        <v>0</v>
      </c>
      <c r="S406">
        <v>0</v>
      </c>
      <c r="T406">
        <v>0</v>
      </c>
      <c r="U406">
        <v>0</v>
      </c>
      <c r="V406">
        <f t="shared" si="18"/>
        <v>0.87219584275330231</v>
      </c>
      <c r="W406">
        <f t="shared" si="19"/>
        <v>0.70520240168703408</v>
      </c>
      <c r="X406">
        <f t="shared" si="20"/>
        <v>1.2214662655353992</v>
      </c>
    </row>
    <row r="407" spans="1:24" x14ac:dyDescent="0.25">
      <c r="A407">
        <v>406</v>
      </c>
      <c r="B407">
        <v>0</v>
      </c>
      <c r="C407">
        <v>2</v>
      </c>
      <c r="D407" s="1" t="s">
        <v>840</v>
      </c>
      <c r="E407">
        <v>0</v>
      </c>
      <c r="F407">
        <v>34</v>
      </c>
      <c r="G407">
        <v>1</v>
      </c>
      <c r="H407">
        <v>0</v>
      </c>
      <c r="I407" s="1" t="s">
        <v>841</v>
      </c>
      <c r="J407">
        <v>21</v>
      </c>
      <c r="K407" s="1" t="s">
        <v>48</v>
      </c>
      <c r="L407" s="1" t="s">
        <v>14</v>
      </c>
      <c r="M407">
        <v>1</v>
      </c>
      <c r="N407">
        <v>0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f t="shared" si="18"/>
        <v>0</v>
      </c>
      <c r="W407">
        <f t="shared" si="19"/>
        <v>0.5</v>
      </c>
      <c r="X407">
        <f t="shared" si="20"/>
        <v>0.69314718055994529</v>
      </c>
    </row>
    <row r="408" spans="1:24" x14ac:dyDescent="0.25">
      <c r="A408">
        <v>407</v>
      </c>
      <c r="B408">
        <v>0</v>
      </c>
      <c r="C408">
        <v>3</v>
      </c>
      <c r="D408" s="1" t="s">
        <v>842</v>
      </c>
      <c r="E408">
        <v>0</v>
      </c>
      <c r="F408">
        <v>51</v>
      </c>
      <c r="G408">
        <v>0</v>
      </c>
      <c r="H408">
        <v>0</v>
      </c>
      <c r="I408" s="1" t="s">
        <v>843</v>
      </c>
      <c r="J408">
        <v>7.75</v>
      </c>
      <c r="K408" s="1" t="s">
        <v>48</v>
      </c>
      <c r="L408" s="1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f t="shared" si="18"/>
        <v>0</v>
      </c>
      <c r="W408">
        <f t="shared" si="19"/>
        <v>0.5</v>
      </c>
      <c r="X408">
        <f t="shared" si="20"/>
        <v>0.69314718055994529</v>
      </c>
    </row>
    <row r="409" spans="1:24" x14ac:dyDescent="0.25">
      <c r="A409">
        <v>408</v>
      </c>
      <c r="B409">
        <v>1</v>
      </c>
      <c r="C409">
        <v>2</v>
      </c>
      <c r="D409" s="1" t="s">
        <v>844</v>
      </c>
      <c r="E409">
        <v>0</v>
      </c>
      <c r="F409">
        <v>3</v>
      </c>
      <c r="G409">
        <v>1</v>
      </c>
      <c r="H409">
        <v>1</v>
      </c>
      <c r="I409" s="1" t="s">
        <v>845</v>
      </c>
      <c r="J409">
        <v>18.75</v>
      </c>
      <c r="K409" s="1" t="s">
        <v>48</v>
      </c>
      <c r="L409" s="1" t="s">
        <v>14</v>
      </c>
      <c r="M409">
        <v>1</v>
      </c>
      <c r="N409">
        <v>0</v>
      </c>
      <c r="O409">
        <v>0</v>
      </c>
      <c r="P409" t="s">
        <v>1742</v>
      </c>
      <c r="Q409">
        <v>0</v>
      </c>
      <c r="R409">
        <v>0</v>
      </c>
      <c r="S409">
        <v>0</v>
      </c>
      <c r="T409">
        <v>1</v>
      </c>
      <c r="U409">
        <v>0</v>
      </c>
      <c r="V409">
        <f t="shared" si="18"/>
        <v>0.21766252466937555</v>
      </c>
      <c r="W409">
        <f t="shared" si="19"/>
        <v>0.55420180681382414</v>
      </c>
      <c r="X409">
        <f t="shared" si="20"/>
        <v>0.59022638633875368</v>
      </c>
    </row>
    <row r="410" spans="1:24" x14ac:dyDescent="0.25">
      <c r="A410">
        <v>409</v>
      </c>
      <c r="B410">
        <v>0</v>
      </c>
      <c r="C410">
        <v>3</v>
      </c>
      <c r="D410" s="1" t="s">
        <v>846</v>
      </c>
      <c r="E410">
        <v>0</v>
      </c>
      <c r="F410">
        <v>21</v>
      </c>
      <c r="G410">
        <v>0</v>
      </c>
      <c r="H410">
        <v>0</v>
      </c>
      <c r="I410" s="1" t="s">
        <v>847</v>
      </c>
      <c r="J410">
        <v>7.7750000000000004</v>
      </c>
      <c r="K410" s="1" t="s">
        <v>48</v>
      </c>
      <c r="L410" s="1" t="s">
        <v>14</v>
      </c>
      <c r="M410">
        <v>1</v>
      </c>
      <c r="N410">
        <v>0</v>
      </c>
      <c r="O410">
        <v>0</v>
      </c>
      <c r="P410" t="s">
        <v>1741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f t="shared" si="18"/>
        <v>0</v>
      </c>
      <c r="W410">
        <f t="shared" si="19"/>
        <v>0.5</v>
      </c>
      <c r="X410">
        <f t="shared" si="20"/>
        <v>0.69314718055994529</v>
      </c>
    </row>
    <row r="411" spans="1:24" x14ac:dyDescent="0.25">
      <c r="A411">
        <v>410</v>
      </c>
      <c r="B411">
        <v>0</v>
      </c>
      <c r="C411">
        <v>3</v>
      </c>
      <c r="D411" s="1" t="s">
        <v>848</v>
      </c>
      <c r="E411">
        <v>1</v>
      </c>
      <c r="F411" s="1">
        <v>21.98581560283688</v>
      </c>
      <c r="G411">
        <v>3</v>
      </c>
      <c r="H411">
        <v>1</v>
      </c>
      <c r="I411" s="1" t="s">
        <v>384</v>
      </c>
      <c r="J411">
        <v>25.466699999999999</v>
      </c>
      <c r="K411" s="1" t="s">
        <v>48</v>
      </c>
      <c r="L411" s="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f t="shared" si="18"/>
        <v>0.87219584275330231</v>
      </c>
      <c r="W411">
        <f t="shared" si="19"/>
        <v>0.70520240168703408</v>
      </c>
      <c r="X411">
        <f t="shared" si="20"/>
        <v>1.2214662655353992</v>
      </c>
    </row>
    <row r="412" spans="1:24" x14ac:dyDescent="0.25">
      <c r="A412">
        <v>411</v>
      </c>
      <c r="B412">
        <v>0</v>
      </c>
      <c r="C412">
        <v>3</v>
      </c>
      <c r="D412" s="1" t="s">
        <v>849</v>
      </c>
      <c r="E412">
        <v>0</v>
      </c>
      <c r="F412" s="1">
        <v>32.180156657963444</v>
      </c>
      <c r="G412">
        <v>0</v>
      </c>
      <c r="H412">
        <v>0</v>
      </c>
      <c r="I412" s="1" t="s">
        <v>850</v>
      </c>
      <c r="J412">
        <v>7.8958000000000004</v>
      </c>
      <c r="K412" s="1" t="s">
        <v>48</v>
      </c>
      <c r="L412" s="1" t="s">
        <v>14</v>
      </c>
      <c r="M412">
        <v>1</v>
      </c>
      <c r="N412">
        <v>0</v>
      </c>
      <c r="O412">
        <v>0</v>
      </c>
      <c r="P412" t="s">
        <v>1741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f t="shared" si="18"/>
        <v>0</v>
      </c>
      <c r="W412">
        <f t="shared" si="19"/>
        <v>0.5</v>
      </c>
      <c r="X412">
        <f t="shared" si="20"/>
        <v>0.69314718055994529</v>
      </c>
    </row>
    <row r="413" spans="1:24" x14ac:dyDescent="0.25">
      <c r="A413">
        <v>412</v>
      </c>
      <c r="B413">
        <v>0</v>
      </c>
      <c r="C413">
        <v>3</v>
      </c>
      <c r="D413" s="1" t="s">
        <v>851</v>
      </c>
      <c r="E413">
        <v>0</v>
      </c>
      <c r="F413" s="1">
        <v>32.180156657963444</v>
      </c>
      <c r="G413">
        <v>0</v>
      </c>
      <c r="H413">
        <v>0</v>
      </c>
      <c r="I413" s="1" t="s">
        <v>852</v>
      </c>
      <c r="J413">
        <v>6.8582999999999998</v>
      </c>
      <c r="K413" s="1" t="s">
        <v>48</v>
      </c>
      <c r="L413" s="1" t="s">
        <v>28</v>
      </c>
      <c r="M413">
        <v>0</v>
      </c>
      <c r="N413">
        <v>0</v>
      </c>
      <c r="O413">
        <v>1</v>
      </c>
      <c r="P413" t="s">
        <v>1741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f t="shared" si="18"/>
        <v>0</v>
      </c>
      <c r="W413">
        <f t="shared" si="19"/>
        <v>0.5</v>
      </c>
      <c r="X413">
        <f t="shared" si="20"/>
        <v>0.69314718055994529</v>
      </c>
    </row>
    <row r="414" spans="1:24" x14ac:dyDescent="0.25">
      <c r="A414">
        <v>413</v>
      </c>
      <c r="B414">
        <v>1</v>
      </c>
      <c r="C414">
        <v>1</v>
      </c>
      <c r="D414" s="1" t="s">
        <v>853</v>
      </c>
      <c r="E414">
        <v>1</v>
      </c>
      <c r="F414">
        <v>33</v>
      </c>
      <c r="G414">
        <v>1</v>
      </c>
      <c r="H414">
        <v>0</v>
      </c>
      <c r="I414" s="1" t="s">
        <v>521</v>
      </c>
      <c r="J414">
        <v>90</v>
      </c>
      <c r="K414" s="1" t="s">
        <v>522</v>
      </c>
      <c r="L414" s="1" t="s">
        <v>28</v>
      </c>
      <c r="M414">
        <v>0</v>
      </c>
      <c r="N414">
        <v>0</v>
      </c>
      <c r="O414">
        <v>1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  <c r="V414">
        <f t="shared" si="18"/>
        <v>0.87219584275330231</v>
      </c>
      <c r="W414">
        <f t="shared" si="19"/>
        <v>0.70520240168703408</v>
      </c>
      <c r="X414">
        <f t="shared" si="20"/>
        <v>0.34927042278209691</v>
      </c>
    </row>
    <row r="415" spans="1:24" x14ac:dyDescent="0.25">
      <c r="A415">
        <v>414</v>
      </c>
      <c r="B415">
        <v>0</v>
      </c>
      <c r="C415">
        <v>2</v>
      </c>
      <c r="D415" s="1" t="s">
        <v>854</v>
      </c>
      <c r="E415">
        <v>0</v>
      </c>
      <c r="F415" s="1">
        <v>32.180156657963444</v>
      </c>
      <c r="G415">
        <v>0</v>
      </c>
      <c r="H415">
        <v>0</v>
      </c>
      <c r="I415" s="1" t="s">
        <v>591</v>
      </c>
      <c r="J415">
        <v>0</v>
      </c>
      <c r="K415" s="1" t="s">
        <v>48</v>
      </c>
      <c r="L415" s="1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f t="shared" si="18"/>
        <v>0</v>
      </c>
      <c r="W415">
        <f t="shared" si="19"/>
        <v>0.5</v>
      </c>
      <c r="X415">
        <f t="shared" si="20"/>
        <v>0.69314718055994529</v>
      </c>
    </row>
    <row r="416" spans="1:24" x14ac:dyDescent="0.25">
      <c r="A416">
        <v>415</v>
      </c>
      <c r="B416">
        <v>1</v>
      </c>
      <c r="C416">
        <v>3</v>
      </c>
      <c r="D416" s="1" t="s">
        <v>855</v>
      </c>
      <c r="E416">
        <v>0</v>
      </c>
      <c r="F416">
        <v>44</v>
      </c>
      <c r="G416">
        <v>0</v>
      </c>
      <c r="H416">
        <v>0</v>
      </c>
      <c r="I416" s="1" t="s">
        <v>856</v>
      </c>
      <c r="J416">
        <v>7.9249999999999998</v>
      </c>
      <c r="K416" s="1" t="s">
        <v>48</v>
      </c>
      <c r="L416" s="1" t="s">
        <v>14</v>
      </c>
      <c r="M416">
        <v>1</v>
      </c>
      <c r="N416">
        <v>0</v>
      </c>
      <c r="O416">
        <v>0</v>
      </c>
      <c r="P416" t="s">
        <v>1741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f t="shared" si="18"/>
        <v>0</v>
      </c>
      <c r="W416">
        <f t="shared" si="19"/>
        <v>0.5</v>
      </c>
      <c r="X416">
        <f t="shared" si="20"/>
        <v>0.69314718055994529</v>
      </c>
    </row>
    <row r="417" spans="1:24" x14ac:dyDescent="0.25">
      <c r="A417">
        <v>416</v>
      </c>
      <c r="B417">
        <v>0</v>
      </c>
      <c r="C417">
        <v>3</v>
      </c>
      <c r="D417" s="1" t="s">
        <v>857</v>
      </c>
      <c r="E417">
        <v>1</v>
      </c>
      <c r="F417" s="1">
        <v>35.898148148148145</v>
      </c>
      <c r="G417">
        <v>0</v>
      </c>
      <c r="H417">
        <v>0</v>
      </c>
      <c r="I417" s="1" t="s">
        <v>858</v>
      </c>
      <c r="J417">
        <v>8.0500000000000007</v>
      </c>
      <c r="K417" s="1" t="s">
        <v>48</v>
      </c>
      <c r="L417" s="1" t="s">
        <v>14</v>
      </c>
      <c r="M417">
        <v>1</v>
      </c>
      <c r="N417">
        <v>0</v>
      </c>
      <c r="O417">
        <v>0</v>
      </c>
      <c r="P417" t="s">
        <v>1740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f t="shared" si="18"/>
        <v>1.3618761518134992</v>
      </c>
      <c r="W417">
        <f t="shared" si="19"/>
        <v>0.79606445234832413</v>
      </c>
      <c r="X417">
        <f t="shared" si="20"/>
        <v>1.5899512779423304</v>
      </c>
    </row>
    <row r="418" spans="1:24" x14ac:dyDescent="0.25">
      <c r="A418">
        <v>417</v>
      </c>
      <c r="B418">
        <v>1</v>
      </c>
      <c r="C418">
        <v>2</v>
      </c>
      <c r="D418" s="1" t="s">
        <v>859</v>
      </c>
      <c r="E418">
        <v>1</v>
      </c>
      <c r="F418">
        <v>34</v>
      </c>
      <c r="G418">
        <v>1</v>
      </c>
      <c r="H418">
        <v>1</v>
      </c>
      <c r="I418" s="1" t="s">
        <v>860</v>
      </c>
      <c r="J418">
        <v>32.5</v>
      </c>
      <c r="K418" s="1" t="s">
        <v>48</v>
      </c>
      <c r="L418" s="1" t="s">
        <v>14</v>
      </c>
      <c r="M418">
        <v>1</v>
      </c>
      <c r="N418">
        <v>0</v>
      </c>
      <c r="O418">
        <v>0</v>
      </c>
      <c r="P418" t="s">
        <v>1740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f t="shared" si="18"/>
        <v>1.3618761518134992</v>
      </c>
      <c r="W418">
        <f t="shared" si="19"/>
        <v>0.79606445234832413</v>
      </c>
      <c r="X418">
        <f t="shared" si="20"/>
        <v>0.22807512612883141</v>
      </c>
    </row>
    <row r="419" spans="1:24" x14ac:dyDescent="0.25">
      <c r="A419">
        <v>418</v>
      </c>
      <c r="B419">
        <v>1</v>
      </c>
      <c r="C419">
        <v>2</v>
      </c>
      <c r="D419" s="1" t="s">
        <v>861</v>
      </c>
      <c r="E419">
        <v>1</v>
      </c>
      <c r="F419">
        <v>18</v>
      </c>
      <c r="G419">
        <v>0</v>
      </c>
      <c r="H419">
        <v>2</v>
      </c>
      <c r="I419" s="1" t="s">
        <v>862</v>
      </c>
      <c r="J419">
        <v>13</v>
      </c>
      <c r="K419" s="1" t="s">
        <v>48</v>
      </c>
      <c r="L419" s="1" t="s">
        <v>14</v>
      </c>
      <c r="M419">
        <v>1</v>
      </c>
      <c r="N419">
        <v>0</v>
      </c>
      <c r="O419">
        <v>0</v>
      </c>
      <c r="P419" t="s">
        <v>1739</v>
      </c>
      <c r="Q419">
        <v>1</v>
      </c>
      <c r="R419">
        <v>0</v>
      </c>
      <c r="S419">
        <v>0</v>
      </c>
      <c r="T419">
        <v>0</v>
      </c>
      <c r="U419">
        <v>0</v>
      </c>
      <c r="V419">
        <f t="shared" si="18"/>
        <v>0.87219584275330231</v>
      </c>
      <c r="W419">
        <f t="shared" si="19"/>
        <v>0.70520240168703408</v>
      </c>
      <c r="X419">
        <f t="shared" si="20"/>
        <v>0.34927042278209691</v>
      </c>
    </row>
    <row r="420" spans="1:24" x14ac:dyDescent="0.25">
      <c r="A420">
        <v>419</v>
      </c>
      <c r="B420">
        <v>0</v>
      </c>
      <c r="C420">
        <v>2</v>
      </c>
      <c r="D420" s="1" t="s">
        <v>863</v>
      </c>
      <c r="E420">
        <v>0</v>
      </c>
      <c r="F420">
        <v>30</v>
      </c>
      <c r="G420">
        <v>0</v>
      </c>
      <c r="H420">
        <v>0</v>
      </c>
      <c r="I420" s="1" t="s">
        <v>864</v>
      </c>
      <c r="J420">
        <v>13</v>
      </c>
      <c r="K420" s="1" t="s">
        <v>48</v>
      </c>
      <c r="L420" s="1" t="s">
        <v>14</v>
      </c>
      <c r="M420">
        <v>1</v>
      </c>
      <c r="N420">
        <v>0</v>
      </c>
      <c r="O420">
        <v>0</v>
      </c>
      <c r="P420" t="s">
        <v>1741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f t="shared" si="18"/>
        <v>0</v>
      </c>
      <c r="W420">
        <f t="shared" si="19"/>
        <v>0.5</v>
      </c>
      <c r="X420">
        <f t="shared" si="20"/>
        <v>0.69314718055994529</v>
      </c>
    </row>
    <row r="421" spans="1:24" x14ac:dyDescent="0.25">
      <c r="A421">
        <v>420</v>
      </c>
      <c r="B421">
        <v>0</v>
      </c>
      <c r="C421">
        <v>3</v>
      </c>
      <c r="D421" s="1" t="s">
        <v>865</v>
      </c>
      <c r="E421">
        <v>1</v>
      </c>
      <c r="F421">
        <v>10</v>
      </c>
      <c r="G421">
        <v>0</v>
      </c>
      <c r="H421">
        <v>2</v>
      </c>
      <c r="I421" s="1" t="s">
        <v>866</v>
      </c>
      <c r="J421">
        <v>24.15</v>
      </c>
      <c r="K421" s="1" t="s">
        <v>48</v>
      </c>
      <c r="L421" s="1" t="s">
        <v>14</v>
      </c>
      <c r="M421">
        <v>1</v>
      </c>
      <c r="N421">
        <v>0</v>
      </c>
      <c r="O421">
        <v>0</v>
      </c>
      <c r="P421" t="s">
        <v>1739</v>
      </c>
      <c r="Q421">
        <v>1</v>
      </c>
      <c r="R421">
        <v>0</v>
      </c>
      <c r="S421">
        <v>0</v>
      </c>
      <c r="T421">
        <v>0</v>
      </c>
      <c r="U421">
        <v>0</v>
      </c>
      <c r="V421">
        <f t="shared" si="18"/>
        <v>0.87219584275330231</v>
      </c>
      <c r="W421">
        <f t="shared" si="19"/>
        <v>0.70520240168703408</v>
      </c>
      <c r="X421">
        <f t="shared" si="20"/>
        <v>1.2214662655353992</v>
      </c>
    </row>
    <row r="422" spans="1:24" x14ac:dyDescent="0.25">
      <c r="A422">
        <v>421</v>
      </c>
      <c r="B422">
        <v>0</v>
      </c>
      <c r="C422">
        <v>3</v>
      </c>
      <c r="D422" s="1" t="s">
        <v>867</v>
      </c>
      <c r="E422">
        <v>0</v>
      </c>
      <c r="F422" s="1">
        <v>32.180156657963444</v>
      </c>
      <c r="G422">
        <v>0</v>
      </c>
      <c r="H422">
        <v>0</v>
      </c>
      <c r="I422" s="1" t="s">
        <v>868</v>
      </c>
      <c r="J422">
        <v>7.8958000000000004</v>
      </c>
      <c r="K422" s="1" t="s">
        <v>48</v>
      </c>
      <c r="L422" s="1" t="s">
        <v>18</v>
      </c>
      <c r="M422">
        <v>0</v>
      </c>
      <c r="N422">
        <v>1</v>
      </c>
      <c r="O422">
        <v>0</v>
      </c>
      <c r="P422" t="s">
        <v>1741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f t="shared" si="18"/>
        <v>0</v>
      </c>
      <c r="W422">
        <f t="shared" si="19"/>
        <v>0.5</v>
      </c>
      <c r="X422">
        <f t="shared" si="20"/>
        <v>0.69314718055994529</v>
      </c>
    </row>
    <row r="423" spans="1:24" x14ac:dyDescent="0.25">
      <c r="A423">
        <v>422</v>
      </c>
      <c r="B423">
        <v>0</v>
      </c>
      <c r="C423">
        <v>3</v>
      </c>
      <c r="D423" s="1" t="s">
        <v>869</v>
      </c>
      <c r="E423">
        <v>0</v>
      </c>
      <c r="F423">
        <v>21</v>
      </c>
      <c r="G423">
        <v>0</v>
      </c>
      <c r="H423">
        <v>0</v>
      </c>
      <c r="I423" s="1" t="s">
        <v>870</v>
      </c>
      <c r="J423">
        <v>7.7332999999999998</v>
      </c>
      <c r="K423" s="1" t="s">
        <v>48</v>
      </c>
      <c r="L423" s="1" t="s">
        <v>28</v>
      </c>
      <c r="M423">
        <v>0</v>
      </c>
      <c r="N423">
        <v>0</v>
      </c>
      <c r="O423">
        <v>1</v>
      </c>
      <c r="P423" t="s">
        <v>1741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f t="shared" si="18"/>
        <v>0</v>
      </c>
      <c r="W423">
        <f t="shared" si="19"/>
        <v>0.5</v>
      </c>
      <c r="X423">
        <f t="shared" si="20"/>
        <v>0.69314718055994529</v>
      </c>
    </row>
    <row r="424" spans="1:24" x14ac:dyDescent="0.25">
      <c r="A424">
        <v>423</v>
      </c>
      <c r="B424">
        <v>0</v>
      </c>
      <c r="C424">
        <v>3</v>
      </c>
      <c r="D424" s="1" t="s">
        <v>871</v>
      </c>
      <c r="E424">
        <v>0</v>
      </c>
      <c r="F424">
        <v>29</v>
      </c>
      <c r="G424">
        <v>0</v>
      </c>
      <c r="H424">
        <v>0</v>
      </c>
      <c r="I424" s="1" t="s">
        <v>872</v>
      </c>
      <c r="J424">
        <v>7.875</v>
      </c>
      <c r="K424" s="1" t="s">
        <v>48</v>
      </c>
      <c r="L424" s="1" t="s">
        <v>14</v>
      </c>
      <c r="M424">
        <v>1</v>
      </c>
      <c r="N424">
        <v>0</v>
      </c>
      <c r="O424">
        <v>0</v>
      </c>
      <c r="P424" t="s">
        <v>1741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f t="shared" si="18"/>
        <v>0</v>
      </c>
      <c r="W424">
        <f t="shared" si="19"/>
        <v>0.5</v>
      </c>
      <c r="X424">
        <f t="shared" si="20"/>
        <v>0.69314718055994529</v>
      </c>
    </row>
    <row r="425" spans="1:24" x14ac:dyDescent="0.25">
      <c r="A425">
        <v>424</v>
      </c>
      <c r="B425">
        <v>0</v>
      </c>
      <c r="C425">
        <v>3</v>
      </c>
      <c r="D425" s="1" t="s">
        <v>873</v>
      </c>
      <c r="E425">
        <v>1</v>
      </c>
      <c r="F425">
        <v>28</v>
      </c>
      <c r="G425">
        <v>1</v>
      </c>
      <c r="H425">
        <v>1</v>
      </c>
      <c r="I425" s="1" t="s">
        <v>874</v>
      </c>
      <c r="J425">
        <v>14.4</v>
      </c>
      <c r="K425" s="1" t="s">
        <v>48</v>
      </c>
      <c r="L425" s="1" t="s">
        <v>14</v>
      </c>
      <c r="M425">
        <v>1</v>
      </c>
      <c r="N425">
        <v>0</v>
      </c>
      <c r="O425">
        <v>0</v>
      </c>
      <c r="P425" t="s">
        <v>1740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f t="shared" si="18"/>
        <v>1.3618761518134992</v>
      </c>
      <c r="W425">
        <f t="shared" si="19"/>
        <v>0.79606445234832413</v>
      </c>
      <c r="X425">
        <f t="shared" si="20"/>
        <v>1.5899512779423304</v>
      </c>
    </row>
    <row r="426" spans="1:24" x14ac:dyDescent="0.25">
      <c r="A426">
        <v>425</v>
      </c>
      <c r="B426">
        <v>0</v>
      </c>
      <c r="C426">
        <v>3</v>
      </c>
      <c r="D426" s="1" t="s">
        <v>875</v>
      </c>
      <c r="E426">
        <v>0</v>
      </c>
      <c r="F426">
        <v>18</v>
      </c>
      <c r="G426">
        <v>1</v>
      </c>
      <c r="H426">
        <v>1</v>
      </c>
      <c r="I426" s="1" t="s">
        <v>541</v>
      </c>
      <c r="J426">
        <v>20.212499999999999</v>
      </c>
      <c r="K426" s="1" t="s">
        <v>48</v>
      </c>
      <c r="L426" s="1" t="s">
        <v>14</v>
      </c>
      <c r="M426">
        <v>1</v>
      </c>
      <c r="N426">
        <v>0</v>
      </c>
      <c r="O426">
        <v>0</v>
      </c>
      <c r="P426" t="s">
        <v>1741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f t="shared" si="18"/>
        <v>0</v>
      </c>
      <c r="W426">
        <f t="shared" si="19"/>
        <v>0.5</v>
      </c>
      <c r="X426">
        <f t="shared" si="20"/>
        <v>0.69314718055994529</v>
      </c>
    </row>
    <row r="427" spans="1:24" x14ac:dyDescent="0.25">
      <c r="A427">
        <v>426</v>
      </c>
      <c r="B427">
        <v>0</v>
      </c>
      <c r="C427">
        <v>3</v>
      </c>
      <c r="D427" s="1" t="s">
        <v>876</v>
      </c>
      <c r="E427">
        <v>0</v>
      </c>
      <c r="F427" s="1">
        <v>32.180156657963444</v>
      </c>
      <c r="G427">
        <v>0</v>
      </c>
      <c r="H427">
        <v>0</v>
      </c>
      <c r="I427" s="1" t="s">
        <v>877</v>
      </c>
      <c r="J427">
        <v>7.25</v>
      </c>
      <c r="K427" s="1" t="s">
        <v>48</v>
      </c>
      <c r="L427" s="1" t="s">
        <v>14</v>
      </c>
      <c r="M427">
        <v>1</v>
      </c>
      <c r="N427">
        <v>0</v>
      </c>
      <c r="O427">
        <v>0</v>
      </c>
      <c r="P427" t="s">
        <v>1741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f t="shared" si="18"/>
        <v>0</v>
      </c>
      <c r="W427">
        <f t="shared" si="19"/>
        <v>0.5</v>
      </c>
      <c r="X427">
        <f t="shared" si="20"/>
        <v>0.69314718055994529</v>
      </c>
    </row>
    <row r="428" spans="1:24" x14ac:dyDescent="0.25">
      <c r="A428">
        <v>427</v>
      </c>
      <c r="B428">
        <v>1</v>
      </c>
      <c r="C428">
        <v>2</v>
      </c>
      <c r="D428" s="1" t="s">
        <v>878</v>
      </c>
      <c r="E428">
        <v>1</v>
      </c>
      <c r="F428">
        <v>28</v>
      </c>
      <c r="G428">
        <v>1</v>
      </c>
      <c r="H428">
        <v>0</v>
      </c>
      <c r="I428" s="1" t="s">
        <v>879</v>
      </c>
      <c r="J428">
        <v>26</v>
      </c>
      <c r="K428" s="1" t="s">
        <v>48</v>
      </c>
      <c r="L428" s="1" t="s">
        <v>14</v>
      </c>
      <c r="M428">
        <v>1</v>
      </c>
      <c r="N428">
        <v>0</v>
      </c>
      <c r="O428">
        <v>0</v>
      </c>
      <c r="P428" t="s">
        <v>1740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f t="shared" si="18"/>
        <v>1.3618761518134992</v>
      </c>
      <c r="W428">
        <f t="shared" si="19"/>
        <v>0.79606445234832413</v>
      </c>
      <c r="X428">
        <f t="shared" si="20"/>
        <v>0.22807512612883141</v>
      </c>
    </row>
    <row r="429" spans="1:24" x14ac:dyDescent="0.25">
      <c r="A429">
        <v>428</v>
      </c>
      <c r="B429">
        <v>1</v>
      </c>
      <c r="C429">
        <v>2</v>
      </c>
      <c r="D429" s="1" t="s">
        <v>880</v>
      </c>
      <c r="E429">
        <v>1</v>
      </c>
      <c r="F429">
        <v>19</v>
      </c>
      <c r="G429">
        <v>0</v>
      </c>
      <c r="H429">
        <v>0</v>
      </c>
      <c r="I429" s="1" t="s">
        <v>881</v>
      </c>
      <c r="J429">
        <v>26</v>
      </c>
      <c r="K429" s="1" t="s">
        <v>48</v>
      </c>
      <c r="L429" s="1" t="s">
        <v>14</v>
      </c>
      <c r="M429">
        <v>1</v>
      </c>
      <c r="N429">
        <v>0</v>
      </c>
      <c r="O429">
        <v>0</v>
      </c>
      <c r="P429" t="s">
        <v>1739</v>
      </c>
      <c r="Q429">
        <v>1</v>
      </c>
      <c r="R429">
        <v>0</v>
      </c>
      <c r="S429">
        <v>0</v>
      </c>
      <c r="T429">
        <v>0</v>
      </c>
      <c r="U429">
        <v>0</v>
      </c>
      <c r="V429">
        <f t="shared" si="18"/>
        <v>0.87219584275330231</v>
      </c>
      <c r="W429">
        <f t="shared" si="19"/>
        <v>0.70520240168703408</v>
      </c>
      <c r="X429">
        <f t="shared" si="20"/>
        <v>0.34927042278209691</v>
      </c>
    </row>
    <row r="430" spans="1:24" x14ac:dyDescent="0.25">
      <c r="A430">
        <v>429</v>
      </c>
      <c r="B430">
        <v>0</v>
      </c>
      <c r="C430">
        <v>3</v>
      </c>
      <c r="D430" s="1" t="s">
        <v>882</v>
      </c>
      <c r="E430">
        <v>0</v>
      </c>
      <c r="F430" s="1">
        <v>32.180156657963444</v>
      </c>
      <c r="G430">
        <v>0</v>
      </c>
      <c r="H430">
        <v>0</v>
      </c>
      <c r="I430" s="1" t="s">
        <v>883</v>
      </c>
      <c r="J430">
        <v>7.75</v>
      </c>
      <c r="K430" s="1" t="s">
        <v>48</v>
      </c>
      <c r="L430" s="1" t="s">
        <v>28</v>
      </c>
      <c r="M430">
        <v>0</v>
      </c>
      <c r="N430">
        <v>0</v>
      </c>
      <c r="O430">
        <v>1</v>
      </c>
      <c r="P430" t="s">
        <v>1741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f t="shared" si="18"/>
        <v>0</v>
      </c>
      <c r="W430">
        <f t="shared" si="19"/>
        <v>0.5</v>
      </c>
      <c r="X430">
        <f t="shared" si="20"/>
        <v>0.69314718055994529</v>
      </c>
    </row>
    <row r="431" spans="1:24" x14ac:dyDescent="0.25">
      <c r="A431">
        <v>430</v>
      </c>
      <c r="B431">
        <v>1</v>
      </c>
      <c r="C431">
        <v>3</v>
      </c>
      <c r="D431" s="1" t="s">
        <v>884</v>
      </c>
      <c r="E431">
        <v>0</v>
      </c>
      <c r="F431">
        <v>32</v>
      </c>
      <c r="G431">
        <v>0</v>
      </c>
      <c r="H431">
        <v>0</v>
      </c>
      <c r="I431" s="1" t="s">
        <v>885</v>
      </c>
      <c r="J431">
        <v>8.0500000000000007</v>
      </c>
      <c r="K431" s="1" t="s">
        <v>886</v>
      </c>
      <c r="L431" s="1" t="s">
        <v>14</v>
      </c>
      <c r="M431">
        <v>1</v>
      </c>
      <c r="N431">
        <v>0</v>
      </c>
      <c r="O431">
        <v>0</v>
      </c>
      <c r="P431" t="s">
        <v>1741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f t="shared" si="18"/>
        <v>0</v>
      </c>
      <c r="W431">
        <f t="shared" si="19"/>
        <v>0.5</v>
      </c>
      <c r="X431">
        <f t="shared" si="20"/>
        <v>0.69314718055994529</v>
      </c>
    </row>
    <row r="432" spans="1:24" x14ac:dyDescent="0.25">
      <c r="A432">
        <v>431</v>
      </c>
      <c r="B432">
        <v>1</v>
      </c>
      <c r="C432">
        <v>1</v>
      </c>
      <c r="D432" s="1" t="s">
        <v>887</v>
      </c>
      <c r="E432">
        <v>0</v>
      </c>
      <c r="F432">
        <v>28</v>
      </c>
      <c r="G432">
        <v>0</v>
      </c>
      <c r="H432">
        <v>0</v>
      </c>
      <c r="I432" s="1" t="s">
        <v>888</v>
      </c>
      <c r="J432">
        <v>26.55</v>
      </c>
      <c r="K432" s="1" t="s">
        <v>138</v>
      </c>
      <c r="L432" s="1" t="s">
        <v>14</v>
      </c>
      <c r="M432">
        <v>1</v>
      </c>
      <c r="N432">
        <v>0</v>
      </c>
      <c r="O432">
        <v>0</v>
      </c>
      <c r="P432" t="s">
        <v>1741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f t="shared" si="18"/>
        <v>0</v>
      </c>
      <c r="W432">
        <f t="shared" si="19"/>
        <v>0.5</v>
      </c>
      <c r="X432">
        <f t="shared" si="20"/>
        <v>0.69314718055994529</v>
      </c>
    </row>
    <row r="433" spans="1:24" x14ac:dyDescent="0.25">
      <c r="A433">
        <v>432</v>
      </c>
      <c r="B433">
        <v>1</v>
      </c>
      <c r="C433">
        <v>3</v>
      </c>
      <c r="D433" s="1" t="s">
        <v>889</v>
      </c>
      <c r="E433">
        <v>1</v>
      </c>
      <c r="F433" s="1">
        <v>35.898148148148145</v>
      </c>
      <c r="G433">
        <v>1</v>
      </c>
      <c r="H433">
        <v>0</v>
      </c>
      <c r="I433" s="1" t="s">
        <v>890</v>
      </c>
      <c r="J433">
        <v>16.100000000000001</v>
      </c>
      <c r="K433" s="1" t="s">
        <v>48</v>
      </c>
      <c r="L433" s="1" t="s">
        <v>14</v>
      </c>
      <c r="M433">
        <v>1</v>
      </c>
      <c r="N433">
        <v>0</v>
      </c>
      <c r="O433">
        <v>0</v>
      </c>
      <c r="P433" t="s">
        <v>1740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f t="shared" si="18"/>
        <v>1.3618761518134992</v>
      </c>
      <c r="W433">
        <f t="shared" si="19"/>
        <v>0.79606445234832413</v>
      </c>
      <c r="X433">
        <f t="shared" si="20"/>
        <v>0.22807512612883141</v>
      </c>
    </row>
    <row r="434" spans="1:24" x14ac:dyDescent="0.25">
      <c r="A434">
        <v>433</v>
      </c>
      <c r="B434">
        <v>1</v>
      </c>
      <c r="C434">
        <v>2</v>
      </c>
      <c r="D434" s="1" t="s">
        <v>891</v>
      </c>
      <c r="E434">
        <v>1</v>
      </c>
      <c r="F434">
        <v>42</v>
      </c>
      <c r="G434">
        <v>1</v>
      </c>
      <c r="H434">
        <v>0</v>
      </c>
      <c r="I434" s="1" t="s">
        <v>892</v>
      </c>
      <c r="J434">
        <v>26</v>
      </c>
      <c r="K434" s="1" t="s">
        <v>48</v>
      </c>
      <c r="L434" s="1" t="s">
        <v>14</v>
      </c>
      <c r="M434">
        <v>1</v>
      </c>
      <c r="N434">
        <v>0</v>
      </c>
      <c r="O434">
        <v>0</v>
      </c>
      <c r="P434" t="s">
        <v>1740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f t="shared" si="18"/>
        <v>1.3618761518134992</v>
      </c>
      <c r="W434">
        <f t="shared" si="19"/>
        <v>0.79606445234832413</v>
      </c>
      <c r="X434">
        <f t="shared" si="20"/>
        <v>0.22807512612883141</v>
      </c>
    </row>
    <row r="435" spans="1:24" x14ac:dyDescent="0.25">
      <c r="A435">
        <v>434</v>
      </c>
      <c r="B435">
        <v>0</v>
      </c>
      <c r="C435">
        <v>3</v>
      </c>
      <c r="D435" s="1" t="s">
        <v>893</v>
      </c>
      <c r="E435">
        <v>0</v>
      </c>
      <c r="F435">
        <v>17</v>
      </c>
      <c r="G435">
        <v>0</v>
      </c>
      <c r="H435">
        <v>0</v>
      </c>
      <c r="I435" s="1" t="s">
        <v>894</v>
      </c>
      <c r="J435">
        <v>7.125</v>
      </c>
      <c r="K435" s="1" t="s">
        <v>48</v>
      </c>
      <c r="L435" s="1" t="s">
        <v>14</v>
      </c>
      <c r="M435">
        <v>1</v>
      </c>
      <c r="N435">
        <v>0</v>
      </c>
      <c r="O435">
        <v>0</v>
      </c>
      <c r="P435" t="s">
        <v>1741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f t="shared" si="18"/>
        <v>0</v>
      </c>
      <c r="W435">
        <f t="shared" si="19"/>
        <v>0.5</v>
      </c>
      <c r="X435">
        <f t="shared" si="20"/>
        <v>0.69314718055994529</v>
      </c>
    </row>
    <row r="436" spans="1:24" x14ac:dyDescent="0.25">
      <c r="A436">
        <v>435</v>
      </c>
      <c r="B436">
        <v>0</v>
      </c>
      <c r="C436">
        <v>1</v>
      </c>
      <c r="D436" s="1" t="s">
        <v>895</v>
      </c>
      <c r="E436">
        <v>0</v>
      </c>
      <c r="F436">
        <v>50</v>
      </c>
      <c r="G436">
        <v>1</v>
      </c>
      <c r="H436">
        <v>0</v>
      </c>
      <c r="I436" s="1" t="s">
        <v>896</v>
      </c>
      <c r="J436">
        <v>55.9</v>
      </c>
      <c r="K436" s="1" t="s">
        <v>897</v>
      </c>
      <c r="L436" s="1" t="s">
        <v>14</v>
      </c>
      <c r="M436">
        <v>1</v>
      </c>
      <c r="N436">
        <v>0</v>
      </c>
      <c r="O436">
        <v>0</v>
      </c>
      <c r="P436" t="s">
        <v>1741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f t="shared" si="18"/>
        <v>0</v>
      </c>
      <c r="W436">
        <f t="shared" si="19"/>
        <v>0.5</v>
      </c>
      <c r="X436">
        <f t="shared" si="20"/>
        <v>0.69314718055994529</v>
      </c>
    </row>
    <row r="437" spans="1:24" x14ac:dyDescent="0.25">
      <c r="A437">
        <v>436</v>
      </c>
      <c r="B437">
        <v>1</v>
      </c>
      <c r="C437">
        <v>1</v>
      </c>
      <c r="D437" s="1" t="s">
        <v>898</v>
      </c>
      <c r="E437">
        <v>1</v>
      </c>
      <c r="F437">
        <v>14</v>
      </c>
      <c r="G437">
        <v>1</v>
      </c>
      <c r="H437">
        <v>2</v>
      </c>
      <c r="I437" s="1" t="s">
        <v>813</v>
      </c>
      <c r="J437">
        <v>120</v>
      </c>
      <c r="K437" s="1" t="s">
        <v>814</v>
      </c>
      <c r="L437" s="1" t="s">
        <v>14</v>
      </c>
      <c r="M437">
        <v>1</v>
      </c>
      <c r="N437">
        <v>0</v>
      </c>
      <c r="O437">
        <v>0</v>
      </c>
      <c r="P437" t="s">
        <v>1739</v>
      </c>
      <c r="Q437">
        <v>1</v>
      </c>
      <c r="R437">
        <v>0</v>
      </c>
      <c r="S437">
        <v>0</v>
      </c>
      <c r="T437">
        <v>0</v>
      </c>
      <c r="U437">
        <v>0</v>
      </c>
      <c r="V437">
        <f t="shared" si="18"/>
        <v>0.87219584275330231</v>
      </c>
      <c r="W437">
        <f t="shared" si="19"/>
        <v>0.70520240168703408</v>
      </c>
      <c r="X437">
        <f t="shared" si="20"/>
        <v>0.34927042278209691</v>
      </c>
    </row>
    <row r="438" spans="1:24" x14ac:dyDescent="0.25">
      <c r="A438">
        <v>437</v>
      </c>
      <c r="B438">
        <v>0</v>
      </c>
      <c r="C438">
        <v>3</v>
      </c>
      <c r="D438" s="1" t="s">
        <v>899</v>
      </c>
      <c r="E438">
        <v>1</v>
      </c>
      <c r="F438">
        <v>21</v>
      </c>
      <c r="G438">
        <v>2</v>
      </c>
      <c r="H438">
        <v>2</v>
      </c>
      <c r="I438" s="1" t="s">
        <v>203</v>
      </c>
      <c r="J438">
        <v>34.375</v>
      </c>
      <c r="K438" s="1" t="s">
        <v>48</v>
      </c>
      <c r="L438" s="1" t="s">
        <v>14</v>
      </c>
      <c r="M438">
        <v>1</v>
      </c>
      <c r="N438">
        <v>0</v>
      </c>
      <c r="O438">
        <v>0</v>
      </c>
      <c r="P438" t="s">
        <v>1739</v>
      </c>
      <c r="Q438">
        <v>1</v>
      </c>
      <c r="R438">
        <v>0</v>
      </c>
      <c r="S438">
        <v>0</v>
      </c>
      <c r="T438">
        <v>0</v>
      </c>
      <c r="U438">
        <v>0</v>
      </c>
      <c r="V438">
        <f t="shared" si="18"/>
        <v>0.87219584275330231</v>
      </c>
      <c r="W438">
        <f t="shared" si="19"/>
        <v>0.70520240168703408</v>
      </c>
      <c r="X438">
        <f t="shared" si="20"/>
        <v>1.2214662655353992</v>
      </c>
    </row>
    <row r="439" spans="1:24" x14ac:dyDescent="0.25">
      <c r="A439">
        <v>438</v>
      </c>
      <c r="B439">
        <v>1</v>
      </c>
      <c r="C439">
        <v>2</v>
      </c>
      <c r="D439" s="1" t="s">
        <v>900</v>
      </c>
      <c r="E439">
        <v>1</v>
      </c>
      <c r="F439">
        <v>24</v>
      </c>
      <c r="G439">
        <v>2</v>
      </c>
      <c r="H439">
        <v>3</v>
      </c>
      <c r="I439" s="1" t="s">
        <v>845</v>
      </c>
      <c r="J439">
        <v>18.75</v>
      </c>
      <c r="K439" s="1" t="s">
        <v>48</v>
      </c>
      <c r="L439" s="1" t="s">
        <v>14</v>
      </c>
      <c r="M439">
        <v>1</v>
      </c>
      <c r="N439">
        <v>0</v>
      </c>
      <c r="O439">
        <v>0</v>
      </c>
      <c r="P439" t="s">
        <v>1740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f t="shared" si="18"/>
        <v>1.3618761518134992</v>
      </c>
      <c r="W439">
        <f t="shared" si="19"/>
        <v>0.79606445234832413</v>
      </c>
      <c r="X439">
        <f t="shared" si="20"/>
        <v>0.22807512612883141</v>
      </c>
    </row>
    <row r="440" spans="1:24" x14ac:dyDescent="0.25">
      <c r="A440">
        <v>439</v>
      </c>
      <c r="B440">
        <v>0</v>
      </c>
      <c r="C440">
        <v>1</v>
      </c>
      <c r="D440" s="1" t="s">
        <v>901</v>
      </c>
      <c r="E440">
        <v>0</v>
      </c>
      <c r="F440">
        <v>64</v>
      </c>
      <c r="G440">
        <v>1</v>
      </c>
      <c r="H440">
        <v>4</v>
      </c>
      <c r="I440" s="1" t="s">
        <v>77</v>
      </c>
      <c r="J440">
        <v>263</v>
      </c>
      <c r="K440" s="1" t="s">
        <v>78</v>
      </c>
      <c r="L440" s="1" t="s">
        <v>14</v>
      </c>
      <c r="M440">
        <v>1</v>
      </c>
      <c r="N440">
        <v>0</v>
      </c>
      <c r="O440">
        <v>0</v>
      </c>
      <c r="P440" t="s">
        <v>1741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f t="shared" si="18"/>
        <v>0</v>
      </c>
      <c r="W440">
        <f t="shared" si="19"/>
        <v>0.5</v>
      </c>
      <c r="X440">
        <f t="shared" si="20"/>
        <v>0.69314718055994529</v>
      </c>
    </row>
    <row r="441" spans="1:24" x14ac:dyDescent="0.25">
      <c r="A441">
        <v>440</v>
      </c>
      <c r="B441">
        <v>0</v>
      </c>
      <c r="C441">
        <v>2</v>
      </c>
      <c r="D441" s="1" t="s">
        <v>902</v>
      </c>
      <c r="E441">
        <v>0</v>
      </c>
      <c r="F441">
        <v>31</v>
      </c>
      <c r="G441">
        <v>0</v>
      </c>
      <c r="H441">
        <v>0</v>
      </c>
      <c r="I441" s="1" t="s">
        <v>903</v>
      </c>
      <c r="J441">
        <v>10.5</v>
      </c>
      <c r="K441" s="1" t="s">
        <v>48</v>
      </c>
      <c r="L441" s="1" t="s">
        <v>14</v>
      </c>
      <c r="M441">
        <v>1</v>
      </c>
      <c r="N441">
        <v>0</v>
      </c>
      <c r="O441">
        <v>0</v>
      </c>
      <c r="P441" t="s">
        <v>1741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f t="shared" si="18"/>
        <v>0</v>
      </c>
      <c r="W441">
        <f t="shared" si="19"/>
        <v>0.5</v>
      </c>
      <c r="X441">
        <f t="shared" si="20"/>
        <v>0.69314718055994529</v>
      </c>
    </row>
    <row r="442" spans="1:24" x14ac:dyDescent="0.25">
      <c r="A442">
        <v>441</v>
      </c>
      <c r="B442">
        <v>1</v>
      </c>
      <c r="C442">
        <v>2</v>
      </c>
      <c r="D442" s="1" t="s">
        <v>904</v>
      </c>
      <c r="E442">
        <v>1</v>
      </c>
      <c r="F442">
        <v>45</v>
      </c>
      <c r="G442">
        <v>1</v>
      </c>
      <c r="H442">
        <v>1</v>
      </c>
      <c r="I442" s="1" t="s">
        <v>670</v>
      </c>
      <c r="J442">
        <v>26.25</v>
      </c>
      <c r="K442" s="1" t="s">
        <v>48</v>
      </c>
      <c r="L442" s="1" t="s">
        <v>14</v>
      </c>
      <c r="M442">
        <v>1</v>
      </c>
      <c r="N442">
        <v>0</v>
      </c>
      <c r="O442">
        <v>0</v>
      </c>
      <c r="P442" t="s">
        <v>1740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f t="shared" si="18"/>
        <v>1.3618761518134992</v>
      </c>
      <c r="W442">
        <f t="shared" si="19"/>
        <v>0.79606445234832413</v>
      </c>
      <c r="X442">
        <f t="shared" si="20"/>
        <v>0.22807512612883141</v>
      </c>
    </row>
    <row r="443" spans="1:24" x14ac:dyDescent="0.25">
      <c r="A443">
        <v>442</v>
      </c>
      <c r="B443">
        <v>0</v>
      </c>
      <c r="C443">
        <v>3</v>
      </c>
      <c r="D443" s="1" t="s">
        <v>905</v>
      </c>
      <c r="E443">
        <v>0</v>
      </c>
      <c r="F443">
        <v>20</v>
      </c>
      <c r="G443">
        <v>0</v>
      </c>
      <c r="H443">
        <v>0</v>
      </c>
      <c r="I443" s="1" t="s">
        <v>906</v>
      </c>
      <c r="J443">
        <v>9.5</v>
      </c>
      <c r="K443" s="1" t="s">
        <v>48</v>
      </c>
      <c r="L443" s="1" t="s">
        <v>14</v>
      </c>
      <c r="M443">
        <v>1</v>
      </c>
      <c r="N443">
        <v>0</v>
      </c>
      <c r="O443">
        <v>0</v>
      </c>
      <c r="P443" t="s">
        <v>1741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f t="shared" si="18"/>
        <v>0</v>
      </c>
      <c r="W443">
        <f t="shared" si="19"/>
        <v>0.5</v>
      </c>
      <c r="X443">
        <f t="shared" si="20"/>
        <v>0.69314718055994529</v>
      </c>
    </row>
    <row r="444" spans="1:24" x14ac:dyDescent="0.25">
      <c r="A444">
        <v>443</v>
      </c>
      <c r="B444">
        <v>0</v>
      </c>
      <c r="C444">
        <v>3</v>
      </c>
      <c r="D444" s="1" t="s">
        <v>907</v>
      </c>
      <c r="E444">
        <v>0</v>
      </c>
      <c r="F444">
        <v>25</v>
      </c>
      <c r="G444">
        <v>1</v>
      </c>
      <c r="H444">
        <v>0</v>
      </c>
      <c r="I444" s="1" t="s">
        <v>908</v>
      </c>
      <c r="J444">
        <v>7.7750000000000004</v>
      </c>
      <c r="K444" s="1" t="s">
        <v>48</v>
      </c>
      <c r="L444" s="1" t="s">
        <v>14</v>
      </c>
      <c r="M444">
        <v>1</v>
      </c>
      <c r="N444">
        <v>0</v>
      </c>
      <c r="O444">
        <v>0</v>
      </c>
      <c r="P444" t="s">
        <v>1741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f t="shared" si="18"/>
        <v>0</v>
      </c>
      <c r="W444">
        <f t="shared" si="19"/>
        <v>0.5</v>
      </c>
      <c r="X444">
        <f t="shared" si="20"/>
        <v>0.69314718055994529</v>
      </c>
    </row>
    <row r="445" spans="1:24" x14ac:dyDescent="0.25">
      <c r="A445">
        <v>444</v>
      </c>
      <c r="B445">
        <v>1</v>
      </c>
      <c r="C445">
        <v>2</v>
      </c>
      <c r="D445" s="1" t="s">
        <v>909</v>
      </c>
      <c r="E445">
        <v>1</v>
      </c>
      <c r="F445">
        <v>28</v>
      </c>
      <c r="G445">
        <v>0</v>
      </c>
      <c r="H445">
        <v>0</v>
      </c>
      <c r="I445" s="1" t="s">
        <v>910</v>
      </c>
      <c r="J445">
        <v>13</v>
      </c>
      <c r="K445" s="1" t="s">
        <v>48</v>
      </c>
      <c r="L445" s="1" t="s">
        <v>14</v>
      </c>
      <c r="M445">
        <v>1</v>
      </c>
      <c r="N445">
        <v>0</v>
      </c>
      <c r="O445">
        <v>0</v>
      </c>
      <c r="P445" t="s">
        <v>1748</v>
      </c>
      <c r="Q445">
        <v>1</v>
      </c>
      <c r="R445">
        <v>0</v>
      </c>
      <c r="S445">
        <v>0</v>
      </c>
      <c r="T445">
        <v>0</v>
      </c>
      <c r="U445">
        <v>0</v>
      </c>
      <c r="V445">
        <f t="shared" si="18"/>
        <v>0.87219584275330231</v>
      </c>
      <c r="W445">
        <f t="shared" si="19"/>
        <v>0.70520240168703408</v>
      </c>
      <c r="X445">
        <f t="shared" si="20"/>
        <v>0.34927042278209691</v>
      </c>
    </row>
    <row r="446" spans="1:24" x14ac:dyDescent="0.25">
      <c r="A446">
        <v>445</v>
      </c>
      <c r="B446">
        <v>1</v>
      </c>
      <c r="C446">
        <v>3</v>
      </c>
      <c r="D446" s="1" t="s">
        <v>911</v>
      </c>
      <c r="E446">
        <v>0</v>
      </c>
      <c r="F446" s="1">
        <v>32.180156657963444</v>
      </c>
      <c r="G446">
        <v>0</v>
      </c>
      <c r="H446">
        <v>0</v>
      </c>
      <c r="I446" s="1" t="s">
        <v>912</v>
      </c>
      <c r="J446">
        <v>8.1125000000000007</v>
      </c>
      <c r="K446" s="1" t="s">
        <v>48</v>
      </c>
      <c r="L446" s="1" t="s">
        <v>14</v>
      </c>
      <c r="M446">
        <v>1</v>
      </c>
      <c r="N446">
        <v>0</v>
      </c>
      <c r="O446">
        <v>0</v>
      </c>
      <c r="P446" t="s">
        <v>1741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f t="shared" si="18"/>
        <v>0</v>
      </c>
      <c r="W446">
        <f t="shared" si="19"/>
        <v>0.5</v>
      </c>
      <c r="X446">
        <f t="shared" si="20"/>
        <v>0.69314718055994529</v>
      </c>
    </row>
    <row r="447" spans="1:24" x14ac:dyDescent="0.25">
      <c r="A447">
        <v>446</v>
      </c>
      <c r="B447">
        <v>1</v>
      </c>
      <c r="C447">
        <v>1</v>
      </c>
      <c r="D447" s="1" t="s">
        <v>913</v>
      </c>
      <c r="E447">
        <v>0</v>
      </c>
      <c r="F447">
        <v>4</v>
      </c>
      <c r="G447">
        <v>0</v>
      </c>
      <c r="H447">
        <v>2</v>
      </c>
      <c r="I447" s="1" t="s">
        <v>914</v>
      </c>
      <c r="J447">
        <v>81.8583</v>
      </c>
      <c r="K447" s="1" t="s">
        <v>915</v>
      </c>
      <c r="L447" s="1" t="s">
        <v>14</v>
      </c>
      <c r="M447">
        <v>1</v>
      </c>
      <c r="N447">
        <v>0</v>
      </c>
      <c r="O447">
        <v>0</v>
      </c>
      <c r="P447" t="s">
        <v>1742</v>
      </c>
      <c r="Q447">
        <v>0</v>
      </c>
      <c r="R447">
        <v>0</v>
      </c>
      <c r="S447">
        <v>0</v>
      </c>
      <c r="T447">
        <v>1</v>
      </c>
      <c r="U447">
        <v>0</v>
      </c>
      <c r="V447">
        <f t="shared" si="18"/>
        <v>0.21766252466937555</v>
      </c>
      <c r="W447">
        <f t="shared" si="19"/>
        <v>0.55420180681382414</v>
      </c>
      <c r="X447">
        <f t="shared" si="20"/>
        <v>0.59022638633875368</v>
      </c>
    </row>
    <row r="448" spans="1:24" x14ac:dyDescent="0.25">
      <c r="A448">
        <v>447</v>
      </c>
      <c r="B448">
        <v>1</v>
      </c>
      <c r="C448">
        <v>2</v>
      </c>
      <c r="D448" s="1" t="s">
        <v>916</v>
      </c>
      <c r="E448">
        <v>1</v>
      </c>
      <c r="F448">
        <v>13</v>
      </c>
      <c r="G448">
        <v>0</v>
      </c>
      <c r="H448">
        <v>1</v>
      </c>
      <c r="I448" s="1" t="s">
        <v>579</v>
      </c>
      <c r="J448">
        <v>19.5</v>
      </c>
      <c r="K448" s="1" t="s">
        <v>48</v>
      </c>
      <c r="L448" s="1" t="s">
        <v>14</v>
      </c>
      <c r="M448">
        <v>1</v>
      </c>
      <c r="N448">
        <v>0</v>
      </c>
      <c r="O448">
        <v>0</v>
      </c>
      <c r="P448" t="s">
        <v>1739</v>
      </c>
      <c r="Q448">
        <v>1</v>
      </c>
      <c r="R448">
        <v>0</v>
      </c>
      <c r="S448">
        <v>0</v>
      </c>
      <c r="T448">
        <v>0</v>
      </c>
      <c r="U448">
        <v>0</v>
      </c>
      <c r="V448">
        <f t="shared" si="18"/>
        <v>0.87219584275330231</v>
      </c>
      <c r="W448">
        <f t="shared" si="19"/>
        <v>0.70520240168703408</v>
      </c>
      <c r="X448">
        <f t="shared" si="20"/>
        <v>0.34927042278209691</v>
      </c>
    </row>
    <row r="449" spans="1:24" x14ac:dyDescent="0.25">
      <c r="A449">
        <v>448</v>
      </c>
      <c r="B449">
        <v>1</v>
      </c>
      <c r="C449">
        <v>1</v>
      </c>
      <c r="D449" s="1" t="s">
        <v>917</v>
      </c>
      <c r="E449">
        <v>0</v>
      </c>
      <c r="F449">
        <v>34</v>
      </c>
      <c r="G449">
        <v>0</v>
      </c>
      <c r="H449">
        <v>0</v>
      </c>
      <c r="I449" s="1" t="s">
        <v>918</v>
      </c>
      <c r="J449">
        <v>26.55</v>
      </c>
      <c r="K449" s="1" t="s">
        <v>48</v>
      </c>
      <c r="L449" s="1" t="s">
        <v>14</v>
      </c>
      <c r="M449">
        <v>1</v>
      </c>
      <c r="N449">
        <v>0</v>
      </c>
      <c r="O449">
        <v>0</v>
      </c>
      <c r="P449" t="s">
        <v>1741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f t="shared" si="18"/>
        <v>0</v>
      </c>
      <c r="W449">
        <f t="shared" si="19"/>
        <v>0.5</v>
      </c>
      <c r="X449">
        <f t="shared" si="20"/>
        <v>0.69314718055994529</v>
      </c>
    </row>
    <row r="450" spans="1:24" x14ac:dyDescent="0.25">
      <c r="A450">
        <v>449</v>
      </c>
      <c r="B450">
        <v>1</v>
      </c>
      <c r="C450">
        <v>3</v>
      </c>
      <c r="D450" s="1" t="s">
        <v>919</v>
      </c>
      <c r="E450">
        <v>1</v>
      </c>
      <c r="F450">
        <v>5</v>
      </c>
      <c r="G450">
        <v>2</v>
      </c>
      <c r="H450">
        <v>1</v>
      </c>
      <c r="I450" s="1" t="s">
        <v>920</v>
      </c>
      <c r="J450">
        <v>19.258299999999998</v>
      </c>
      <c r="K450" s="1" t="s">
        <v>48</v>
      </c>
      <c r="L450" s="1" t="s">
        <v>18</v>
      </c>
      <c r="M450">
        <v>0</v>
      </c>
      <c r="N450">
        <v>1</v>
      </c>
      <c r="O450">
        <v>0</v>
      </c>
      <c r="P450" t="s">
        <v>1739</v>
      </c>
      <c r="Q450">
        <v>1</v>
      </c>
      <c r="R450">
        <v>0</v>
      </c>
      <c r="S450">
        <v>0</v>
      </c>
      <c r="T450">
        <v>0</v>
      </c>
      <c r="U450">
        <v>0</v>
      </c>
      <c r="V450">
        <f t="shared" si="18"/>
        <v>0.87219584275330231</v>
      </c>
      <c r="W450">
        <f t="shared" si="19"/>
        <v>0.70520240168703408</v>
      </c>
      <c r="X450">
        <f t="shared" si="20"/>
        <v>0.34927042278209691</v>
      </c>
    </row>
    <row r="451" spans="1:24" x14ac:dyDescent="0.25">
      <c r="A451">
        <v>450</v>
      </c>
      <c r="B451">
        <v>1</v>
      </c>
      <c r="C451">
        <v>1</v>
      </c>
      <c r="D451" s="1" t="s">
        <v>921</v>
      </c>
      <c r="E451">
        <v>0</v>
      </c>
      <c r="F451">
        <v>52</v>
      </c>
      <c r="G451">
        <v>0</v>
      </c>
      <c r="H451">
        <v>0</v>
      </c>
      <c r="I451" s="1" t="s">
        <v>922</v>
      </c>
      <c r="J451">
        <v>30.5</v>
      </c>
      <c r="K451" s="1" t="s">
        <v>923</v>
      </c>
      <c r="L451" s="1" t="s">
        <v>14</v>
      </c>
      <c r="M451">
        <v>1</v>
      </c>
      <c r="N451">
        <v>0</v>
      </c>
      <c r="O451">
        <v>0</v>
      </c>
      <c r="P451" t="s">
        <v>1749</v>
      </c>
      <c r="Q451">
        <v>0</v>
      </c>
      <c r="R451">
        <v>0</v>
      </c>
      <c r="S451">
        <v>0</v>
      </c>
      <c r="T451">
        <v>0</v>
      </c>
      <c r="U451">
        <v>1</v>
      </c>
      <c r="V451">
        <f t="shared" ref="V451:V514" si="21">$AB$1+C451*$AB$2+E451*$AB$3+F451*$AB$4+G451*$AB$5+H451*$AB$6+J451*$AB$7+M451*$AB$8+N451*$AB$9+O451*$AB$10+Q451*$AB$11+R451*$AB$12+S451*$AB$13+T451*$AB$14+U451*$AB$15</f>
        <v>0</v>
      </c>
      <c r="W451">
        <f t="shared" ref="W451:W514" si="22">1/(1+EXP(-V451))</f>
        <v>0.5</v>
      </c>
      <c r="X451">
        <f t="shared" ref="X451:X514" si="23">-(B451*LN(MAX(0.000001,MIN(0.999999,W451))) +(1-B451)*LN(MAX(0.000001,MIN(0.999999,1-W451))))</f>
        <v>0.69314718055994529</v>
      </c>
    </row>
    <row r="452" spans="1:24" x14ac:dyDescent="0.25">
      <c r="A452">
        <v>451</v>
      </c>
      <c r="B452">
        <v>0</v>
      </c>
      <c r="C452">
        <v>2</v>
      </c>
      <c r="D452" s="1" t="s">
        <v>924</v>
      </c>
      <c r="E452">
        <v>0</v>
      </c>
      <c r="F452">
        <v>36</v>
      </c>
      <c r="G452">
        <v>1</v>
      </c>
      <c r="H452">
        <v>2</v>
      </c>
      <c r="I452" s="1" t="s">
        <v>144</v>
      </c>
      <c r="J452">
        <v>27.75</v>
      </c>
      <c r="K452" s="1" t="s">
        <v>48</v>
      </c>
      <c r="L452" s="1" t="s">
        <v>14</v>
      </c>
      <c r="M452">
        <v>1</v>
      </c>
      <c r="N452">
        <v>0</v>
      </c>
      <c r="O452">
        <v>0</v>
      </c>
      <c r="P452" t="s">
        <v>1741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f t="shared" si="21"/>
        <v>0</v>
      </c>
      <c r="W452">
        <f t="shared" si="22"/>
        <v>0.5</v>
      </c>
      <c r="X452">
        <f t="shared" si="23"/>
        <v>0.69314718055994529</v>
      </c>
    </row>
    <row r="453" spans="1:24" x14ac:dyDescent="0.25">
      <c r="A453">
        <v>452</v>
      </c>
      <c r="B453">
        <v>0</v>
      </c>
      <c r="C453">
        <v>3</v>
      </c>
      <c r="D453" s="1" t="s">
        <v>925</v>
      </c>
      <c r="E453">
        <v>0</v>
      </c>
      <c r="F453" s="1">
        <v>32.180156657963444</v>
      </c>
      <c r="G453">
        <v>1</v>
      </c>
      <c r="H453">
        <v>0</v>
      </c>
      <c r="I453" s="1" t="s">
        <v>926</v>
      </c>
      <c r="J453">
        <v>19.966699999999999</v>
      </c>
      <c r="K453" s="1" t="s">
        <v>48</v>
      </c>
      <c r="L453" s="1" t="s">
        <v>14</v>
      </c>
      <c r="M453">
        <v>1</v>
      </c>
      <c r="N453">
        <v>0</v>
      </c>
      <c r="O453">
        <v>0</v>
      </c>
      <c r="P453" t="s">
        <v>1741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f t="shared" si="21"/>
        <v>0</v>
      </c>
      <c r="W453">
        <f t="shared" si="22"/>
        <v>0.5</v>
      </c>
      <c r="X453">
        <f t="shared" si="23"/>
        <v>0.69314718055994529</v>
      </c>
    </row>
    <row r="454" spans="1:24" x14ac:dyDescent="0.25">
      <c r="A454">
        <v>453</v>
      </c>
      <c r="B454">
        <v>0</v>
      </c>
      <c r="C454">
        <v>1</v>
      </c>
      <c r="D454" s="1" t="s">
        <v>927</v>
      </c>
      <c r="E454">
        <v>0</v>
      </c>
      <c r="F454">
        <v>30</v>
      </c>
      <c r="G454">
        <v>0</v>
      </c>
      <c r="H454">
        <v>0</v>
      </c>
      <c r="I454" s="1" t="s">
        <v>928</v>
      </c>
      <c r="J454">
        <v>27.75</v>
      </c>
      <c r="K454" s="1" t="s">
        <v>929</v>
      </c>
      <c r="L454" s="1" t="s">
        <v>18</v>
      </c>
      <c r="M454">
        <v>0</v>
      </c>
      <c r="N454">
        <v>1</v>
      </c>
      <c r="O454">
        <v>0</v>
      </c>
      <c r="P454" t="s">
        <v>1741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f t="shared" si="21"/>
        <v>0</v>
      </c>
      <c r="W454">
        <f t="shared" si="22"/>
        <v>0.5</v>
      </c>
      <c r="X454">
        <f t="shared" si="23"/>
        <v>0.69314718055994529</v>
      </c>
    </row>
    <row r="455" spans="1:24" x14ac:dyDescent="0.25">
      <c r="A455">
        <v>454</v>
      </c>
      <c r="B455">
        <v>1</v>
      </c>
      <c r="C455">
        <v>1</v>
      </c>
      <c r="D455" s="1" t="s">
        <v>930</v>
      </c>
      <c r="E455">
        <v>0</v>
      </c>
      <c r="F455">
        <v>49</v>
      </c>
      <c r="G455">
        <v>1</v>
      </c>
      <c r="H455">
        <v>0</v>
      </c>
      <c r="I455" s="1" t="s">
        <v>931</v>
      </c>
      <c r="J455">
        <v>89.104200000000006</v>
      </c>
      <c r="K455" s="1" t="s">
        <v>932</v>
      </c>
      <c r="L455" s="1" t="s">
        <v>18</v>
      </c>
      <c r="M455">
        <v>0</v>
      </c>
      <c r="N455">
        <v>1</v>
      </c>
      <c r="O455">
        <v>0</v>
      </c>
      <c r="P455" t="s">
        <v>1741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f t="shared" si="21"/>
        <v>0</v>
      </c>
      <c r="W455">
        <f t="shared" si="22"/>
        <v>0.5</v>
      </c>
      <c r="X455">
        <f t="shared" si="23"/>
        <v>0.69314718055994529</v>
      </c>
    </row>
    <row r="456" spans="1:24" x14ac:dyDescent="0.25">
      <c r="A456">
        <v>455</v>
      </c>
      <c r="B456">
        <v>0</v>
      </c>
      <c r="C456">
        <v>3</v>
      </c>
      <c r="D456" s="1" t="s">
        <v>933</v>
      </c>
      <c r="E456">
        <v>0</v>
      </c>
      <c r="F456" s="1">
        <v>32.180156657963444</v>
      </c>
      <c r="G456">
        <v>0</v>
      </c>
      <c r="H456">
        <v>0</v>
      </c>
      <c r="I456" s="1" t="s">
        <v>934</v>
      </c>
      <c r="J456">
        <v>8.0500000000000007</v>
      </c>
      <c r="K456" s="1" t="s">
        <v>48</v>
      </c>
      <c r="L456" s="1" t="s">
        <v>14</v>
      </c>
      <c r="M456">
        <v>1</v>
      </c>
      <c r="N456">
        <v>0</v>
      </c>
      <c r="O456">
        <v>0</v>
      </c>
      <c r="P456" t="s">
        <v>1741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f t="shared" si="21"/>
        <v>0</v>
      </c>
      <c r="W456">
        <f t="shared" si="22"/>
        <v>0.5</v>
      </c>
      <c r="X456">
        <f t="shared" si="23"/>
        <v>0.69314718055994529</v>
      </c>
    </row>
    <row r="457" spans="1:24" x14ac:dyDescent="0.25">
      <c r="A457">
        <v>456</v>
      </c>
      <c r="B457">
        <v>1</v>
      </c>
      <c r="C457">
        <v>3</v>
      </c>
      <c r="D457" s="1" t="s">
        <v>935</v>
      </c>
      <c r="E457">
        <v>0</v>
      </c>
      <c r="F457">
        <v>29</v>
      </c>
      <c r="G457">
        <v>0</v>
      </c>
      <c r="H457">
        <v>0</v>
      </c>
      <c r="I457" s="1" t="s">
        <v>936</v>
      </c>
      <c r="J457">
        <v>7.8958000000000004</v>
      </c>
      <c r="K457" s="1" t="s">
        <v>48</v>
      </c>
      <c r="L457" s="1" t="s">
        <v>18</v>
      </c>
      <c r="M457">
        <v>0</v>
      </c>
      <c r="N457">
        <v>1</v>
      </c>
      <c r="O457">
        <v>0</v>
      </c>
      <c r="P457" t="s">
        <v>1741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f t="shared" si="21"/>
        <v>0</v>
      </c>
      <c r="W457">
        <f t="shared" si="22"/>
        <v>0.5</v>
      </c>
      <c r="X457">
        <f t="shared" si="23"/>
        <v>0.69314718055994529</v>
      </c>
    </row>
    <row r="458" spans="1:24" x14ac:dyDescent="0.25">
      <c r="A458">
        <v>457</v>
      </c>
      <c r="B458">
        <v>0</v>
      </c>
      <c r="C458">
        <v>1</v>
      </c>
      <c r="D458" s="1" t="s">
        <v>937</v>
      </c>
      <c r="E458">
        <v>0</v>
      </c>
      <c r="F458">
        <v>65</v>
      </c>
      <c r="G458">
        <v>0</v>
      </c>
      <c r="H458">
        <v>0</v>
      </c>
      <c r="I458" s="1" t="s">
        <v>938</v>
      </c>
      <c r="J458">
        <v>26.55</v>
      </c>
      <c r="K458" s="1" t="s">
        <v>939</v>
      </c>
      <c r="L458" s="1" t="s">
        <v>14</v>
      </c>
      <c r="M458">
        <v>1</v>
      </c>
      <c r="N458">
        <v>0</v>
      </c>
      <c r="O458">
        <v>0</v>
      </c>
      <c r="P458" t="s">
        <v>1741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f t="shared" si="21"/>
        <v>0</v>
      </c>
      <c r="W458">
        <f t="shared" si="22"/>
        <v>0.5</v>
      </c>
      <c r="X458">
        <f t="shared" si="23"/>
        <v>0.69314718055994529</v>
      </c>
    </row>
    <row r="459" spans="1:24" x14ac:dyDescent="0.25">
      <c r="A459">
        <v>458</v>
      </c>
      <c r="B459">
        <v>1</v>
      </c>
      <c r="C459">
        <v>1</v>
      </c>
      <c r="D459" s="1" t="s">
        <v>940</v>
      </c>
      <c r="E459">
        <v>1</v>
      </c>
      <c r="F459" s="1">
        <v>35.898148148148145</v>
      </c>
      <c r="G459">
        <v>1</v>
      </c>
      <c r="H459">
        <v>0</v>
      </c>
      <c r="I459" s="1" t="s">
        <v>941</v>
      </c>
      <c r="J459">
        <v>51.862499999999997</v>
      </c>
      <c r="K459" s="1" t="s">
        <v>942</v>
      </c>
      <c r="L459" s="1" t="s">
        <v>14</v>
      </c>
      <c r="M459">
        <v>1</v>
      </c>
      <c r="N459">
        <v>0</v>
      </c>
      <c r="O459">
        <v>0</v>
      </c>
      <c r="P459" t="s">
        <v>1740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f t="shared" si="21"/>
        <v>1.3618761518134992</v>
      </c>
      <c r="W459">
        <f t="shared" si="22"/>
        <v>0.79606445234832413</v>
      </c>
      <c r="X459">
        <f t="shared" si="23"/>
        <v>0.22807512612883141</v>
      </c>
    </row>
    <row r="460" spans="1:24" x14ac:dyDescent="0.25">
      <c r="A460">
        <v>459</v>
      </c>
      <c r="B460">
        <v>1</v>
      </c>
      <c r="C460">
        <v>2</v>
      </c>
      <c r="D460" s="1" t="s">
        <v>943</v>
      </c>
      <c r="E460">
        <v>1</v>
      </c>
      <c r="F460">
        <v>50</v>
      </c>
      <c r="G460">
        <v>0</v>
      </c>
      <c r="H460">
        <v>0</v>
      </c>
      <c r="I460" s="1" t="s">
        <v>944</v>
      </c>
      <c r="J460">
        <v>10.5</v>
      </c>
      <c r="K460" s="1" t="s">
        <v>48</v>
      </c>
      <c r="L460" s="1" t="s">
        <v>14</v>
      </c>
      <c r="M460">
        <v>1</v>
      </c>
      <c r="N460">
        <v>0</v>
      </c>
      <c r="O460">
        <v>0</v>
      </c>
      <c r="P460" t="s">
        <v>1739</v>
      </c>
      <c r="Q460">
        <v>1</v>
      </c>
      <c r="R460">
        <v>0</v>
      </c>
      <c r="S460">
        <v>0</v>
      </c>
      <c r="T460">
        <v>0</v>
      </c>
      <c r="U460">
        <v>0</v>
      </c>
      <c r="V460">
        <f t="shared" si="21"/>
        <v>0.87219584275330231</v>
      </c>
      <c r="W460">
        <f t="shared" si="22"/>
        <v>0.70520240168703408</v>
      </c>
      <c r="X460">
        <f t="shared" si="23"/>
        <v>0.34927042278209691</v>
      </c>
    </row>
    <row r="461" spans="1:24" x14ac:dyDescent="0.25">
      <c r="A461">
        <v>460</v>
      </c>
      <c r="B461">
        <v>0</v>
      </c>
      <c r="C461">
        <v>3</v>
      </c>
      <c r="D461" s="1" t="s">
        <v>945</v>
      </c>
      <c r="E461">
        <v>0</v>
      </c>
      <c r="F461" s="1">
        <v>32.180156657963444</v>
      </c>
      <c r="G461">
        <v>0</v>
      </c>
      <c r="H461">
        <v>0</v>
      </c>
      <c r="I461" s="1" t="s">
        <v>946</v>
      </c>
      <c r="J461">
        <v>7.75</v>
      </c>
      <c r="K461" s="1" t="s">
        <v>48</v>
      </c>
      <c r="L461" s="1" t="s">
        <v>28</v>
      </c>
      <c r="M461">
        <v>0</v>
      </c>
      <c r="N461">
        <v>0</v>
      </c>
      <c r="O461">
        <v>1</v>
      </c>
      <c r="P461" t="s">
        <v>1741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f t="shared" si="21"/>
        <v>0</v>
      </c>
      <c r="W461">
        <f t="shared" si="22"/>
        <v>0.5</v>
      </c>
      <c r="X461">
        <f t="shared" si="23"/>
        <v>0.69314718055994529</v>
      </c>
    </row>
    <row r="462" spans="1:24" x14ac:dyDescent="0.25">
      <c r="A462">
        <v>461</v>
      </c>
      <c r="B462">
        <v>1</v>
      </c>
      <c r="C462">
        <v>1</v>
      </c>
      <c r="D462" s="1" t="s">
        <v>947</v>
      </c>
      <c r="E462">
        <v>0</v>
      </c>
      <c r="F462">
        <v>48</v>
      </c>
      <c r="G462">
        <v>0</v>
      </c>
      <c r="H462">
        <v>0</v>
      </c>
      <c r="I462" s="1" t="s">
        <v>948</v>
      </c>
      <c r="J462">
        <v>26.55</v>
      </c>
      <c r="K462" s="1" t="s">
        <v>949</v>
      </c>
      <c r="L462" s="1" t="s">
        <v>14</v>
      </c>
      <c r="M462">
        <v>1</v>
      </c>
      <c r="N462">
        <v>0</v>
      </c>
      <c r="O462">
        <v>0</v>
      </c>
      <c r="P462" t="s">
        <v>1741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f t="shared" si="21"/>
        <v>0</v>
      </c>
      <c r="W462">
        <f t="shared" si="22"/>
        <v>0.5</v>
      </c>
      <c r="X462">
        <f t="shared" si="23"/>
        <v>0.69314718055994529</v>
      </c>
    </row>
    <row r="463" spans="1:24" x14ac:dyDescent="0.25">
      <c r="A463">
        <v>462</v>
      </c>
      <c r="B463">
        <v>0</v>
      </c>
      <c r="C463">
        <v>3</v>
      </c>
      <c r="D463" s="1" t="s">
        <v>950</v>
      </c>
      <c r="E463">
        <v>0</v>
      </c>
      <c r="F463">
        <v>34</v>
      </c>
      <c r="G463">
        <v>0</v>
      </c>
      <c r="H463">
        <v>0</v>
      </c>
      <c r="I463" s="1" t="s">
        <v>951</v>
      </c>
      <c r="J463">
        <v>8.0500000000000007</v>
      </c>
      <c r="K463" s="1" t="s">
        <v>48</v>
      </c>
      <c r="L463" s="1" t="s">
        <v>14</v>
      </c>
      <c r="M463">
        <v>1</v>
      </c>
      <c r="N463">
        <v>0</v>
      </c>
      <c r="O463">
        <v>0</v>
      </c>
      <c r="P463" t="s">
        <v>1741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f t="shared" si="21"/>
        <v>0</v>
      </c>
      <c r="W463">
        <f t="shared" si="22"/>
        <v>0.5</v>
      </c>
      <c r="X463">
        <f t="shared" si="23"/>
        <v>0.69314718055994529</v>
      </c>
    </row>
    <row r="464" spans="1:24" x14ac:dyDescent="0.25">
      <c r="A464">
        <v>463</v>
      </c>
      <c r="B464">
        <v>0</v>
      </c>
      <c r="C464">
        <v>1</v>
      </c>
      <c r="D464" s="1" t="s">
        <v>952</v>
      </c>
      <c r="E464">
        <v>0</v>
      </c>
      <c r="F464">
        <v>47</v>
      </c>
      <c r="G464">
        <v>0</v>
      </c>
      <c r="H464">
        <v>0</v>
      </c>
      <c r="I464" s="1" t="s">
        <v>953</v>
      </c>
      <c r="J464">
        <v>38.5</v>
      </c>
      <c r="K464" s="1" t="s">
        <v>954</v>
      </c>
      <c r="L464" s="1" t="s">
        <v>14</v>
      </c>
      <c r="M464">
        <v>1</v>
      </c>
      <c r="N464">
        <v>0</v>
      </c>
      <c r="O464">
        <v>0</v>
      </c>
      <c r="P464" t="s">
        <v>1741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f t="shared" si="21"/>
        <v>0</v>
      </c>
      <c r="W464">
        <f t="shared" si="22"/>
        <v>0.5</v>
      </c>
      <c r="X464">
        <f t="shared" si="23"/>
        <v>0.69314718055994529</v>
      </c>
    </row>
    <row r="465" spans="1:24" x14ac:dyDescent="0.25">
      <c r="A465">
        <v>464</v>
      </c>
      <c r="B465">
        <v>0</v>
      </c>
      <c r="C465">
        <v>2</v>
      </c>
      <c r="D465" s="1" t="s">
        <v>955</v>
      </c>
      <c r="E465">
        <v>0</v>
      </c>
      <c r="F465">
        <v>48</v>
      </c>
      <c r="G465">
        <v>0</v>
      </c>
      <c r="H465">
        <v>0</v>
      </c>
      <c r="I465" s="1" t="s">
        <v>956</v>
      </c>
      <c r="J465">
        <v>13</v>
      </c>
      <c r="K465" s="1" t="s">
        <v>48</v>
      </c>
      <c r="L465" s="1" t="s">
        <v>14</v>
      </c>
      <c r="M465">
        <v>1</v>
      </c>
      <c r="N465">
        <v>0</v>
      </c>
      <c r="O465">
        <v>0</v>
      </c>
      <c r="P465" t="s">
        <v>1741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f t="shared" si="21"/>
        <v>0</v>
      </c>
      <c r="W465">
        <f t="shared" si="22"/>
        <v>0.5</v>
      </c>
      <c r="X465">
        <f t="shared" si="23"/>
        <v>0.69314718055994529</v>
      </c>
    </row>
    <row r="466" spans="1:24" x14ac:dyDescent="0.25">
      <c r="A466">
        <v>465</v>
      </c>
      <c r="B466">
        <v>0</v>
      </c>
      <c r="C466">
        <v>3</v>
      </c>
      <c r="D466" s="1" t="s">
        <v>957</v>
      </c>
      <c r="E466">
        <v>0</v>
      </c>
      <c r="F466" s="1">
        <v>32.180156657963444</v>
      </c>
      <c r="G466">
        <v>0</v>
      </c>
      <c r="H466">
        <v>0</v>
      </c>
      <c r="I466" s="1" t="s">
        <v>958</v>
      </c>
      <c r="J466">
        <v>8.0500000000000007</v>
      </c>
      <c r="K466" s="1" t="s">
        <v>48</v>
      </c>
      <c r="L466" s="1" t="s">
        <v>14</v>
      </c>
      <c r="M466">
        <v>1</v>
      </c>
      <c r="N466">
        <v>0</v>
      </c>
      <c r="O466">
        <v>0</v>
      </c>
      <c r="P466" t="s">
        <v>1741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f t="shared" si="21"/>
        <v>0</v>
      </c>
      <c r="W466">
        <f t="shared" si="22"/>
        <v>0.5</v>
      </c>
      <c r="X466">
        <f t="shared" si="23"/>
        <v>0.69314718055994529</v>
      </c>
    </row>
    <row r="467" spans="1:24" x14ac:dyDescent="0.25">
      <c r="A467">
        <v>466</v>
      </c>
      <c r="B467">
        <v>0</v>
      </c>
      <c r="C467">
        <v>3</v>
      </c>
      <c r="D467" s="1" t="s">
        <v>959</v>
      </c>
      <c r="E467">
        <v>0</v>
      </c>
      <c r="F467">
        <v>38</v>
      </c>
      <c r="G467">
        <v>0</v>
      </c>
      <c r="H467">
        <v>0</v>
      </c>
      <c r="I467" s="1" t="s">
        <v>960</v>
      </c>
      <c r="J467">
        <v>7.05</v>
      </c>
      <c r="K467" s="1" t="s">
        <v>48</v>
      </c>
      <c r="L467" s="1" t="s">
        <v>14</v>
      </c>
      <c r="M467">
        <v>1</v>
      </c>
      <c r="N467">
        <v>0</v>
      </c>
      <c r="O467">
        <v>0</v>
      </c>
      <c r="P467" t="s">
        <v>1741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f t="shared" si="21"/>
        <v>0</v>
      </c>
      <c r="W467">
        <f t="shared" si="22"/>
        <v>0.5</v>
      </c>
      <c r="X467">
        <f t="shared" si="23"/>
        <v>0.69314718055994529</v>
      </c>
    </row>
    <row r="468" spans="1:24" x14ac:dyDescent="0.25">
      <c r="A468">
        <v>467</v>
      </c>
      <c r="B468">
        <v>0</v>
      </c>
      <c r="C468">
        <v>2</v>
      </c>
      <c r="D468" s="1" t="s">
        <v>961</v>
      </c>
      <c r="E468">
        <v>0</v>
      </c>
      <c r="F468" s="1">
        <v>32.180156657963444</v>
      </c>
      <c r="G468">
        <v>0</v>
      </c>
      <c r="H468">
        <v>0</v>
      </c>
      <c r="I468" s="1" t="s">
        <v>591</v>
      </c>
      <c r="J468">
        <v>0</v>
      </c>
      <c r="K468" s="1" t="s">
        <v>48</v>
      </c>
      <c r="L468" s="1" t="s">
        <v>14</v>
      </c>
      <c r="M468">
        <v>1</v>
      </c>
      <c r="N468">
        <v>0</v>
      </c>
      <c r="O468">
        <v>0</v>
      </c>
      <c r="P468" t="s">
        <v>1741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f t="shared" si="21"/>
        <v>0</v>
      </c>
      <c r="W468">
        <f t="shared" si="22"/>
        <v>0.5</v>
      </c>
      <c r="X468">
        <f t="shared" si="23"/>
        <v>0.69314718055994529</v>
      </c>
    </row>
    <row r="469" spans="1:24" x14ac:dyDescent="0.25">
      <c r="A469">
        <v>468</v>
      </c>
      <c r="B469">
        <v>0</v>
      </c>
      <c r="C469">
        <v>1</v>
      </c>
      <c r="D469" s="1" t="s">
        <v>962</v>
      </c>
      <c r="E469">
        <v>0</v>
      </c>
      <c r="F469">
        <v>56</v>
      </c>
      <c r="G469">
        <v>0</v>
      </c>
      <c r="H469">
        <v>0</v>
      </c>
      <c r="I469" s="1" t="s">
        <v>963</v>
      </c>
      <c r="J469">
        <v>26.55</v>
      </c>
      <c r="K469" s="1" t="s">
        <v>48</v>
      </c>
      <c r="L469" s="1" t="s">
        <v>14</v>
      </c>
      <c r="M469">
        <v>1</v>
      </c>
      <c r="N469">
        <v>0</v>
      </c>
      <c r="O469">
        <v>0</v>
      </c>
      <c r="P469" t="s">
        <v>1741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f t="shared" si="21"/>
        <v>0</v>
      </c>
      <c r="W469">
        <f t="shared" si="22"/>
        <v>0.5</v>
      </c>
      <c r="X469">
        <f t="shared" si="23"/>
        <v>0.69314718055994529</v>
      </c>
    </row>
    <row r="470" spans="1:24" x14ac:dyDescent="0.25">
      <c r="A470">
        <v>469</v>
      </c>
      <c r="B470">
        <v>0</v>
      </c>
      <c r="C470">
        <v>3</v>
      </c>
      <c r="D470" s="1" t="s">
        <v>964</v>
      </c>
      <c r="E470">
        <v>0</v>
      </c>
      <c r="F470" s="1">
        <v>32.180156657963444</v>
      </c>
      <c r="G470">
        <v>0</v>
      </c>
      <c r="H470">
        <v>0</v>
      </c>
      <c r="I470" s="1" t="s">
        <v>965</v>
      </c>
      <c r="J470">
        <v>7.7249999999999996</v>
      </c>
      <c r="K470" s="1" t="s">
        <v>48</v>
      </c>
      <c r="L470" s="1" t="s">
        <v>28</v>
      </c>
      <c r="M470">
        <v>0</v>
      </c>
      <c r="N470">
        <v>0</v>
      </c>
      <c r="O470">
        <v>1</v>
      </c>
      <c r="P470" t="s">
        <v>1741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f t="shared" si="21"/>
        <v>0</v>
      </c>
      <c r="W470">
        <f t="shared" si="22"/>
        <v>0.5</v>
      </c>
      <c r="X470">
        <f t="shared" si="23"/>
        <v>0.69314718055994529</v>
      </c>
    </row>
    <row r="471" spans="1:24" x14ac:dyDescent="0.25">
      <c r="A471">
        <v>470</v>
      </c>
      <c r="B471">
        <v>1</v>
      </c>
      <c r="C471">
        <v>3</v>
      </c>
      <c r="D471" s="1" t="s">
        <v>966</v>
      </c>
      <c r="E471">
        <v>1</v>
      </c>
      <c r="F471" s="1">
        <v>21.98581560283688</v>
      </c>
      <c r="G471">
        <v>2</v>
      </c>
      <c r="H471">
        <v>1</v>
      </c>
      <c r="I471" s="1" t="s">
        <v>920</v>
      </c>
      <c r="J471">
        <v>19.258299999999998</v>
      </c>
      <c r="K471" s="1" t="s">
        <v>48</v>
      </c>
      <c r="L471" s="1" t="s">
        <v>18</v>
      </c>
      <c r="M471">
        <v>0</v>
      </c>
      <c r="N471">
        <v>1</v>
      </c>
      <c r="O471">
        <v>0</v>
      </c>
      <c r="P471" t="s">
        <v>1739</v>
      </c>
      <c r="Q471">
        <v>1</v>
      </c>
      <c r="R471">
        <v>0</v>
      </c>
      <c r="S471">
        <v>0</v>
      </c>
      <c r="T471">
        <v>0</v>
      </c>
      <c r="U471">
        <v>0</v>
      </c>
      <c r="V471">
        <f t="shared" si="21"/>
        <v>0.87219584275330231</v>
      </c>
      <c r="W471">
        <f t="shared" si="22"/>
        <v>0.70520240168703408</v>
      </c>
      <c r="X471">
        <f t="shared" si="23"/>
        <v>0.34927042278209691</v>
      </c>
    </row>
    <row r="472" spans="1:24" x14ac:dyDescent="0.25">
      <c r="A472">
        <v>471</v>
      </c>
      <c r="B472">
        <v>0</v>
      </c>
      <c r="C472">
        <v>3</v>
      </c>
      <c r="D472" s="1" t="s">
        <v>967</v>
      </c>
      <c r="E472">
        <v>0</v>
      </c>
      <c r="F472" s="1">
        <v>32.180156657963444</v>
      </c>
      <c r="G472">
        <v>0</v>
      </c>
      <c r="H472">
        <v>0</v>
      </c>
      <c r="I472" s="1" t="s">
        <v>968</v>
      </c>
      <c r="J472">
        <v>7.25</v>
      </c>
      <c r="K472" s="1" t="s">
        <v>48</v>
      </c>
      <c r="L472" s="1" t="s">
        <v>14</v>
      </c>
      <c r="M472">
        <v>1</v>
      </c>
      <c r="N472">
        <v>0</v>
      </c>
      <c r="O472">
        <v>0</v>
      </c>
      <c r="P472" t="s">
        <v>1741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f t="shared" si="21"/>
        <v>0</v>
      </c>
      <c r="W472">
        <f t="shared" si="22"/>
        <v>0.5</v>
      </c>
      <c r="X472">
        <f t="shared" si="23"/>
        <v>0.69314718055994529</v>
      </c>
    </row>
    <row r="473" spans="1:24" x14ac:dyDescent="0.25">
      <c r="A473">
        <v>472</v>
      </c>
      <c r="B473">
        <v>0</v>
      </c>
      <c r="C473">
        <v>3</v>
      </c>
      <c r="D473" s="1" t="s">
        <v>969</v>
      </c>
      <c r="E473">
        <v>0</v>
      </c>
      <c r="F473">
        <v>38</v>
      </c>
      <c r="G473">
        <v>0</v>
      </c>
      <c r="H473">
        <v>0</v>
      </c>
      <c r="I473" s="1" t="s">
        <v>970</v>
      </c>
      <c r="J473">
        <v>8.6624999999999996</v>
      </c>
      <c r="K473" s="1" t="s">
        <v>48</v>
      </c>
      <c r="L473" s="1" t="s">
        <v>14</v>
      </c>
      <c r="M473">
        <v>1</v>
      </c>
      <c r="N473">
        <v>0</v>
      </c>
      <c r="O473">
        <v>0</v>
      </c>
      <c r="P473" t="s">
        <v>1741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f t="shared" si="21"/>
        <v>0</v>
      </c>
      <c r="W473">
        <f t="shared" si="22"/>
        <v>0.5</v>
      </c>
      <c r="X473">
        <f t="shared" si="23"/>
        <v>0.69314718055994529</v>
      </c>
    </row>
    <row r="474" spans="1:24" x14ac:dyDescent="0.25">
      <c r="A474">
        <v>473</v>
      </c>
      <c r="B474">
        <v>1</v>
      </c>
      <c r="C474">
        <v>2</v>
      </c>
      <c r="D474" s="1" t="s">
        <v>971</v>
      </c>
      <c r="E474">
        <v>1</v>
      </c>
      <c r="F474">
        <v>33</v>
      </c>
      <c r="G474">
        <v>1</v>
      </c>
      <c r="H474">
        <v>2</v>
      </c>
      <c r="I474" s="1" t="s">
        <v>144</v>
      </c>
      <c r="J474">
        <v>27.75</v>
      </c>
      <c r="K474" s="1" t="s">
        <v>48</v>
      </c>
      <c r="L474" s="1" t="s">
        <v>14</v>
      </c>
      <c r="M474">
        <v>1</v>
      </c>
      <c r="N474">
        <v>0</v>
      </c>
      <c r="O474">
        <v>0</v>
      </c>
      <c r="P474" t="s">
        <v>1740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f t="shared" si="21"/>
        <v>1.3618761518134992</v>
      </c>
      <c r="W474">
        <f t="shared" si="22"/>
        <v>0.79606445234832413</v>
      </c>
      <c r="X474">
        <f t="shared" si="23"/>
        <v>0.22807512612883141</v>
      </c>
    </row>
    <row r="475" spans="1:24" x14ac:dyDescent="0.25">
      <c r="A475">
        <v>474</v>
      </c>
      <c r="B475">
        <v>1</v>
      </c>
      <c r="C475">
        <v>2</v>
      </c>
      <c r="D475" s="1" t="s">
        <v>972</v>
      </c>
      <c r="E475">
        <v>1</v>
      </c>
      <c r="F475">
        <v>23</v>
      </c>
      <c r="G475">
        <v>0</v>
      </c>
      <c r="H475">
        <v>0</v>
      </c>
      <c r="I475" s="1" t="s">
        <v>973</v>
      </c>
      <c r="J475">
        <v>13.791700000000001</v>
      </c>
      <c r="K475" s="1" t="s">
        <v>623</v>
      </c>
      <c r="L475" s="1" t="s">
        <v>18</v>
      </c>
      <c r="M475">
        <v>0</v>
      </c>
      <c r="N475">
        <v>1</v>
      </c>
      <c r="O475">
        <v>0</v>
      </c>
      <c r="P475" t="s">
        <v>1740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f t="shared" si="21"/>
        <v>1.3618761518134992</v>
      </c>
      <c r="W475">
        <f t="shared" si="22"/>
        <v>0.79606445234832413</v>
      </c>
      <c r="X475">
        <f t="shared" si="23"/>
        <v>0.22807512612883141</v>
      </c>
    </row>
    <row r="476" spans="1:24" x14ac:dyDescent="0.25">
      <c r="A476">
        <v>475</v>
      </c>
      <c r="B476">
        <v>0</v>
      </c>
      <c r="C476">
        <v>3</v>
      </c>
      <c r="D476" s="1" t="s">
        <v>974</v>
      </c>
      <c r="E476">
        <v>1</v>
      </c>
      <c r="F476">
        <v>22</v>
      </c>
      <c r="G476">
        <v>0</v>
      </c>
      <c r="H476">
        <v>0</v>
      </c>
      <c r="I476" s="1" t="s">
        <v>975</v>
      </c>
      <c r="J476">
        <v>9.8375000000000004</v>
      </c>
      <c r="K476" s="1" t="s">
        <v>48</v>
      </c>
      <c r="L476" s="1" t="s">
        <v>14</v>
      </c>
      <c r="M476">
        <v>1</v>
      </c>
      <c r="N476">
        <v>0</v>
      </c>
      <c r="O476">
        <v>0</v>
      </c>
      <c r="P476" t="s">
        <v>1739</v>
      </c>
      <c r="Q476">
        <v>1</v>
      </c>
      <c r="R476">
        <v>0</v>
      </c>
      <c r="S476">
        <v>0</v>
      </c>
      <c r="T476">
        <v>0</v>
      </c>
      <c r="U476">
        <v>0</v>
      </c>
      <c r="V476">
        <f t="shared" si="21"/>
        <v>0.87219584275330231</v>
      </c>
      <c r="W476">
        <f t="shared" si="22"/>
        <v>0.70520240168703408</v>
      </c>
      <c r="X476">
        <f t="shared" si="23"/>
        <v>1.2214662655353992</v>
      </c>
    </row>
    <row r="477" spans="1:24" x14ac:dyDescent="0.25">
      <c r="A477">
        <v>476</v>
      </c>
      <c r="B477">
        <v>0</v>
      </c>
      <c r="C477">
        <v>1</v>
      </c>
      <c r="D477" s="1" t="s">
        <v>976</v>
      </c>
      <c r="E477">
        <v>0</v>
      </c>
      <c r="F477" s="1">
        <v>32.180156657963444</v>
      </c>
      <c r="G477">
        <v>0</v>
      </c>
      <c r="H477">
        <v>0</v>
      </c>
      <c r="I477" s="1" t="s">
        <v>254</v>
      </c>
      <c r="J477">
        <v>52</v>
      </c>
      <c r="K477" s="1" t="s">
        <v>977</v>
      </c>
      <c r="L477" s="1" t="s">
        <v>14</v>
      </c>
      <c r="M477">
        <v>1</v>
      </c>
      <c r="N477">
        <v>0</v>
      </c>
      <c r="O477">
        <v>0</v>
      </c>
      <c r="P477" t="s">
        <v>1741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f t="shared" si="21"/>
        <v>0</v>
      </c>
      <c r="W477">
        <f t="shared" si="22"/>
        <v>0.5</v>
      </c>
      <c r="X477">
        <f t="shared" si="23"/>
        <v>0.69314718055994529</v>
      </c>
    </row>
    <row r="478" spans="1:24" x14ac:dyDescent="0.25">
      <c r="A478">
        <v>477</v>
      </c>
      <c r="B478">
        <v>0</v>
      </c>
      <c r="C478">
        <v>2</v>
      </c>
      <c r="D478" s="1" t="s">
        <v>978</v>
      </c>
      <c r="E478">
        <v>0</v>
      </c>
      <c r="F478">
        <v>34</v>
      </c>
      <c r="G478">
        <v>1</v>
      </c>
      <c r="H478">
        <v>0</v>
      </c>
      <c r="I478" s="1" t="s">
        <v>979</v>
      </c>
      <c r="J478">
        <v>21</v>
      </c>
      <c r="K478" s="1" t="s">
        <v>48</v>
      </c>
      <c r="L478" s="1" t="s">
        <v>14</v>
      </c>
      <c r="M478">
        <v>1</v>
      </c>
      <c r="N478">
        <v>0</v>
      </c>
      <c r="O478">
        <v>0</v>
      </c>
      <c r="P478" t="s">
        <v>1741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f t="shared" si="21"/>
        <v>0</v>
      </c>
      <c r="W478">
        <f t="shared" si="22"/>
        <v>0.5</v>
      </c>
      <c r="X478">
        <f t="shared" si="23"/>
        <v>0.69314718055994529</v>
      </c>
    </row>
    <row r="479" spans="1:24" x14ac:dyDescent="0.25">
      <c r="A479">
        <v>478</v>
      </c>
      <c r="B479">
        <v>0</v>
      </c>
      <c r="C479">
        <v>3</v>
      </c>
      <c r="D479" s="1" t="s">
        <v>980</v>
      </c>
      <c r="E479">
        <v>0</v>
      </c>
      <c r="F479">
        <v>29</v>
      </c>
      <c r="G479">
        <v>1</v>
      </c>
      <c r="H479">
        <v>0</v>
      </c>
      <c r="I479" s="1" t="s">
        <v>981</v>
      </c>
      <c r="J479">
        <v>7.0457999999999998</v>
      </c>
      <c r="K479" s="1" t="s">
        <v>48</v>
      </c>
      <c r="L479" s="1" t="s">
        <v>14</v>
      </c>
      <c r="M479">
        <v>1</v>
      </c>
      <c r="N479">
        <v>0</v>
      </c>
      <c r="O479">
        <v>0</v>
      </c>
      <c r="P479" t="s">
        <v>1741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f t="shared" si="21"/>
        <v>0</v>
      </c>
      <c r="W479">
        <f t="shared" si="22"/>
        <v>0.5</v>
      </c>
      <c r="X479">
        <f t="shared" si="23"/>
        <v>0.69314718055994529</v>
      </c>
    </row>
    <row r="480" spans="1:24" x14ac:dyDescent="0.25">
      <c r="A480">
        <v>479</v>
      </c>
      <c r="B480">
        <v>0</v>
      </c>
      <c r="C480">
        <v>3</v>
      </c>
      <c r="D480" s="1" t="s">
        <v>982</v>
      </c>
      <c r="E480">
        <v>0</v>
      </c>
      <c r="F480">
        <v>22</v>
      </c>
      <c r="G480">
        <v>0</v>
      </c>
      <c r="H480">
        <v>0</v>
      </c>
      <c r="I480" s="1" t="s">
        <v>983</v>
      </c>
      <c r="J480">
        <v>7.5208000000000004</v>
      </c>
      <c r="K480" s="1" t="s">
        <v>48</v>
      </c>
      <c r="L480" s="1" t="s">
        <v>14</v>
      </c>
      <c r="M480">
        <v>1</v>
      </c>
      <c r="N480">
        <v>0</v>
      </c>
      <c r="O480">
        <v>0</v>
      </c>
      <c r="P480" t="s">
        <v>1741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f t="shared" si="21"/>
        <v>0</v>
      </c>
      <c r="W480">
        <f t="shared" si="22"/>
        <v>0.5</v>
      </c>
      <c r="X480">
        <f t="shared" si="23"/>
        <v>0.69314718055994529</v>
      </c>
    </row>
    <row r="481" spans="1:24" x14ac:dyDescent="0.25">
      <c r="A481">
        <v>480</v>
      </c>
      <c r="B481">
        <v>1</v>
      </c>
      <c r="C481">
        <v>3</v>
      </c>
      <c r="D481" s="1" t="s">
        <v>984</v>
      </c>
      <c r="E481">
        <v>1</v>
      </c>
      <c r="F481">
        <v>2</v>
      </c>
      <c r="G481">
        <v>0</v>
      </c>
      <c r="H481">
        <v>1</v>
      </c>
      <c r="I481" s="1" t="s">
        <v>985</v>
      </c>
      <c r="J481">
        <v>12.2875</v>
      </c>
      <c r="K481" s="1" t="s">
        <v>48</v>
      </c>
      <c r="L481" s="1" t="s">
        <v>14</v>
      </c>
      <c r="M481">
        <v>1</v>
      </c>
      <c r="N481">
        <v>0</v>
      </c>
      <c r="O481">
        <v>0</v>
      </c>
      <c r="P481" t="s">
        <v>1739</v>
      </c>
      <c r="Q481">
        <v>1</v>
      </c>
      <c r="R481">
        <v>0</v>
      </c>
      <c r="S481">
        <v>0</v>
      </c>
      <c r="T481">
        <v>0</v>
      </c>
      <c r="U481">
        <v>0</v>
      </c>
      <c r="V481">
        <f t="shared" si="21"/>
        <v>0.87219584275330231</v>
      </c>
      <c r="W481">
        <f t="shared" si="22"/>
        <v>0.70520240168703408</v>
      </c>
      <c r="X481">
        <f t="shared" si="23"/>
        <v>0.34927042278209691</v>
      </c>
    </row>
    <row r="482" spans="1:24" x14ac:dyDescent="0.25">
      <c r="A482">
        <v>481</v>
      </c>
      <c r="B482">
        <v>0</v>
      </c>
      <c r="C482">
        <v>3</v>
      </c>
      <c r="D482" s="1" t="s">
        <v>986</v>
      </c>
      <c r="E482">
        <v>0</v>
      </c>
      <c r="F482">
        <v>9</v>
      </c>
      <c r="G482">
        <v>5</v>
      </c>
      <c r="H482">
        <v>2</v>
      </c>
      <c r="I482" s="1" t="s">
        <v>146</v>
      </c>
      <c r="J482">
        <v>46.9</v>
      </c>
      <c r="K482" s="1" t="s">
        <v>48</v>
      </c>
      <c r="L482" s="1" t="s">
        <v>14</v>
      </c>
      <c r="M482">
        <v>1</v>
      </c>
      <c r="N482">
        <v>0</v>
      </c>
      <c r="O482">
        <v>0</v>
      </c>
      <c r="P482" t="s">
        <v>1742</v>
      </c>
      <c r="Q482">
        <v>0</v>
      </c>
      <c r="R482">
        <v>0</v>
      </c>
      <c r="S482">
        <v>0</v>
      </c>
      <c r="T482">
        <v>1</v>
      </c>
      <c r="U482">
        <v>0</v>
      </c>
      <c r="V482">
        <f t="shared" si="21"/>
        <v>0.21766252466937555</v>
      </c>
      <c r="W482">
        <f t="shared" si="22"/>
        <v>0.55420180681382414</v>
      </c>
      <c r="X482">
        <f t="shared" si="23"/>
        <v>0.8078889110081291</v>
      </c>
    </row>
    <row r="483" spans="1:24" x14ac:dyDescent="0.25">
      <c r="A483">
        <v>482</v>
      </c>
      <c r="B483">
        <v>0</v>
      </c>
      <c r="C483">
        <v>2</v>
      </c>
      <c r="D483" s="1" t="s">
        <v>987</v>
      </c>
      <c r="E483">
        <v>0</v>
      </c>
      <c r="F483" s="1">
        <v>32.180156657963444</v>
      </c>
      <c r="G483">
        <v>0</v>
      </c>
      <c r="H483">
        <v>0</v>
      </c>
      <c r="I483" s="1" t="s">
        <v>988</v>
      </c>
      <c r="J483">
        <v>0</v>
      </c>
      <c r="K483" s="1" t="s">
        <v>48</v>
      </c>
      <c r="L483" s="1" t="s">
        <v>14</v>
      </c>
      <c r="M483">
        <v>1</v>
      </c>
      <c r="N483">
        <v>0</v>
      </c>
      <c r="O483">
        <v>0</v>
      </c>
      <c r="P483" t="s">
        <v>1741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f t="shared" si="21"/>
        <v>0</v>
      </c>
      <c r="W483">
        <f t="shared" si="22"/>
        <v>0.5</v>
      </c>
      <c r="X483">
        <f t="shared" si="23"/>
        <v>0.69314718055994529</v>
      </c>
    </row>
    <row r="484" spans="1:24" x14ac:dyDescent="0.25">
      <c r="A484">
        <v>483</v>
      </c>
      <c r="B484">
        <v>0</v>
      </c>
      <c r="C484">
        <v>3</v>
      </c>
      <c r="D484" s="1" t="s">
        <v>989</v>
      </c>
      <c r="E484">
        <v>0</v>
      </c>
      <c r="F484">
        <v>50</v>
      </c>
      <c r="G484">
        <v>0</v>
      </c>
      <c r="H484">
        <v>0</v>
      </c>
      <c r="I484" s="1" t="s">
        <v>990</v>
      </c>
      <c r="J484">
        <v>8.0500000000000007</v>
      </c>
      <c r="K484" s="1" t="s">
        <v>48</v>
      </c>
      <c r="L484" s="1" t="s">
        <v>14</v>
      </c>
      <c r="M484">
        <v>1</v>
      </c>
      <c r="N484">
        <v>0</v>
      </c>
      <c r="O484">
        <v>0</v>
      </c>
      <c r="P484" t="s">
        <v>1741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f t="shared" si="21"/>
        <v>0</v>
      </c>
      <c r="W484">
        <f t="shared" si="22"/>
        <v>0.5</v>
      </c>
      <c r="X484">
        <f t="shared" si="23"/>
        <v>0.69314718055994529</v>
      </c>
    </row>
    <row r="485" spans="1:24" x14ac:dyDescent="0.25">
      <c r="A485">
        <v>484</v>
      </c>
      <c r="B485">
        <v>1</v>
      </c>
      <c r="C485">
        <v>3</v>
      </c>
      <c r="D485" s="1" t="s">
        <v>991</v>
      </c>
      <c r="E485">
        <v>1</v>
      </c>
      <c r="F485">
        <v>63</v>
      </c>
      <c r="G485">
        <v>0</v>
      </c>
      <c r="H485">
        <v>0</v>
      </c>
      <c r="I485" s="1" t="s">
        <v>992</v>
      </c>
      <c r="J485">
        <v>9.5875000000000004</v>
      </c>
      <c r="K485" s="1" t="s">
        <v>48</v>
      </c>
      <c r="L485" s="1" t="s">
        <v>14</v>
      </c>
      <c r="M485">
        <v>1</v>
      </c>
      <c r="N485">
        <v>0</v>
      </c>
      <c r="O485">
        <v>0</v>
      </c>
      <c r="P485" t="s">
        <v>1740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f t="shared" si="21"/>
        <v>1.3618761518134992</v>
      </c>
      <c r="W485">
        <f t="shared" si="22"/>
        <v>0.79606445234832413</v>
      </c>
      <c r="X485">
        <f t="shared" si="23"/>
        <v>0.22807512612883141</v>
      </c>
    </row>
    <row r="486" spans="1:24" x14ac:dyDescent="0.25">
      <c r="A486">
        <v>485</v>
      </c>
      <c r="B486">
        <v>1</v>
      </c>
      <c r="C486">
        <v>1</v>
      </c>
      <c r="D486" s="1" t="s">
        <v>993</v>
      </c>
      <c r="E486">
        <v>0</v>
      </c>
      <c r="F486">
        <v>25</v>
      </c>
      <c r="G486">
        <v>1</v>
      </c>
      <c r="H486">
        <v>0</v>
      </c>
      <c r="I486" s="1" t="s">
        <v>619</v>
      </c>
      <c r="J486">
        <v>91.0792</v>
      </c>
      <c r="K486" s="1" t="s">
        <v>620</v>
      </c>
      <c r="L486" s="1" t="s">
        <v>18</v>
      </c>
      <c r="M486">
        <v>0</v>
      </c>
      <c r="N486">
        <v>1</v>
      </c>
      <c r="O486">
        <v>0</v>
      </c>
      <c r="P486" t="s">
        <v>1741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f t="shared" si="21"/>
        <v>0</v>
      </c>
      <c r="W486">
        <f t="shared" si="22"/>
        <v>0.5</v>
      </c>
      <c r="X486">
        <f t="shared" si="23"/>
        <v>0.69314718055994529</v>
      </c>
    </row>
    <row r="487" spans="1:24" x14ac:dyDescent="0.25">
      <c r="A487">
        <v>486</v>
      </c>
      <c r="B487">
        <v>0</v>
      </c>
      <c r="C487">
        <v>3</v>
      </c>
      <c r="D487" s="1" t="s">
        <v>994</v>
      </c>
      <c r="E487">
        <v>1</v>
      </c>
      <c r="F487" s="1">
        <v>21.98581560283688</v>
      </c>
      <c r="G487">
        <v>3</v>
      </c>
      <c r="H487">
        <v>1</v>
      </c>
      <c r="I487" s="1" t="s">
        <v>384</v>
      </c>
      <c r="J487">
        <v>25.466699999999999</v>
      </c>
      <c r="K487" s="1" t="s">
        <v>48</v>
      </c>
      <c r="L487" s="1" t="s">
        <v>14</v>
      </c>
      <c r="M487">
        <v>1</v>
      </c>
      <c r="N487">
        <v>0</v>
      </c>
      <c r="O487">
        <v>0</v>
      </c>
      <c r="P487" t="s">
        <v>1739</v>
      </c>
      <c r="Q487">
        <v>1</v>
      </c>
      <c r="R487">
        <v>0</v>
      </c>
      <c r="S487">
        <v>0</v>
      </c>
      <c r="T487">
        <v>0</v>
      </c>
      <c r="U487">
        <v>0</v>
      </c>
      <c r="V487">
        <f t="shared" si="21"/>
        <v>0.87219584275330231</v>
      </c>
      <c r="W487">
        <f t="shared" si="22"/>
        <v>0.70520240168703408</v>
      </c>
      <c r="X487">
        <f t="shared" si="23"/>
        <v>1.2214662655353992</v>
      </c>
    </row>
    <row r="488" spans="1:24" x14ac:dyDescent="0.25">
      <c r="A488">
        <v>487</v>
      </c>
      <c r="B488">
        <v>1</v>
      </c>
      <c r="C488">
        <v>1</v>
      </c>
      <c r="D488" s="1" t="s">
        <v>995</v>
      </c>
      <c r="E488">
        <v>1</v>
      </c>
      <c r="F488">
        <v>35</v>
      </c>
      <c r="G488">
        <v>1</v>
      </c>
      <c r="H488">
        <v>0</v>
      </c>
      <c r="I488" s="1" t="s">
        <v>482</v>
      </c>
      <c r="J488">
        <v>90</v>
      </c>
      <c r="K488" s="1" t="s">
        <v>483</v>
      </c>
      <c r="L488" s="1" t="s">
        <v>14</v>
      </c>
      <c r="M488">
        <v>1</v>
      </c>
      <c r="N488">
        <v>0</v>
      </c>
      <c r="O488">
        <v>0</v>
      </c>
      <c r="P488" t="s">
        <v>1740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f t="shared" si="21"/>
        <v>1.3618761518134992</v>
      </c>
      <c r="W488">
        <f t="shared" si="22"/>
        <v>0.79606445234832413</v>
      </c>
      <c r="X488">
        <f t="shared" si="23"/>
        <v>0.22807512612883141</v>
      </c>
    </row>
    <row r="489" spans="1:24" x14ac:dyDescent="0.25">
      <c r="A489">
        <v>488</v>
      </c>
      <c r="B489">
        <v>0</v>
      </c>
      <c r="C489">
        <v>1</v>
      </c>
      <c r="D489" s="1" t="s">
        <v>996</v>
      </c>
      <c r="E489">
        <v>0</v>
      </c>
      <c r="F489">
        <v>58</v>
      </c>
      <c r="G489">
        <v>0</v>
      </c>
      <c r="H489">
        <v>0</v>
      </c>
      <c r="I489" s="1" t="s">
        <v>997</v>
      </c>
      <c r="J489">
        <v>29.7</v>
      </c>
      <c r="K489" s="1" t="s">
        <v>998</v>
      </c>
      <c r="L489" s="1" t="s">
        <v>18</v>
      </c>
      <c r="M489">
        <v>0</v>
      </c>
      <c r="N489">
        <v>1</v>
      </c>
      <c r="O489">
        <v>0</v>
      </c>
      <c r="P489" t="s">
        <v>1741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f t="shared" si="21"/>
        <v>0</v>
      </c>
      <c r="W489">
        <f t="shared" si="22"/>
        <v>0.5</v>
      </c>
      <c r="X489">
        <f t="shared" si="23"/>
        <v>0.69314718055994529</v>
      </c>
    </row>
    <row r="490" spans="1:24" x14ac:dyDescent="0.25">
      <c r="A490">
        <v>489</v>
      </c>
      <c r="B490">
        <v>0</v>
      </c>
      <c r="C490">
        <v>3</v>
      </c>
      <c r="D490" s="1" t="s">
        <v>999</v>
      </c>
      <c r="E490">
        <v>0</v>
      </c>
      <c r="F490">
        <v>30</v>
      </c>
      <c r="G490">
        <v>0</v>
      </c>
      <c r="H490">
        <v>0</v>
      </c>
      <c r="I490" s="1" t="s">
        <v>1000</v>
      </c>
      <c r="J490">
        <v>8.0500000000000007</v>
      </c>
      <c r="K490" s="1" t="s">
        <v>48</v>
      </c>
      <c r="L490" s="1" t="s">
        <v>14</v>
      </c>
      <c r="M490">
        <v>1</v>
      </c>
      <c r="N490">
        <v>0</v>
      </c>
      <c r="O490">
        <v>0</v>
      </c>
      <c r="P490" t="s">
        <v>1741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f t="shared" si="21"/>
        <v>0</v>
      </c>
      <c r="W490">
        <f t="shared" si="22"/>
        <v>0.5</v>
      </c>
      <c r="X490">
        <f t="shared" si="23"/>
        <v>0.69314718055994529</v>
      </c>
    </row>
    <row r="491" spans="1:24" x14ac:dyDescent="0.25">
      <c r="A491">
        <v>490</v>
      </c>
      <c r="B491">
        <v>1</v>
      </c>
      <c r="C491">
        <v>3</v>
      </c>
      <c r="D491" s="1" t="s">
        <v>1001</v>
      </c>
      <c r="E491">
        <v>0</v>
      </c>
      <c r="F491">
        <v>9</v>
      </c>
      <c r="G491">
        <v>1</v>
      </c>
      <c r="H491">
        <v>1</v>
      </c>
      <c r="I491" s="1" t="s">
        <v>734</v>
      </c>
      <c r="J491">
        <v>15.9</v>
      </c>
      <c r="K491" s="1" t="s">
        <v>48</v>
      </c>
      <c r="L491" s="1" t="s">
        <v>14</v>
      </c>
      <c r="M491">
        <v>1</v>
      </c>
      <c r="N491">
        <v>0</v>
      </c>
      <c r="O491">
        <v>0</v>
      </c>
      <c r="P491" t="s">
        <v>1742</v>
      </c>
      <c r="Q491">
        <v>0</v>
      </c>
      <c r="R491">
        <v>0</v>
      </c>
      <c r="S491">
        <v>0</v>
      </c>
      <c r="T491">
        <v>1</v>
      </c>
      <c r="U491">
        <v>0</v>
      </c>
      <c r="V491">
        <f t="shared" si="21"/>
        <v>0.21766252466937555</v>
      </c>
      <c r="W491">
        <f t="shared" si="22"/>
        <v>0.55420180681382414</v>
      </c>
      <c r="X491">
        <f t="shared" si="23"/>
        <v>0.59022638633875368</v>
      </c>
    </row>
    <row r="492" spans="1:24" x14ac:dyDescent="0.25">
      <c r="A492">
        <v>491</v>
      </c>
      <c r="B492">
        <v>0</v>
      </c>
      <c r="C492">
        <v>3</v>
      </c>
      <c r="D492" s="1" t="s">
        <v>1002</v>
      </c>
      <c r="E492">
        <v>0</v>
      </c>
      <c r="F492" s="1">
        <v>32.180156657963444</v>
      </c>
      <c r="G492">
        <v>1</v>
      </c>
      <c r="H492">
        <v>0</v>
      </c>
      <c r="I492" s="1" t="s">
        <v>1003</v>
      </c>
      <c r="J492">
        <v>19.966699999999999</v>
      </c>
      <c r="K492" s="1" t="s">
        <v>48</v>
      </c>
      <c r="L492" s="1" t="s">
        <v>14</v>
      </c>
      <c r="M492">
        <v>1</v>
      </c>
      <c r="N492">
        <v>0</v>
      </c>
      <c r="O492">
        <v>0</v>
      </c>
      <c r="P492" t="s">
        <v>1741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f t="shared" si="21"/>
        <v>0</v>
      </c>
      <c r="W492">
        <f t="shared" si="22"/>
        <v>0.5</v>
      </c>
      <c r="X492">
        <f t="shared" si="23"/>
        <v>0.69314718055994529</v>
      </c>
    </row>
    <row r="493" spans="1:24" x14ac:dyDescent="0.25">
      <c r="A493">
        <v>492</v>
      </c>
      <c r="B493">
        <v>0</v>
      </c>
      <c r="C493">
        <v>3</v>
      </c>
      <c r="D493" s="1" t="s">
        <v>1004</v>
      </c>
      <c r="E493">
        <v>0</v>
      </c>
      <c r="F493">
        <v>21</v>
      </c>
      <c r="G493">
        <v>0</v>
      </c>
      <c r="H493">
        <v>0</v>
      </c>
      <c r="I493" s="1" t="s">
        <v>1005</v>
      </c>
      <c r="J493">
        <v>7.25</v>
      </c>
      <c r="K493" s="1" t="s">
        <v>48</v>
      </c>
      <c r="L493" s="1" t="s">
        <v>14</v>
      </c>
      <c r="M493">
        <v>1</v>
      </c>
      <c r="N493">
        <v>0</v>
      </c>
      <c r="O493">
        <v>0</v>
      </c>
      <c r="P493" t="s">
        <v>1741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f t="shared" si="21"/>
        <v>0</v>
      </c>
      <c r="W493">
        <f t="shared" si="22"/>
        <v>0.5</v>
      </c>
      <c r="X493">
        <f t="shared" si="23"/>
        <v>0.69314718055994529</v>
      </c>
    </row>
    <row r="494" spans="1:24" x14ac:dyDescent="0.25">
      <c r="A494">
        <v>493</v>
      </c>
      <c r="B494">
        <v>0</v>
      </c>
      <c r="C494">
        <v>1</v>
      </c>
      <c r="D494" s="1" t="s">
        <v>1006</v>
      </c>
      <c r="E494">
        <v>0</v>
      </c>
      <c r="F494">
        <v>55</v>
      </c>
      <c r="G494">
        <v>0</v>
      </c>
      <c r="H494">
        <v>0</v>
      </c>
      <c r="I494" s="1" t="s">
        <v>1007</v>
      </c>
      <c r="J494">
        <v>30.5</v>
      </c>
      <c r="K494" s="1" t="s">
        <v>1008</v>
      </c>
      <c r="L494" s="1" t="s">
        <v>14</v>
      </c>
      <c r="M494">
        <v>1</v>
      </c>
      <c r="N494">
        <v>0</v>
      </c>
      <c r="O494">
        <v>0</v>
      </c>
      <c r="P494" t="s">
        <v>1741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f t="shared" si="21"/>
        <v>0</v>
      </c>
      <c r="W494">
        <f t="shared" si="22"/>
        <v>0.5</v>
      </c>
      <c r="X494">
        <f t="shared" si="23"/>
        <v>0.69314718055994529</v>
      </c>
    </row>
    <row r="495" spans="1:24" x14ac:dyDescent="0.25">
      <c r="A495">
        <v>494</v>
      </c>
      <c r="B495">
        <v>0</v>
      </c>
      <c r="C495">
        <v>1</v>
      </c>
      <c r="D495" s="1" t="s">
        <v>1009</v>
      </c>
      <c r="E495">
        <v>0</v>
      </c>
      <c r="F495">
        <v>71</v>
      </c>
      <c r="G495">
        <v>0</v>
      </c>
      <c r="H495">
        <v>0</v>
      </c>
      <c r="I495" s="1" t="s">
        <v>1010</v>
      </c>
      <c r="J495">
        <v>49.504199999999997</v>
      </c>
      <c r="K495" s="1" t="s">
        <v>48</v>
      </c>
      <c r="L495" s="1" t="s">
        <v>18</v>
      </c>
      <c r="M495">
        <v>0</v>
      </c>
      <c r="N495">
        <v>1</v>
      </c>
      <c r="O495">
        <v>0</v>
      </c>
      <c r="P495" t="s">
        <v>1741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f t="shared" si="21"/>
        <v>0</v>
      </c>
      <c r="W495">
        <f t="shared" si="22"/>
        <v>0.5</v>
      </c>
      <c r="X495">
        <f t="shared" si="23"/>
        <v>0.69314718055994529</v>
      </c>
    </row>
    <row r="496" spans="1:24" x14ac:dyDescent="0.25">
      <c r="A496">
        <v>495</v>
      </c>
      <c r="B496">
        <v>0</v>
      </c>
      <c r="C496">
        <v>3</v>
      </c>
      <c r="D496" s="1" t="s">
        <v>1011</v>
      </c>
      <c r="E496">
        <v>0</v>
      </c>
      <c r="F496">
        <v>21</v>
      </c>
      <c r="G496">
        <v>0</v>
      </c>
      <c r="H496">
        <v>0</v>
      </c>
      <c r="I496" s="1" t="s">
        <v>1012</v>
      </c>
      <c r="J496">
        <v>8.0500000000000007</v>
      </c>
      <c r="K496" s="1" t="s">
        <v>48</v>
      </c>
      <c r="L496" s="1" t="s">
        <v>14</v>
      </c>
      <c r="M496">
        <v>1</v>
      </c>
      <c r="N496">
        <v>0</v>
      </c>
      <c r="O496">
        <v>0</v>
      </c>
      <c r="P496" t="s">
        <v>1741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f t="shared" si="21"/>
        <v>0</v>
      </c>
      <c r="W496">
        <f t="shared" si="22"/>
        <v>0.5</v>
      </c>
      <c r="X496">
        <f t="shared" si="23"/>
        <v>0.69314718055994529</v>
      </c>
    </row>
    <row r="497" spans="1:24" x14ac:dyDescent="0.25">
      <c r="A497">
        <v>496</v>
      </c>
      <c r="B497">
        <v>0</v>
      </c>
      <c r="C497">
        <v>3</v>
      </c>
      <c r="D497" s="1" t="s">
        <v>1013</v>
      </c>
      <c r="E497">
        <v>0</v>
      </c>
      <c r="F497" s="1">
        <v>32.180156657963444</v>
      </c>
      <c r="G497">
        <v>0</v>
      </c>
      <c r="H497">
        <v>0</v>
      </c>
      <c r="I497" s="1" t="s">
        <v>263</v>
      </c>
      <c r="J497">
        <v>14.458299999999999</v>
      </c>
      <c r="K497" s="1" t="s">
        <v>48</v>
      </c>
      <c r="L497" s="1" t="s">
        <v>18</v>
      </c>
      <c r="M497">
        <v>0</v>
      </c>
      <c r="N497">
        <v>1</v>
      </c>
      <c r="O497">
        <v>0</v>
      </c>
      <c r="P497" t="s">
        <v>1741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f t="shared" si="21"/>
        <v>0</v>
      </c>
      <c r="W497">
        <f t="shared" si="22"/>
        <v>0.5</v>
      </c>
      <c r="X497">
        <f t="shared" si="23"/>
        <v>0.69314718055994529</v>
      </c>
    </row>
    <row r="498" spans="1:24" x14ac:dyDescent="0.25">
      <c r="A498">
        <v>497</v>
      </c>
      <c r="B498">
        <v>1</v>
      </c>
      <c r="C498">
        <v>1</v>
      </c>
      <c r="D498" s="1" t="s">
        <v>1014</v>
      </c>
      <c r="E498">
        <v>1</v>
      </c>
      <c r="F498">
        <v>54</v>
      </c>
      <c r="G498">
        <v>1</v>
      </c>
      <c r="H498">
        <v>0</v>
      </c>
      <c r="I498" s="1" t="s">
        <v>1015</v>
      </c>
      <c r="J498">
        <v>78.2667</v>
      </c>
      <c r="K498" s="1" t="s">
        <v>1016</v>
      </c>
      <c r="L498" s="1" t="s">
        <v>18</v>
      </c>
      <c r="M498">
        <v>0</v>
      </c>
      <c r="N498">
        <v>1</v>
      </c>
      <c r="O498">
        <v>0</v>
      </c>
      <c r="P498" t="s">
        <v>1739</v>
      </c>
      <c r="Q498">
        <v>1</v>
      </c>
      <c r="R498">
        <v>0</v>
      </c>
      <c r="S498">
        <v>0</v>
      </c>
      <c r="T498">
        <v>0</v>
      </c>
      <c r="U498">
        <v>0</v>
      </c>
      <c r="V498">
        <f t="shared" si="21"/>
        <v>0.87219584275330231</v>
      </c>
      <c r="W498">
        <f t="shared" si="22"/>
        <v>0.70520240168703408</v>
      </c>
      <c r="X498">
        <f t="shared" si="23"/>
        <v>0.34927042278209691</v>
      </c>
    </row>
    <row r="499" spans="1:24" x14ac:dyDescent="0.25">
      <c r="A499">
        <v>498</v>
      </c>
      <c r="B499">
        <v>0</v>
      </c>
      <c r="C499">
        <v>3</v>
      </c>
      <c r="D499" s="1" t="s">
        <v>1017</v>
      </c>
      <c r="E499">
        <v>0</v>
      </c>
      <c r="F499" s="1">
        <v>32.180156657963444</v>
      </c>
      <c r="G499">
        <v>0</v>
      </c>
      <c r="H499">
        <v>0</v>
      </c>
      <c r="I499" s="1" t="s">
        <v>1018</v>
      </c>
      <c r="J499">
        <v>15.1</v>
      </c>
      <c r="K499" s="1" t="s">
        <v>48</v>
      </c>
      <c r="L499" s="1" t="s">
        <v>14</v>
      </c>
      <c r="M499">
        <v>1</v>
      </c>
      <c r="N499">
        <v>0</v>
      </c>
      <c r="O499">
        <v>0</v>
      </c>
      <c r="P499" t="s">
        <v>1741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f t="shared" si="21"/>
        <v>0</v>
      </c>
      <c r="W499">
        <f t="shared" si="22"/>
        <v>0.5</v>
      </c>
      <c r="X499">
        <f t="shared" si="23"/>
        <v>0.69314718055994529</v>
      </c>
    </row>
    <row r="500" spans="1:24" x14ac:dyDescent="0.25">
      <c r="A500">
        <v>499</v>
      </c>
      <c r="B500">
        <v>0</v>
      </c>
      <c r="C500">
        <v>1</v>
      </c>
      <c r="D500" s="1" t="s">
        <v>1019</v>
      </c>
      <c r="E500">
        <v>1</v>
      </c>
      <c r="F500">
        <v>25</v>
      </c>
      <c r="G500">
        <v>1</v>
      </c>
      <c r="H500">
        <v>2</v>
      </c>
      <c r="I500" s="1" t="s">
        <v>633</v>
      </c>
      <c r="J500">
        <v>151.55000000000001</v>
      </c>
      <c r="K500" s="1" t="s">
        <v>634</v>
      </c>
      <c r="L500" s="1" t="s">
        <v>14</v>
      </c>
      <c r="M500">
        <v>1</v>
      </c>
      <c r="N500">
        <v>0</v>
      </c>
      <c r="O500">
        <v>0</v>
      </c>
      <c r="P500" t="s">
        <v>1740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f t="shared" si="21"/>
        <v>1.3618761518134992</v>
      </c>
      <c r="W500">
        <f t="shared" si="22"/>
        <v>0.79606445234832413</v>
      </c>
      <c r="X500">
        <f t="shared" si="23"/>
        <v>1.5899512779423304</v>
      </c>
    </row>
    <row r="501" spans="1:24" x14ac:dyDescent="0.25">
      <c r="A501">
        <v>500</v>
      </c>
      <c r="B501">
        <v>0</v>
      </c>
      <c r="C501">
        <v>3</v>
      </c>
      <c r="D501" s="1" t="s">
        <v>1020</v>
      </c>
      <c r="E501">
        <v>0</v>
      </c>
      <c r="F501">
        <v>24</v>
      </c>
      <c r="G501">
        <v>0</v>
      </c>
      <c r="H501">
        <v>0</v>
      </c>
      <c r="I501" s="1" t="s">
        <v>1021</v>
      </c>
      <c r="J501">
        <v>7.7957999999999998</v>
      </c>
      <c r="K501" s="1" t="s">
        <v>48</v>
      </c>
      <c r="L501" s="1" t="s">
        <v>14</v>
      </c>
      <c r="M501">
        <v>1</v>
      </c>
      <c r="N501">
        <v>0</v>
      </c>
      <c r="O501">
        <v>0</v>
      </c>
      <c r="P501" t="s">
        <v>1741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f t="shared" si="21"/>
        <v>0</v>
      </c>
      <c r="W501">
        <f t="shared" si="22"/>
        <v>0.5</v>
      </c>
      <c r="X501">
        <f t="shared" si="23"/>
        <v>0.69314718055994529</v>
      </c>
    </row>
    <row r="502" spans="1:24" x14ac:dyDescent="0.25">
      <c r="A502">
        <v>501</v>
      </c>
      <c r="B502">
        <v>0</v>
      </c>
      <c r="C502">
        <v>3</v>
      </c>
      <c r="D502" s="1" t="s">
        <v>1022</v>
      </c>
      <c r="E502">
        <v>0</v>
      </c>
      <c r="F502">
        <v>17</v>
      </c>
      <c r="G502">
        <v>0</v>
      </c>
      <c r="H502">
        <v>0</v>
      </c>
      <c r="I502" s="1" t="s">
        <v>1023</v>
      </c>
      <c r="J502">
        <v>8.6624999999999996</v>
      </c>
      <c r="K502" s="1" t="s">
        <v>48</v>
      </c>
      <c r="L502" s="1" t="s">
        <v>14</v>
      </c>
      <c r="M502">
        <v>1</v>
      </c>
      <c r="N502">
        <v>0</v>
      </c>
      <c r="O502">
        <v>0</v>
      </c>
      <c r="P502" t="s">
        <v>1741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f t="shared" si="21"/>
        <v>0</v>
      </c>
      <c r="W502">
        <f t="shared" si="22"/>
        <v>0.5</v>
      </c>
      <c r="X502">
        <f t="shared" si="23"/>
        <v>0.69314718055994529</v>
      </c>
    </row>
    <row r="503" spans="1:24" x14ac:dyDescent="0.25">
      <c r="A503">
        <v>502</v>
      </c>
      <c r="B503">
        <v>0</v>
      </c>
      <c r="C503">
        <v>3</v>
      </c>
      <c r="D503" s="1" t="s">
        <v>1024</v>
      </c>
      <c r="E503">
        <v>1</v>
      </c>
      <c r="F503">
        <v>21</v>
      </c>
      <c r="G503">
        <v>0</v>
      </c>
      <c r="H503">
        <v>0</v>
      </c>
      <c r="I503" s="1" t="s">
        <v>1025</v>
      </c>
      <c r="J503">
        <v>7.75</v>
      </c>
      <c r="K503" s="1" t="s">
        <v>48</v>
      </c>
      <c r="L503" s="1" t="s">
        <v>28</v>
      </c>
      <c r="M503">
        <v>0</v>
      </c>
      <c r="N503">
        <v>0</v>
      </c>
      <c r="O503">
        <v>1</v>
      </c>
      <c r="P503" t="s">
        <v>1739</v>
      </c>
      <c r="Q503">
        <v>1</v>
      </c>
      <c r="R503">
        <v>0</v>
      </c>
      <c r="S503">
        <v>0</v>
      </c>
      <c r="T503">
        <v>0</v>
      </c>
      <c r="U503">
        <v>0</v>
      </c>
      <c r="V503">
        <f t="shared" si="21"/>
        <v>0.87219584275330231</v>
      </c>
      <c r="W503">
        <f t="shared" si="22"/>
        <v>0.70520240168703408</v>
      </c>
      <c r="X503">
        <f t="shared" si="23"/>
        <v>1.2214662655353992</v>
      </c>
    </row>
    <row r="504" spans="1:24" x14ac:dyDescent="0.25">
      <c r="A504">
        <v>503</v>
      </c>
      <c r="B504">
        <v>0</v>
      </c>
      <c r="C504">
        <v>3</v>
      </c>
      <c r="D504" s="1" t="s">
        <v>1026</v>
      </c>
      <c r="E504">
        <v>1</v>
      </c>
      <c r="F504" s="1">
        <v>21.98581560283688</v>
      </c>
      <c r="G504">
        <v>0</v>
      </c>
      <c r="H504">
        <v>0</v>
      </c>
      <c r="I504" s="1" t="s">
        <v>1027</v>
      </c>
      <c r="J504">
        <v>7.6292</v>
      </c>
      <c r="K504" s="1" t="s">
        <v>48</v>
      </c>
      <c r="L504" s="1" t="s">
        <v>28</v>
      </c>
      <c r="M504">
        <v>0</v>
      </c>
      <c r="N504">
        <v>0</v>
      </c>
      <c r="O504">
        <v>1</v>
      </c>
      <c r="P504" t="s">
        <v>1739</v>
      </c>
      <c r="Q504">
        <v>1</v>
      </c>
      <c r="R504">
        <v>0</v>
      </c>
      <c r="S504">
        <v>0</v>
      </c>
      <c r="T504">
        <v>0</v>
      </c>
      <c r="U504">
        <v>0</v>
      </c>
      <c r="V504">
        <f t="shared" si="21"/>
        <v>0.87219584275330231</v>
      </c>
      <c r="W504">
        <f t="shared" si="22"/>
        <v>0.70520240168703408</v>
      </c>
      <c r="X504">
        <f t="shared" si="23"/>
        <v>1.2214662655353992</v>
      </c>
    </row>
    <row r="505" spans="1:24" x14ac:dyDescent="0.25">
      <c r="A505">
        <v>504</v>
      </c>
      <c r="B505">
        <v>0</v>
      </c>
      <c r="C505">
        <v>3</v>
      </c>
      <c r="D505" s="1" t="s">
        <v>1028</v>
      </c>
      <c r="E505">
        <v>1</v>
      </c>
      <c r="F505">
        <v>37</v>
      </c>
      <c r="G505">
        <v>0</v>
      </c>
      <c r="H505">
        <v>0</v>
      </c>
      <c r="I505" s="1" t="s">
        <v>1029</v>
      </c>
      <c r="J505">
        <v>9.5875000000000004</v>
      </c>
      <c r="K505" s="1" t="s">
        <v>48</v>
      </c>
      <c r="L505" s="1" t="s">
        <v>14</v>
      </c>
      <c r="M505">
        <v>1</v>
      </c>
      <c r="N505">
        <v>0</v>
      </c>
      <c r="O505">
        <v>0</v>
      </c>
      <c r="P505" t="s">
        <v>1739</v>
      </c>
      <c r="Q505">
        <v>1</v>
      </c>
      <c r="R505">
        <v>0</v>
      </c>
      <c r="S505">
        <v>0</v>
      </c>
      <c r="T505">
        <v>0</v>
      </c>
      <c r="U505">
        <v>0</v>
      </c>
      <c r="V505">
        <f t="shared" si="21"/>
        <v>0.87219584275330231</v>
      </c>
      <c r="W505">
        <f t="shared" si="22"/>
        <v>0.70520240168703408</v>
      </c>
      <c r="X505">
        <f t="shared" si="23"/>
        <v>1.2214662655353992</v>
      </c>
    </row>
    <row r="506" spans="1:24" x14ac:dyDescent="0.25">
      <c r="A506">
        <v>505</v>
      </c>
      <c r="B506">
        <v>1</v>
      </c>
      <c r="C506">
        <v>1</v>
      </c>
      <c r="D506" s="1" t="s">
        <v>1030</v>
      </c>
      <c r="E506">
        <v>1</v>
      </c>
      <c r="F506">
        <v>16</v>
      </c>
      <c r="G506">
        <v>0</v>
      </c>
      <c r="H506">
        <v>0</v>
      </c>
      <c r="I506" s="1" t="s">
        <v>547</v>
      </c>
      <c r="J506">
        <v>86.5</v>
      </c>
      <c r="K506" s="1" t="s">
        <v>1031</v>
      </c>
      <c r="L506" s="1" t="s">
        <v>14</v>
      </c>
      <c r="M506">
        <v>1</v>
      </c>
      <c r="N506">
        <v>0</v>
      </c>
      <c r="O506">
        <v>0</v>
      </c>
      <c r="P506" t="s">
        <v>1739</v>
      </c>
      <c r="Q506">
        <v>1</v>
      </c>
      <c r="R506">
        <v>0</v>
      </c>
      <c r="S506">
        <v>0</v>
      </c>
      <c r="T506">
        <v>0</v>
      </c>
      <c r="U506">
        <v>0</v>
      </c>
      <c r="V506">
        <f t="shared" si="21"/>
        <v>0.87219584275330231</v>
      </c>
      <c r="W506">
        <f t="shared" si="22"/>
        <v>0.70520240168703408</v>
      </c>
      <c r="X506">
        <f t="shared" si="23"/>
        <v>0.34927042278209691</v>
      </c>
    </row>
    <row r="507" spans="1:24" x14ac:dyDescent="0.25">
      <c r="A507">
        <v>506</v>
      </c>
      <c r="B507">
        <v>0</v>
      </c>
      <c r="C507">
        <v>1</v>
      </c>
      <c r="D507" s="1" t="s">
        <v>1032</v>
      </c>
      <c r="E507">
        <v>0</v>
      </c>
      <c r="F507">
        <v>18</v>
      </c>
      <c r="G507">
        <v>1</v>
      </c>
      <c r="H507">
        <v>0</v>
      </c>
      <c r="I507" s="1" t="s">
        <v>652</v>
      </c>
      <c r="J507">
        <v>108.9</v>
      </c>
      <c r="K507" s="1" t="s">
        <v>653</v>
      </c>
      <c r="L507" s="1" t="s">
        <v>18</v>
      </c>
      <c r="M507">
        <v>0</v>
      </c>
      <c r="N507">
        <v>1</v>
      </c>
      <c r="O507">
        <v>0</v>
      </c>
      <c r="P507" t="s">
        <v>1741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f t="shared" si="21"/>
        <v>0</v>
      </c>
      <c r="W507">
        <f t="shared" si="22"/>
        <v>0.5</v>
      </c>
      <c r="X507">
        <f t="shared" si="23"/>
        <v>0.69314718055994529</v>
      </c>
    </row>
    <row r="508" spans="1:24" x14ac:dyDescent="0.25">
      <c r="A508">
        <v>507</v>
      </c>
      <c r="B508">
        <v>1</v>
      </c>
      <c r="C508">
        <v>2</v>
      </c>
      <c r="D508" s="1" t="s">
        <v>1033</v>
      </c>
      <c r="E508">
        <v>1</v>
      </c>
      <c r="F508">
        <v>33</v>
      </c>
      <c r="G508">
        <v>0</v>
      </c>
      <c r="H508">
        <v>2</v>
      </c>
      <c r="I508" s="1" t="s">
        <v>1034</v>
      </c>
      <c r="J508">
        <v>26</v>
      </c>
      <c r="K508" s="1" t="s">
        <v>48</v>
      </c>
      <c r="L508" s="1" t="s">
        <v>14</v>
      </c>
      <c r="M508">
        <v>1</v>
      </c>
      <c r="N508">
        <v>0</v>
      </c>
      <c r="O508">
        <v>0</v>
      </c>
      <c r="P508" t="s">
        <v>1740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f t="shared" si="21"/>
        <v>1.3618761518134992</v>
      </c>
      <c r="W508">
        <f t="shared" si="22"/>
        <v>0.79606445234832413</v>
      </c>
      <c r="X508">
        <f t="shared" si="23"/>
        <v>0.22807512612883141</v>
      </c>
    </row>
    <row r="509" spans="1:24" x14ac:dyDescent="0.25">
      <c r="A509">
        <v>508</v>
      </c>
      <c r="B509">
        <v>1</v>
      </c>
      <c r="C509">
        <v>1</v>
      </c>
      <c r="D509" s="1" t="s">
        <v>1035</v>
      </c>
      <c r="E509">
        <v>0</v>
      </c>
      <c r="F509" s="1">
        <v>32.180156657963444</v>
      </c>
      <c r="G509">
        <v>0</v>
      </c>
      <c r="H509">
        <v>0</v>
      </c>
      <c r="I509" s="1" t="s">
        <v>1036</v>
      </c>
      <c r="J509">
        <v>26.55</v>
      </c>
      <c r="K509" s="1" t="s">
        <v>48</v>
      </c>
      <c r="L509" s="1" t="s">
        <v>14</v>
      </c>
      <c r="M509">
        <v>1</v>
      </c>
      <c r="N509">
        <v>0</v>
      </c>
      <c r="O509">
        <v>0</v>
      </c>
      <c r="P509" t="s">
        <v>1741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f t="shared" si="21"/>
        <v>0</v>
      </c>
      <c r="W509">
        <f t="shared" si="22"/>
        <v>0.5</v>
      </c>
      <c r="X509">
        <f t="shared" si="23"/>
        <v>0.69314718055994529</v>
      </c>
    </row>
    <row r="510" spans="1:24" x14ac:dyDescent="0.25">
      <c r="A510">
        <v>509</v>
      </c>
      <c r="B510">
        <v>0</v>
      </c>
      <c r="C510">
        <v>3</v>
      </c>
      <c r="D510" s="1" t="s">
        <v>1037</v>
      </c>
      <c r="E510">
        <v>0</v>
      </c>
      <c r="F510">
        <v>28</v>
      </c>
      <c r="G510">
        <v>0</v>
      </c>
      <c r="H510">
        <v>0</v>
      </c>
      <c r="I510" s="1" t="s">
        <v>1038</v>
      </c>
      <c r="J510">
        <v>22.524999999999999</v>
      </c>
      <c r="K510" s="1" t="s">
        <v>48</v>
      </c>
      <c r="L510" s="1" t="s">
        <v>14</v>
      </c>
      <c r="M510">
        <v>1</v>
      </c>
      <c r="N510">
        <v>0</v>
      </c>
      <c r="O510">
        <v>0</v>
      </c>
      <c r="P510" t="s">
        <v>1741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f t="shared" si="21"/>
        <v>0</v>
      </c>
      <c r="W510">
        <f t="shared" si="22"/>
        <v>0.5</v>
      </c>
      <c r="X510">
        <f t="shared" si="23"/>
        <v>0.69314718055994529</v>
      </c>
    </row>
    <row r="511" spans="1:24" x14ac:dyDescent="0.25">
      <c r="A511">
        <v>510</v>
      </c>
      <c r="B511">
        <v>1</v>
      </c>
      <c r="C511">
        <v>3</v>
      </c>
      <c r="D511" s="1" t="s">
        <v>1039</v>
      </c>
      <c r="E511">
        <v>0</v>
      </c>
      <c r="F511">
        <v>26</v>
      </c>
      <c r="G511">
        <v>0</v>
      </c>
      <c r="H511">
        <v>0</v>
      </c>
      <c r="I511" s="1" t="s">
        <v>178</v>
      </c>
      <c r="J511">
        <v>56.495800000000003</v>
      </c>
      <c r="K511" s="1" t="s">
        <v>48</v>
      </c>
      <c r="L511" s="1" t="s">
        <v>14</v>
      </c>
      <c r="M511">
        <v>1</v>
      </c>
      <c r="N511">
        <v>0</v>
      </c>
      <c r="O511">
        <v>0</v>
      </c>
      <c r="P511" t="s">
        <v>1741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f t="shared" si="21"/>
        <v>0</v>
      </c>
      <c r="W511">
        <f t="shared" si="22"/>
        <v>0.5</v>
      </c>
      <c r="X511">
        <f t="shared" si="23"/>
        <v>0.69314718055994529</v>
      </c>
    </row>
    <row r="512" spans="1:24" x14ac:dyDescent="0.25">
      <c r="A512">
        <v>511</v>
      </c>
      <c r="B512">
        <v>1</v>
      </c>
      <c r="C512">
        <v>3</v>
      </c>
      <c r="D512" s="1" t="s">
        <v>1040</v>
      </c>
      <c r="E512">
        <v>0</v>
      </c>
      <c r="F512">
        <v>29</v>
      </c>
      <c r="G512">
        <v>0</v>
      </c>
      <c r="H512">
        <v>0</v>
      </c>
      <c r="I512" s="1" t="s">
        <v>1041</v>
      </c>
      <c r="J512">
        <v>7.75</v>
      </c>
      <c r="K512" s="1" t="s">
        <v>48</v>
      </c>
      <c r="L512" s="1" t="s">
        <v>28</v>
      </c>
      <c r="M512">
        <v>0</v>
      </c>
      <c r="N512">
        <v>0</v>
      </c>
      <c r="O512">
        <v>1</v>
      </c>
      <c r="P512" t="s">
        <v>1741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f t="shared" si="21"/>
        <v>0</v>
      </c>
      <c r="W512">
        <f t="shared" si="22"/>
        <v>0.5</v>
      </c>
      <c r="X512">
        <f t="shared" si="23"/>
        <v>0.69314718055994529</v>
      </c>
    </row>
    <row r="513" spans="1:24" x14ac:dyDescent="0.25">
      <c r="A513">
        <v>512</v>
      </c>
      <c r="B513">
        <v>0</v>
      </c>
      <c r="C513">
        <v>3</v>
      </c>
      <c r="D513" s="1" t="s">
        <v>1042</v>
      </c>
      <c r="E513">
        <v>0</v>
      </c>
      <c r="F513" s="1">
        <v>32.180156657963444</v>
      </c>
      <c r="G513">
        <v>0</v>
      </c>
      <c r="H513">
        <v>0</v>
      </c>
      <c r="I513" s="1" t="s">
        <v>1043</v>
      </c>
      <c r="J513">
        <v>8.0500000000000007</v>
      </c>
      <c r="K513" s="1" t="s">
        <v>48</v>
      </c>
      <c r="L513" s="1" t="s">
        <v>14</v>
      </c>
      <c r="M513">
        <v>1</v>
      </c>
      <c r="N513">
        <v>0</v>
      </c>
      <c r="O513">
        <v>0</v>
      </c>
      <c r="P513" t="s">
        <v>1741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f t="shared" si="21"/>
        <v>0</v>
      </c>
      <c r="W513">
        <f t="shared" si="22"/>
        <v>0.5</v>
      </c>
      <c r="X513">
        <f t="shared" si="23"/>
        <v>0.69314718055994529</v>
      </c>
    </row>
    <row r="514" spans="1:24" x14ac:dyDescent="0.25">
      <c r="A514">
        <v>513</v>
      </c>
      <c r="B514">
        <v>1</v>
      </c>
      <c r="C514">
        <v>1</v>
      </c>
      <c r="D514" s="1" t="s">
        <v>1044</v>
      </c>
      <c r="E514">
        <v>0</v>
      </c>
      <c r="F514">
        <v>36</v>
      </c>
      <c r="G514">
        <v>0</v>
      </c>
      <c r="H514">
        <v>0</v>
      </c>
      <c r="I514" s="1" t="s">
        <v>1045</v>
      </c>
      <c r="J514">
        <v>26.287500000000001</v>
      </c>
      <c r="K514" s="1" t="s">
        <v>1046</v>
      </c>
      <c r="L514" s="1" t="s">
        <v>14</v>
      </c>
      <c r="M514">
        <v>1</v>
      </c>
      <c r="N514">
        <v>0</v>
      </c>
      <c r="O514">
        <v>0</v>
      </c>
      <c r="P514" t="s">
        <v>1741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f t="shared" si="21"/>
        <v>0</v>
      </c>
      <c r="W514">
        <f t="shared" si="22"/>
        <v>0.5</v>
      </c>
      <c r="X514">
        <f t="shared" si="23"/>
        <v>0.69314718055994529</v>
      </c>
    </row>
    <row r="515" spans="1:24" x14ac:dyDescent="0.25">
      <c r="A515">
        <v>514</v>
      </c>
      <c r="B515">
        <v>1</v>
      </c>
      <c r="C515">
        <v>1</v>
      </c>
      <c r="D515" s="1" t="s">
        <v>1047</v>
      </c>
      <c r="E515">
        <v>1</v>
      </c>
      <c r="F515">
        <v>54</v>
      </c>
      <c r="G515">
        <v>1</v>
      </c>
      <c r="H515">
        <v>0</v>
      </c>
      <c r="I515" s="1" t="s">
        <v>1048</v>
      </c>
      <c r="J515">
        <v>59.4</v>
      </c>
      <c r="K515" s="1" t="s">
        <v>48</v>
      </c>
      <c r="L515" s="1" t="s">
        <v>18</v>
      </c>
      <c r="M515">
        <v>0</v>
      </c>
      <c r="N515">
        <v>1</v>
      </c>
      <c r="O515">
        <v>0</v>
      </c>
      <c r="P515" t="s">
        <v>1740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f t="shared" ref="V515:V578" si="24">$AB$1+C515*$AB$2+E515*$AB$3+F515*$AB$4+G515*$AB$5+H515*$AB$6+J515*$AB$7+M515*$AB$8+N515*$AB$9+O515*$AB$10+Q515*$AB$11+R515*$AB$12+S515*$AB$13+T515*$AB$14+U515*$AB$15</f>
        <v>1.3618761518134992</v>
      </c>
      <c r="W515">
        <f t="shared" ref="W515:W578" si="25">1/(1+EXP(-V515))</f>
        <v>0.79606445234832413</v>
      </c>
      <c r="X515">
        <f t="shared" ref="X515:X578" si="26">-(B515*LN(MAX(0.000001,MIN(0.999999,W515))) +(1-B515)*LN(MAX(0.000001,MIN(0.999999,1-W515))))</f>
        <v>0.22807512612883141</v>
      </c>
    </row>
    <row r="516" spans="1:24" x14ac:dyDescent="0.25">
      <c r="A516">
        <v>515</v>
      </c>
      <c r="B516">
        <v>0</v>
      </c>
      <c r="C516">
        <v>3</v>
      </c>
      <c r="D516" s="1" t="s">
        <v>1049</v>
      </c>
      <c r="E516">
        <v>0</v>
      </c>
      <c r="F516">
        <v>24</v>
      </c>
      <c r="G516">
        <v>0</v>
      </c>
      <c r="H516">
        <v>0</v>
      </c>
      <c r="I516" s="1" t="s">
        <v>1050</v>
      </c>
      <c r="J516">
        <v>7.4958</v>
      </c>
      <c r="K516" s="1" t="s">
        <v>48</v>
      </c>
      <c r="L516" s="1" t="s">
        <v>14</v>
      </c>
      <c r="M516">
        <v>1</v>
      </c>
      <c r="N516">
        <v>0</v>
      </c>
      <c r="O516">
        <v>0</v>
      </c>
      <c r="P516" t="s">
        <v>1741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f t="shared" si="24"/>
        <v>0</v>
      </c>
      <c r="W516">
        <f t="shared" si="25"/>
        <v>0.5</v>
      </c>
      <c r="X516">
        <f t="shared" si="26"/>
        <v>0.69314718055994529</v>
      </c>
    </row>
    <row r="517" spans="1:24" x14ac:dyDescent="0.25">
      <c r="A517">
        <v>516</v>
      </c>
      <c r="B517">
        <v>0</v>
      </c>
      <c r="C517">
        <v>1</v>
      </c>
      <c r="D517" s="1" t="s">
        <v>1051</v>
      </c>
      <c r="E517">
        <v>0</v>
      </c>
      <c r="F517">
        <v>47</v>
      </c>
      <c r="G517">
        <v>0</v>
      </c>
      <c r="H517">
        <v>0</v>
      </c>
      <c r="I517" s="1" t="s">
        <v>1052</v>
      </c>
      <c r="J517">
        <v>34.020800000000001</v>
      </c>
      <c r="K517" s="1" t="s">
        <v>1053</v>
      </c>
      <c r="L517" s="1" t="s">
        <v>14</v>
      </c>
      <c r="M517">
        <v>1</v>
      </c>
      <c r="N517">
        <v>0</v>
      </c>
      <c r="O517">
        <v>0</v>
      </c>
      <c r="P517" t="s">
        <v>1741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f t="shared" si="24"/>
        <v>0</v>
      </c>
      <c r="W517">
        <f t="shared" si="25"/>
        <v>0.5</v>
      </c>
      <c r="X517">
        <f t="shared" si="26"/>
        <v>0.69314718055994529</v>
      </c>
    </row>
    <row r="518" spans="1:24" x14ac:dyDescent="0.25">
      <c r="A518">
        <v>517</v>
      </c>
      <c r="B518">
        <v>1</v>
      </c>
      <c r="C518">
        <v>2</v>
      </c>
      <c r="D518" s="1" t="s">
        <v>1054</v>
      </c>
      <c r="E518">
        <v>1</v>
      </c>
      <c r="F518">
        <v>34</v>
      </c>
      <c r="G518">
        <v>0</v>
      </c>
      <c r="H518">
        <v>0</v>
      </c>
      <c r="I518" s="1" t="s">
        <v>1055</v>
      </c>
      <c r="J518">
        <v>10.5</v>
      </c>
      <c r="K518" s="1" t="s">
        <v>163</v>
      </c>
      <c r="L518" s="1" t="s">
        <v>14</v>
      </c>
      <c r="M518">
        <v>1</v>
      </c>
      <c r="N518">
        <v>0</v>
      </c>
      <c r="O518">
        <v>0</v>
      </c>
      <c r="P518" t="s">
        <v>1740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f t="shared" si="24"/>
        <v>1.3618761518134992</v>
      </c>
      <c r="W518">
        <f t="shared" si="25"/>
        <v>0.79606445234832413</v>
      </c>
      <c r="X518">
        <f t="shared" si="26"/>
        <v>0.22807512612883141</v>
      </c>
    </row>
    <row r="519" spans="1:24" x14ac:dyDescent="0.25">
      <c r="A519">
        <v>518</v>
      </c>
      <c r="B519">
        <v>0</v>
      </c>
      <c r="C519">
        <v>3</v>
      </c>
      <c r="D519" s="1" t="s">
        <v>1056</v>
      </c>
      <c r="E519">
        <v>0</v>
      </c>
      <c r="F519" s="1">
        <v>32.180156657963444</v>
      </c>
      <c r="G519">
        <v>0</v>
      </c>
      <c r="H519">
        <v>0</v>
      </c>
      <c r="I519" s="1" t="s">
        <v>252</v>
      </c>
      <c r="J519">
        <v>24.15</v>
      </c>
      <c r="K519" s="1" t="s">
        <v>48</v>
      </c>
      <c r="L519" s="1" t="s">
        <v>28</v>
      </c>
      <c r="M519">
        <v>0</v>
      </c>
      <c r="N519">
        <v>0</v>
      </c>
      <c r="O519">
        <v>1</v>
      </c>
      <c r="P519" t="s">
        <v>1741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f t="shared" si="24"/>
        <v>0</v>
      </c>
      <c r="W519">
        <f t="shared" si="25"/>
        <v>0.5</v>
      </c>
      <c r="X519">
        <f t="shared" si="26"/>
        <v>0.69314718055994529</v>
      </c>
    </row>
    <row r="520" spans="1:24" x14ac:dyDescent="0.25">
      <c r="A520">
        <v>519</v>
      </c>
      <c r="B520">
        <v>1</v>
      </c>
      <c r="C520">
        <v>2</v>
      </c>
      <c r="D520" s="1" t="s">
        <v>1057</v>
      </c>
      <c r="E520">
        <v>1</v>
      </c>
      <c r="F520">
        <v>36</v>
      </c>
      <c r="G520">
        <v>1</v>
      </c>
      <c r="H520">
        <v>0</v>
      </c>
      <c r="I520" s="1" t="s">
        <v>1058</v>
      </c>
      <c r="J520">
        <v>26</v>
      </c>
      <c r="K520" s="1" t="s">
        <v>48</v>
      </c>
      <c r="L520" s="1" t="s">
        <v>14</v>
      </c>
      <c r="M520">
        <v>1</v>
      </c>
      <c r="N520">
        <v>0</v>
      </c>
      <c r="O520">
        <v>0</v>
      </c>
      <c r="P520" t="s">
        <v>1740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f t="shared" si="24"/>
        <v>1.3618761518134992</v>
      </c>
      <c r="W520">
        <f t="shared" si="25"/>
        <v>0.79606445234832413</v>
      </c>
      <c r="X520">
        <f t="shared" si="26"/>
        <v>0.22807512612883141</v>
      </c>
    </row>
    <row r="521" spans="1:24" x14ac:dyDescent="0.25">
      <c r="A521">
        <v>520</v>
      </c>
      <c r="B521">
        <v>0</v>
      </c>
      <c r="C521">
        <v>3</v>
      </c>
      <c r="D521" s="1" t="s">
        <v>1059</v>
      </c>
      <c r="E521">
        <v>0</v>
      </c>
      <c r="F521">
        <v>32</v>
      </c>
      <c r="G521">
        <v>0</v>
      </c>
      <c r="H521">
        <v>0</v>
      </c>
      <c r="I521" s="1" t="s">
        <v>1060</v>
      </c>
      <c r="J521">
        <v>7.8958000000000004</v>
      </c>
      <c r="K521" s="1" t="s">
        <v>48</v>
      </c>
      <c r="L521" s="1" t="s">
        <v>14</v>
      </c>
      <c r="M521">
        <v>1</v>
      </c>
      <c r="N521">
        <v>0</v>
      </c>
      <c r="O521">
        <v>0</v>
      </c>
      <c r="P521" t="s">
        <v>1741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f t="shared" si="24"/>
        <v>0</v>
      </c>
      <c r="W521">
        <f t="shared" si="25"/>
        <v>0.5</v>
      </c>
      <c r="X521">
        <f t="shared" si="26"/>
        <v>0.69314718055994529</v>
      </c>
    </row>
    <row r="522" spans="1:24" x14ac:dyDescent="0.25">
      <c r="A522">
        <v>521</v>
      </c>
      <c r="B522">
        <v>1</v>
      </c>
      <c r="C522">
        <v>1</v>
      </c>
      <c r="D522" s="1" t="s">
        <v>1061</v>
      </c>
      <c r="E522">
        <v>1</v>
      </c>
      <c r="F522">
        <v>30</v>
      </c>
      <c r="G522">
        <v>0</v>
      </c>
      <c r="H522">
        <v>0</v>
      </c>
      <c r="I522" s="1" t="s">
        <v>1062</v>
      </c>
      <c r="J522">
        <v>93.5</v>
      </c>
      <c r="K522" s="1" t="s">
        <v>1063</v>
      </c>
      <c r="L522" s="1" t="s">
        <v>14</v>
      </c>
      <c r="M522">
        <v>1</v>
      </c>
      <c r="N522">
        <v>0</v>
      </c>
      <c r="O522">
        <v>0</v>
      </c>
      <c r="P522" t="s">
        <v>1739</v>
      </c>
      <c r="Q522">
        <v>1</v>
      </c>
      <c r="R522">
        <v>0</v>
      </c>
      <c r="S522">
        <v>0</v>
      </c>
      <c r="T522">
        <v>0</v>
      </c>
      <c r="U522">
        <v>0</v>
      </c>
      <c r="V522">
        <f t="shared" si="24"/>
        <v>0.87219584275330231</v>
      </c>
      <c r="W522">
        <f t="shared" si="25"/>
        <v>0.70520240168703408</v>
      </c>
      <c r="X522">
        <f t="shared" si="26"/>
        <v>0.34927042278209691</v>
      </c>
    </row>
    <row r="523" spans="1:24" x14ac:dyDescent="0.25">
      <c r="A523">
        <v>522</v>
      </c>
      <c r="B523">
        <v>0</v>
      </c>
      <c r="C523">
        <v>3</v>
      </c>
      <c r="D523" s="1" t="s">
        <v>1064</v>
      </c>
      <c r="E523">
        <v>0</v>
      </c>
      <c r="F523">
        <v>22</v>
      </c>
      <c r="G523">
        <v>0</v>
      </c>
      <c r="H523">
        <v>0</v>
      </c>
      <c r="I523" s="1" t="s">
        <v>1065</v>
      </c>
      <c r="J523">
        <v>7.8958000000000004</v>
      </c>
      <c r="K523" s="1" t="s">
        <v>48</v>
      </c>
      <c r="L523" s="1" t="s">
        <v>14</v>
      </c>
      <c r="M523">
        <v>1</v>
      </c>
      <c r="N523">
        <v>0</v>
      </c>
      <c r="O523">
        <v>0</v>
      </c>
      <c r="P523" t="s">
        <v>1741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f t="shared" si="24"/>
        <v>0</v>
      </c>
      <c r="W523">
        <f t="shared" si="25"/>
        <v>0.5</v>
      </c>
      <c r="X523">
        <f t="shared" si="26"/>
        <v>0.69314718055994529</v>
      </c>
    </row>
    <row r="524" spans="1:24" x14ac:dyDescent="0.25">
      <c r="A524">
        <v>523</v>
      </c>
      <c r="B524">
        <v>0</v>
      </c>
      <c r="C524">
        <v>3</v>
      </c>
      <c r="D524" s="1" t="s">
        <v>1066</v>
      </c>
      <c r="E524">
        <v>0</v>
      </c>
      <c r="F524" s="1">
        <v>32.180156657963444</v>
      </c>
      <c r="G524">
        <v>0</v>
      </c>
      <c r="H524">
        <v>0</v>
      </c>
      <c r="I524" s="1" t="s">
        <v>1067</v>
      </c>
      <c r="J524">
        <v>7.2249999999999996</v>
      </c>
      <c r="K524" s="1" t="s">
        <v>48</v>
      </c>
      <c r="L524" s="1" t="s">
        <v>18</v>
      </c>
      <c r="M524">
        <v>0</v>
      </c>
      <c r="N524">
        <v>1</v>
      </c>
      <c r="O524">
        <v>0</v>
      </c>
      <c r="P524" t="s">
        <v>1741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f t="shared" si="24"/>
        <v>0</v>
      </c>
      <c r="W524">
        <f t="shared" si="25"/>
        <v>0.5</v>
      </c>
      <c r="X524">
        <f t="shared" si="26"/>
        <v>0.69314718055994529</v>
      </c>
    </row>
    <row r="525" spans="1:24" x14ac:dyDescent="0.25">
      <c r="A525">
        <v>524</v>
      </c>
      <c r="B525">
        <v>1</v>
      </c>
      <c r="C525">
        <v>1</v>
      </c>
      <c r="D525" s="1" t="s">
        <v>1068</v>
      </c>
      <c r="E525">
        <v>1</v>
      </c>
      <c r="F525">
        <v>44</v>
      </c>
      <c r="G525">
        <v>0</v>
      </c>
      <c r="H525">
        <v>1</v>
      </c>
      <c r="I525" s="1" t="s">
        <v>698</v>
      </c>
      <c r="J525">
        <v>57.979199999999999</v>
      </c>
      <c r="K525" s="1" t="s">
        <v>699</v>
      </c>
      <c r="L525" s="1" t="s">
        <v>18</v>
      </c>
      <c r="M525">
        <v>0</v>
      </c>
      <c r="N525">
        <v>1</v>
      </c>
      <c r="O525">
        <v>0</v>
      </c>
      <c r="P525" t="s">
        <v>1740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f t="shared" si="24"/>
        <v>1.3618761518134992</v>
      </c>
      <c r="W525">
        <f t="shared" si="25"/>
        <v>0.79606445234832413</v>
      </c>
      <c r="X525">
        <f t="shared" si="26"/>
        <v>0.22807512612883141</v>
      </c>
    </row>
    <row r="526" spans="1:24" x14ac:dyDescent="0.25">
      <c r="A526">
        <v>525</v>
      </c>
      <c r="B526">
        <v>0</v>
      </c>
      <c r="C526">
        <v>3</v>
      </c>
      <c r="D526" s="1" t="s">
        <v>1069</v>
      </c>
      <c r="E526">
        <v>0</v>
      </c>
      <c r="F526" s="1">
        <v>32.180156657963444</v>
      </c>
      <c r="G526">
        <v>0</v>
      </c>
      <c r="H526">
        <v>0</v>
      </c>
      <c r="I526" s="1" t="s">
        <v>1070</v>
      </c>
      <c r="J526">
        <v>7.2291999999999996</v>
      </c>
      <c r="K526" s="1" t="s">
        <v>48</v>
      </c>
      <c r="L526" s="1" t="s">
        <v>18</v>
      </c>
      <c r="M526">
        <v>0</v>
      </c>
      <c r="N526">
        <v>1</v>
      </c>
      <c r="O526">
        <v>0</v>
      </c>
      <c r="P526" t="s">
        <v>1741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f t="shared" si="24"/>
        <v>0</v>
      </c>
      <c r="W526">
        <f t="shared" si="25"/>
        <v>0.5</v>
      </c>
      <c r="X526">
        <f t="shared" si="26"/>
        <v>0.69314718055994529</v>
      </c>
    </row>
    <row r="527" spans="1:24" x14ac:dyDescent="0.25">
      <c r="A527">
        <v>526</v>
      </c>
      <c r="B527">
        <v>0</v>
      </c>
      <c r="C527">
        <v>3</v>
      </c>
      <c r="D527" s="1" t="s">
        <v>1071</v>
      </c>
      <c r="E527">
        <v>0</v>
      </c>
      <c r="F527" s="1">
        <v>32.180156657963444</v>
      </c>
      <c r="G527">
        <v>0</v>
      </c>
      <c r="H527">
        <v>0</v>
      </c>
      <c r="I527" s="1" t="s">
        <v>1072</v>
      </c>
      <c r="J527">
        <v>7.75</v>
      </c>
      <c r="K527" s="1" t="s">
        <v>48</v>
      </c>
      <c r="L527" s="1" t="s">
        <v>28</v>
      </c>
      <c r="M527">
        <v>0</v>
      </c>
      <c r="N527">
        <v>0</v>
      </c>
      <c r="O527">
        <v>1</v>
      </c>
      <c r="P527" t="s">
        <v>1741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f t="shared" si="24"/>
        <v>0</v>
      </c>
      <c r="W527">
        <f t="shared" si="25"/>
        <v>0.5</v>
      </c>
      <c r="X527">
        <f t="shared" si="26"/>
        <v>0.69314718055994529</v>
      </c>
    </row>
    <row r="528" spans="1:24" x14ac:dyDescent="0.25">
      <c r="A528">
        <v>527</v>
      </c>
      <c r="B528">
        <v>1</v>
      </c>
      <c r="C528">
        <v>2</v>
      </c>
      <c r="D528" s="1" t="s">
        <v>1073</v>
      </c>
      <c r="E528">
        <v>1</v>
      </c>
      <c r="F528">
        <v>50</v>
      </c>
      <c r="G528">
        <v>0</v>
      </c>
      <c r="H528">
        <v>0</v>
      </c>
      <c r="I528" s="1" t="s">
        <v>1074</v>
      </c>
      <c r="J528">
        <v>10.5</v>
      </c>
      <c r="K528" s="1" t="s">
        <v>48</v>
      </c>
      <c r="L528" s="1" t="s">
        <v>14</v>
      </c>
      <c r="M528">
        <v>1</v>
      </c>
      <c r="N528">
        <v>0</v>
      </c>
      <c r="O528">
        <v>0</v>
      </c>
      <c r="P528" t="s">
        <v>1739</v>
      </c>
      <c r="Q528">
        <v>1</v>
      </c>
      <c r="R528">
        <v>0</v>
      </c>
      <c r="S528">
        <v>0</v>
      </c>
      <c r="T528">
        <v>0</v>
      </c>
      <c r="U528">
        <v>0</v>
      </c>
      <c r="V528">
        <f t="shared" si="24"/>
        <v>0.87219584275330231</v>
      </c>
      <c r="W528">
        <f t="shared" si="25"/>
        <v>0.70520240168703408</v>
      </c>
      <c r="X528">
        <f t="shared" si="26"/>
        <v>0.34927042278209691</v>
      </c>
    </row>
    <row r="529" spans="1:24" x14ac:dyDescent="0.25">
      <c r="A529">
        <v>528</v>
      </c>
      <c r="B529">
        <v>0</v>
      </c>
      <c r="C529">
        <v>1</v>
      </c>
      <c r="D529" s="1" t="s">
        <v>1075</v>
      </c>
      <c r="E529">
        <v>0</v>
      </c>
      <c r="F529" s="1">
        <v>32.180156657963444</v>
      </c>
      <c r="G529">
        <v>0</v>
      </c>
      <c r="H529">
        <v>0</v>
      </c>
      <c r="I529" s="1" t="s">
        <v>1076</v>
      </c>
      <c r="J529">
        <v>221.7792</v>
      </c>
      <c r="K529" s="1" t="s">
        <v>1077</v>
      </c>
      <c r="L529" s="1" t="s">
        <v>14</v>
      </c>
      <c r="M529">
        <v>1</v>
      </c>
      <c r="N529">
        <v>0</v>
      </c>
      <c r="O529">
        <v>0</v>
      </c>
      <c r="P529" t="s">
        <v>1741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f t="shared" si="24"/>
        <v>0</v>
      </c>
      <c r="W529">
        <f t="shared" si="25"/>
        <v>0.5</v>
      </c>
      <c r="X529">
        <f t="shared" si="26"/>
        <v>0.69314718055994529</v>
      </c>
    </row>
    <row r="530" spans="1:24" x14ac:dyDescent="0.25">
      <c r="A530">
        <v>529</v>
      </c>
      <c r="B530">
        <v>0</v>
      </c>
      <c r="C530">
        <v>3</v>
      </c>
      <c r="D530" s="1" t="s">
        <v>1078</v>
      </c>
      <c r="E530">
        <v>0</v>
      </c>
      <c r="F530">
        <v>39</v>
      </c>
      <c r="G530">
        <v>0</v>
      </c>
      <c r="H530">
        <v>0</v>
      </c>
      <c r="I530" s="1" t="s">
        <v>1079</v>
      </c>
      <c r="J530">
        <v>7.9249999999999998</v>
      </c>
      <c r="K530" s="1" t="s">
        <v>48</v>
      </c>
      <c r="L530" s="1" t="s">
        <v>14</v>
      </c>
      <c r="M530">
        <v>1</v>
      </c>
      <c r="N530">
        <v>0</v>
      </c>
      <c r="O530">
        <v>0</v>
      </c>
      <c r="P530" t="s">
        <v>1741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f t="shared" si="24"/>
        <v>0</v>
      </c>
      <c r="W530">
        <f t="shared" si="25"/>
        <v>0.5</v>
      </c>
      <c r="X530">
        <f t="shared" si="26"/>
        <v>0.69314718055994529</v>
      </c>
    </row>
    <row r="531" spans="1:24" x14ac:dyDescent="0.25">
      <c r="A531">
        <v>530</v>
      </c>
      <c r="B531">
        <v>0</v>
      </c>
      <c r="C531">
        <v>2</v>
      </c>
      <c r="D531" s="1" t="s">
        <v>1080</v>
      </c>
      <c r="E531">
        <v>0</v>
      </c>
      <c r="F531">
        <v>23</v>
      </c>
      <c r="G531">
        <v>2</v>
      </c>
      <c r="H531">
        <v>1</v>
      </c>
      <c r="I531" s="1" t="s">
        <v>1081</v>
      </c>
      <c r="J531">
        <v>11.5</v>
      </c>
      <c r="K531" s="1" t="s">
        <v>48</v>
      </c>
      <c r="L531" s="1" t="s">
        <v>14</v>
      </c>
      <c r="M531">
        <v>1</v>
      </c>
      <c r="N531">
        <v>0</v>
      </c>
      <c r="O531">
        <v>0</v>
      </c>
      <c r="P531" t="s">
        <v>1741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f t="shared" si="24"/>
        <v>0</v>
      </c>
      <c r="W531">
        <f t="shared" si="25"/>
        <v>0.5</v>
      </c>
      <c r="X531">
        <f t="shared" si="26"/>
        <v>0.69314718055994529</v>
      </c>
    </row>
    <row r="532" spans="1:24" x14ac:dyDescent="0.25">
      <c r="A532">
        <v>531</v>
      </c>
      <c r="B532">
        <v>1</v>
      </c>
      <c r="C532">
        <v>2</v>
      </c>
      <c r="D532" s="1" t="s">
        <v>1082</v>
      </c>
      <c r="E532">
        <v>1</v>
      </c>
      <c r="F532">
        <v>2</v>
      </c>
      <c r="G532">
        <v>1</v>
      </c>
      <c r="H532">
        <v>1</v>
      </c>
      <c r="I532" s="1" t="s">
        <v>1034</v>
      </c>
      <c r="J532">
        <v>26</v>
      </c>
      <c r="K532" s="1" t="s">
        <v>48</v>
      </c>
      <c r="L532" s="1" t="s">
        <v>14</v>
      </c>
      <c r="M532">
        <v>1</v>
      </c>
      <c r="N532">
        <v>0</v>
      </c>
      <c r="O532">
        <v>0</v>
      </c>
      <c r="P532" t="s">
        <v>1739</v>
      </c>
      <c r="Q532">
        <v>1</v>
      </c>
      <c r="R532">
        <v>0</v>
      </c>
      <c r="S532">
        <v>0</v>
      </c>
      <c r="T532">
        <v>0</v>
      </c>
      <c r="U532">
        <v>0</v>
      </c>
      <c r="V532">
        <f t="shared" si="24"/>
        <v>0.87219584275330231</v>
      </c>
      <c r="W532">
        <f t="shared" si="25"/>
        <v>0.70520240168703408</v>
      </c>
      <c r="X532">
        <f t="shared" si="26"/>
        <v>0.34927042278209691</v>
      </c>
    </row>
    <row r="533" spans="1:24" x14ac:dyDescent="0.25">
      <c r="A533">
        <v>532</v>
      </c>
      <c r="B533">
        <v>0</v>
      </c>
      <c r="C533">
        <v>3</v>
      </c>
      <c r="D533" s="1" t="s">
        <v>1083</v>
      </c>
      <c r="E533">
        <v>0</v>
      </c>
      <c r="F533" s="1">
        <v>32.180156657963444</v>
      </c>
      <c r="G533">
        <v>0</v>
      </c>
      <c r="H533">
        <v>0</v>
      </c>
      <c r="I533" s="1" t="s">
        <v>1084</v>
      </c>
      <c r="J533">
        <v>7.2291999999999996</v>
      </c>
      <c r="K533" s="1" t="s">
        <v>48</v>
      </c>
      <c r="L533" s="1" t="s">
        <v>18</v>
      </c>
      <c r="M533">
        <v>0</v>
      </c>
      <c r="N533">
        <v>1</v>
      </c>
      <c r="O533">
        <v>0</v>
      </c>
      <c r="P533" t="s">
        <v>1741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f t="shared" si="24"/>
        <v>0</v>
      </c>
      <c r="W533">
        <f t="shared" si="25"/>
        <v>0.5</v>
      </c>
      <c r="X533">
        <f t="shared" si="26"/>
        <v>0.69314718055994529</v>
      </c>
    </row>
    <row r="534" spans="1:24" x14ac:dyDescent="0.25">
      <c r="A534">
        <v>533</v>
      </c>
      <c r="B534">
        <v>0</v>
      </c>
      <c r="C534">
        <v>3</v>
      </c>
      <c r="D534" s="1" t="s">
        <v>1085</v>
      </c>
      <c r="E534">
        <v>0</v>
      </c>
      <c r="F534">
        <v>17</v>
      </c>
      <c r="G534">
        <v>1</v>
      </c>
      <c r="H534">
        <v>1</v>
      </c>
      <c r="I534" s="1" t="s">
        <v>1086</v>
      </c>
      <c r="J534">
        <v>7.2291999999999996</v>
      </c>
      <c r="K534" s="1" t="s">
        <v>48</v>
      </c>
      <c r="L534" s="1" t="s">
        <v>18</v>
      </c>
      <c r="M534">
        <v>0</v>
      </c>
      <c r="N534">
        <v>1</v>
      </c>
      <c r="O534">
        <v>0</v>
      </c>
      <c r="P534" t="s">
        <v>1741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f t="shared" si="24"/>
        <v>0</v>
      </c>
      <c r="W534">
        <f t="shared" si="25"/>
        <v>0.5</v>
      </c>
      <c r="X534">
        <f t="shared" si="26"/>
        <v>0.69314718055994529</v>
      </c>
    </row>
    <row r="535" spans="1:24" x14ac:dyDescent="0.25">
      <c r="A535">
        <v>534</v>
      </c>
      <c r="B535">
        <v>1</v>
      </c>
      <c r="C535">
        <v>3</v>
      </c>
      <c r="D535" s="1" t="s">
        <v>1087</v>
      </c>
      <c r="E535">
        <v>1</v>
      </c>
      <c r="F535" s="1">
        <v>35.898148148148145</v>
      </c>
      <c r="G535">
        <v>0</v>
      </c>
      <c r="H535">
        <v>2</v>
      </c>
      <c r="I535" s="1" t="s">
        <v>287</v>
      </c>
      <c r="J535">
        <v>22.3583</v>
      </c>
      <c r="K535" s="1" t="s">
        <v>48</v>
      </c>
      <c r="L535" s="1" t="s">
        <v>18</v>
      </c>
      <c r="M535">
        <v>0</v>
      </c>
      <c r="N535">
        <v>1</v>
      </c>
      <c r="O535">
        <v>0</v>
      </c>
      <c r="P535" t="s">
        <v>1740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f t="shared" si="24"/>
        <v>1.3618761518134992</v>
      </c>
      <c r="W535">
        <f t="shared" si="25"/>
        <v>0.79606445234832413</v>
      </c>
      <c r="X535">
        <f t="shared" si="26"/>
        <v>0.22807512612883141</v>
      </c>
    </row>
    <row r="536" spans="1:24" x14ac:dyDescent="0.25">
      <c r="A536">
        <v>535</v>
      </c>
      <c r="B536">
        <v>0</v>
      </c>
      <c r="C536">
        <v>3</v>
      </c>
      <c r="D536" s="1" t="s">
        <v>1088</v>
      </c>
      <c r="E536">
        <v>1</v>
      </c>
      <c r="F536">
        <v>30</v>
      </c>
      <c r="G536">
        <v>0</v>
      </c>
      <c r="H536">
        <v>0</v>
      </c>
      <c r="I536" s="1" t="s">
        <v>1089</v>
      </c>
      <c r="J536">
        <v>8.6624999999999996</v>
      </c>
      <c r="K536" s="1" t="s">
        <v>48</v>
      </c>
      <c r="L536" s="1" t="s">
        <v>14</v>
      </c>
      <c r="M536">
        <v>1</v>
      </c>
      <c r="N536">
        <v>0</v>
      </c>
      <c r="O536">
        <v>0</v>
      </c>
      <c r="P536" t="s">
        <v>1739</v>
      </c>
      <c r="Q536">
        <v>1</v>
      </c>
      <c r="R536">
        <v>0</v>
      </c>
      <c r="S536">
        <v>0</v>
      </c>
      <c r="T536">
        <v>0</v>
      </c>
      <c r="U536">
        <v>0</v>
      </c>
      <c r="V536">
        <f t="shared" si="24"/>
        <v>0.87219584275330231</v>
      </c>
      <c r="W536">
        <f t="shared" si="25"/>
        <v>0.70520240168703408</v>
      </c>
      <c r="X536">
        <f t="shared" si="26"/>
        <v>1.2214662655353992</v>
      </c>
    </row>
    <row r="537" spans="1:24" x14ac:dyDescent="0.25">
      <c r="A537">
        <v>536</v>
      </c>
      <c r="B537">
        <v>1</v>
      </c>
      <c r="C537">
        <v>2</v>
      </c>
      <c r="D537" s="1" t="s">
        <v>1090</v>
      </c>
      <c r="E537">
        <v>1</v>
      </c>
      <c r="F537">
        <v>7</v>
      </c>
      <c r="G537">
        <v>0</v>
      </c>
      <c r="H537">
        <v>2</v>
      </c>
      <c r="I537" s="1" t="s">
        <v>670</v>
      </c>
      <c r="J537">
        <v>26.25</v>
      </c>
      <c r="K537" s="1" t="s">
        <v>48</v>
      </c>
      <c r="L537" s="1" t="s">
        <v>14</v>
      </c>
      <c r="M537">
        <v>1</v>
      </c>
      <c r="N537">
        <v>0</v>
      </c>
      <c r="O537">
        <v>0</v>
      </c>
      <c r="P537" t="s">
        <v>1739</v>
      </c>
      <c r="Q537">
        <v>1</v>
      </c>
      <c r="R537">
        <v>0</v>
      </c>
      <c r="S537">
        <v>0</v>
      </c>
      <c r="T537">
        <v>0</v>
      </c>
      <c r="U537">
        <v>0</v>
      </c>
      <c r="V537">
        <f t="shared" si="24"/>
        <v>0.87219584275330231</v>
      </c>
      <c r="W537">
        <f t="shared" si="25"/>
        <v>0.70520240168703408</v>
      </c>
      <c r="X537">
        <f t="shared" si="26"/>
        <v>0.34927042278209691</v>
      </c>
    </row>
    <row r="538" spans="1:24" x14ac:dyDescent="0.25">
      <c r="A538">
        <v>537</v>
      </c>
      <c r="B538">
        <v>0</v>
      </c>
      <c r="C538">
        <v>1</v>
      </c>
      <c r="D538" s="1" t="s">
        <v>1091</v>
      </c>
      <c r="E538">
        <v>0</v>
      </c>
      <c r="F538">
        <v>45</v>
      </c>
      <c r="G538">
        <v>0</v>
      </c>
      <c r="H538">
        <v>0</v>
      </c>
      <c r="I538" s="1" t="s">
        <v>1092</v>
      </c>
      <c r="J538">
        <v>26.55</v>
      </c>
      <c r="K538" s="1" t="s">
        <v>1093</v>
      </c>
      <c r="L538" s="1" t="s">
        <v>14</v>
      </c>
      <c r="M538">
        <v>1</v>
      </c>
      <c r="N538">
        <v>0</v>
      </c>
      <c r="O538">
        <v>0</v>
      </c>
      <c r="P538" t="s">
        <v>1749</v>
      </c>
      <c r="Q538">
        <v>0</v>
      </c>
      <c r="R538">
        <v>0</v>
      </c>
      <c r="S538">
        <v>0</v>
      </c>
      <c r="T538">
        <v>0</v>
      </c>
      <c r="U538">
        <v>1</v>
      </c>
      <c r="V538">
        <f t="shared" si="24"/>
        <v>0</v>
      </c>
      <c r="W538">
        <f t="shared" si="25"/>
        <v>0.5</v>
      </c>
      <c r="X538">
        <f t="shared" si="26"/>
        <v>0.69314718055994529</v>
      </c>
    </row>
    <row r="539" spans="1:24" x14ac:dyDescent="0.25">
      <c r="A539">
        <v>538</v>
      </c>
      <c r="B539">
        <v>1</v>
      </c>
      <c r="C539">
        <v>1</v>
      </c>
      <c r="D539" s="1" t="s">
        <v>1094</v>
      </c>
      <c r="E539">
        <v>1</v>
      </c>
      <c r="F539">
        <v>30</v>
      </c>
      <c r="G539">
        <v>0</v>
      </c>
      <c r="H539">
        <v>0</v>
      </c>
      <c r="I539" s="1" t="s">
        <v>1095</v>
      </c>
      <c r="J539">
        <v>106.425</v>
      </c>
      <c r="K539" s="1" t="s">
        <v>48</v>
      </c>
      <c r="L539" s="1" t="s">
        <v>18</v>
      </c>
      <c r="M539">
        <v>0</v>
      </c>
      <c r="N539">
        <v>1</v>
      </c>
      <c r="O539">
        <v>0</v>
      </c>
      <c r="P539" t="s">
        <v>1739</v>
      </c>
      <c r="Q539">
        <v>1</v>
      </c>
      <c r="R539">
        <v>0</v>
      </c>
      <c r="S539">
        <v>0</v>
      </c>
      <c r="T539">
        <v>0</v>
      </c>
      <c r="U539">
        <v>0</v>
      </c>
      <c r="V539">
        <f t="shared" si="24"/>
        <v>0.87219584275330231</v>
      </c>
      <c r="W539">
        <f t="shared" si="25"/>
        <v>0.70520240168703408</v>
      </c>
      <c r="X539">
        <f t="shared" si="26"/>
        <v>0.34927042278209691</v>
      </c>
    </row>
    <row r="540" spans="1:24" x14ac:dyDescent="0.25">
      <c r="A540">
        <v>539</v>
      </c>
      <c r="B540">
        <v>0</v>
      </c>
      <c r="C540">
        <v>3</v>
      </c>
      <c r="D540" s="1" t="s">
        <v>1096</v>
      </c>
      <c r="E540">
        <v>0</v>
      </c>
      <c r="F540" s="1">
        <v>32.180156657963444</v>
      </c>
      <c r="G540">
        <v>0</v>
      </c>
      <c r="H540">
        <v>0</v>
      </c>
      <c r="I540" s="1" t="s">
        <v>1097</v>
      </c>
      <c r="J540">
        <v>14.5</v>
      </c>
      <c r="K540" s="1" t="s">
        <v>48</v>
      </c>
      <c r="L540" s="1" t="s">
        <v>14</v>
      </c>
      <c r="M540">
        <v>1</v>
      </c>
      <c r="N540">
        <v>0</v>
      </c>
      <c r="O540">
        <v>0</v>
      </c>
      <c r="P540" t="s">
        <v>1741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f t="shared" si="24"/>
        <v>0</v>
      </c>
      <c r="W540">
        <f t="shared" si="25"/>
        <v>0.5</v>
      </c>
      <c r="X540">
        <f t="shared" si="26"/>
        <v>0.69314718055994529</v>
      </c>
    </row>
    <row r="541" spans="1:24" x14ac:dyDescent="0.25">
      <c r="A541">
        <v>540</v>
      </c>
      <c r="B541">
        <v>1</v>
      </c>
      <c r="C541">
        <v>1</v>
      </c>
      <c r="D541" s="1" t="s">
        <v>1098</v>
      </c>
      <c r="E541">
        <v>1</v>
      </c>
      <c r="F541">
        <v>22</v>
      </c>
      <c r="G541">
        <v>0</v>
      </c>
      <c r="H541">
        <v>2</v>
      </c>
      <c r="I541" s="1" t="s">
        <v>1099</v>
      </c>
      <c r="J541">
        <v>49.5</v>
      </c>
      <c r="K541" s="1" t="s">
        <v>1100</v>
      </c>
      <c r="L541" s="1" t="s">
        <v>18</v>
      </c>
      <c r="M541">
        <v>0</v>
      </c>
      <c r="N541">
        <v>1</v>
      </c>
      <c r="O541">
        <v>0</v>
      </c>
      <c r="P541" t="s">
        <v>1739</v>
      </c>
      <c r="Q541">
        <v>1</v>
      </c>
      <c r="R541">
        <v>0</v>
      </c>
      <c r="S541">
        <v>0</v>
      </c>
      <c r="T541">
        <v>0</v>
      </c>
      <c r="U541">
        <v>0</v>
      </c>
      <c r="V541">
        <f t="shared" si="24"/>
        <v>0.87219584275330231</v>
      </c>
      <c r="W541">
        <f t="shared" si="25"/>
        <v>0.70520240168703408</v>
      </c>
      <c r="X541">
        <f t="shared" si="26"/>
        <v>0.34927042278209691</v>
      </c>
    </row>
    <row r="542" spans="1:24" x14ac:dyDescent="0.25">
      <c r="A542">
        <v>541</v>
      </c>
      <c r="B542">
        <v>1</v>
      </c>
      <c r="C542">
        <v>1</v>
      </c>
      <c r="D542" s="1" t="s">
        <v>1101</v>
      </c>
      <c r="E542">
        <v>1</v>
      </c>
      <c r="F542">
        <v>36</v>
      </c>
      <c r="G542">
        <v>0</v>
      </c>
      <c r="H542">
        <v>2</v>
      </c>
      <c r="I542" s="1" t="s">
        <v>1102</v>
      </c>
      <c r="J542">
        <v>71</v>
      </c>
      <c r="K542" s="1" t="s">
        <v>1103</v>
      </c>
      <c r="L542" s="1" t="s">
        <v>14</v>
      </c>
      <c r="M542">
        <v>1</v>
      </c>
      <c r="N542">
        <v>0</v>
      </c>
      <c r="O542">
        <v>0</v>
      </c>
      <c r="P542" t="s">
        <v>1739</v>
      </c>
      <c r="Q542">
        <v>1</v>
      </c>
      <c r="R542">
        <v>0</v>
      </c>
      <c r="S542">
        <v>0</v>
      </c>
      <c r="T542">
        <v>0</v>
      </c>
      <c r="U542">
        <v>0</v>
      </c>
      <c r="V542">
        <f t="shared" si="24"/>
        <v>0.87219584275330231</v>
      </c>
      <c r="W542">
        <f t="shared" si="25"/>
        <v>0.70520240168703408</v>
      </c>
      <c r="X542">
        <f t="shared" si="26"/>
        <v>0.34927042278209691</v>
      </c>
    </row>
    <row r="543" spans="1:24" x14ac:dyDescent="0.25">
      <c r="A543">
        <v>542</v>
      </c>
      <c r="B543">
        <v>0</v>
      </c>
      <c r="C543">
        <v>3</v>
      </c>
      <c r="D543" s="1" t="s">
        <v>1104</v>
      </c>
      <c r="E543">
        <v>1</v>
      </c>
      <c r="F543">
        <v>9</v>
      </c>
      <c r="G543">
        <v>4</v>
      </c>
      <c r="H543">
        <v>2</v>
      </c>
      <c r="I543" s="1" t="s">
        <v>47</v>
      </c>
      <c r="J543">
        <v>31.274999999999999</v>
      </c>
      <c r="K543" s="1" t="s">
        <v>48</v>
      </c>
      <c r="L543" s="1" t="s">
        <v>14</v>
      </c>
      <c r="M543">
        <v>1</v>
      </c>
      <c r="N543">
        <v>0</v>
      </c>
      <c r="O543">
        <v>0</v>
      </c>
      <c r="P543" t="s">
        <v>1739</v>
      </c>
      <c r="Q543">
        <v>1</v>
      </c>
      <c r="R543">
        <v>0</v>
      </c>
      <c r="S543">
        <v>0</v>
      </c>
      <c r="T543">
        <v>0</v>
      </c>
      <c r="U543">
        <v>0</v>
      </c>
      <c r="V543">
        <f t="shared" si="24"/>
        <v>0.87219584275330231</v>
      </c>
      <c r="W543">
        <f t="shared" si="25"/>
        <v>0.70520240168703408</v>
      </c>
      <c r="X543">
        <f t="shared" si="26"/>
        <v>1.2214662655353992</v>
      </c>
    </row>
    <row r="544" spans="1:24" x14ac:dyDescent="0.25">
      <c r="A544">
        <v>543</v>
      </c>
      <c r="B544">
        <v>0</v>
      </c>
      <c r="C544">
        <v>3</v>
      </c>
      <c r="D544" s="1" t="s">
        <v>1105</v>
      </c>
      <c r="E544">
        <v>1</v>
      </c>
      <c r="F544">
        <v>11</v>
      </c>
      <c r="G544">
        <v>4</v>
      </c>
      <c r="H544">
        <v>2</v>
      </c>
      <c r="I544" s="1" t="s">
        <v>47</v>
      </c>
      <c r="J544">
        <v>31.274999999999999</v>
      </c>
      <c r="K544" s="1" t="s">
        <v>48</v>
      </c>
      <c r="L544" s="1" t="s">
        <v>14</v>
      </c>
      <c r="M544">
        <v>1</v>
      </c>
      <c r="N544">
        <v>0</v>
      </c>
      <c r="O544">
        <v>0</v>
      </c>
      <c r="P544" t="s">
        <v>1739</v>
      </c>
      <c r="Q544">
        <v>1</v>
      </c>
      <c r="R544">
        <v>0</v>
      </c>
      <c r="S544">
        <v>0</v>
      </c>
      <c r="T544">
        <v>0</v>
      </c>
      <c r="U544">
        <v>0</v>
      </c>
      <c r="V544">
        <f t="shared" si="24"/>
        <v>0.87219584275330231</v>
      </c>
      <c r="W544">
        <f t="shared" si="25"/>
        <v>0.70520240168703408</v>
      </c>
      <c r="X544">
        <f t="shared" si="26"/>
        <v>1.2214662655353992</v>
      </c>
    </row>
    <row r="545" spans="1:24" x14ac:dyDescent="0.25">
      <c r="A545">
        <v>544</v>
      </c>
      <c r="B545">
        <v>1</v>
      </c>
      <c r="C545">
        <v>2</v>
      </c>
      <c r="D545" s="1" t="s">
        <v>1106</v>
      </c>
      <c r="E545">
        <v>0</v>
      </c>
      <c r="F545">
        <v>32</v>
      </c>
      <c r="G545">
        <v>1</v>
      </c>
      <c r="H545">
        <v>0</v>
      </c>
      <c r="I545" s="1" t="s">
        <v>1107</v>
      </c>
      <c r="J545">
        <v>26</v>
      </c>
      <c r="K545" s="1" t="s">
        <v>48</v>
      </c>
      <c r="L545" s="1" t="s">
        <v>14</v>
      </c>
      <c r="M545">
        <v>1</v>
      </c>
      <c r="N545">
        <v>0</v>
      </c>
      <c r="O545">
        <v>0</v>
      </c>
      <c r="P545" t="s">
        <v>1741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f t="shared" si="24"/>
        <v>0</v>
      </c>
      <c r="W545">
        <f t="shared" si="25"/>
        <v>0.5</v>
      </c>
      <c r="X545">
        <f t="shared" si="26"/>
        <v>0.69314718055994529</v>
      </c>
    </row>
    <row r="546" spans="1:24" x14ac:dyDescent="0.25">
      <c r="A546">
        <v>545</v>
      </c>
      <c r="B546">
        <v>0</v>
      </c>
      <c r="C546">
        <v>1</v>
      </c>
      <c r="D546" s="1" t="s">
        <v>1108</v>
      </c>
      <c r="E546">
        <v>0</v>
      </c>
      <c r="F546">
        <v>50</v>
      </c>
      <c r="G546">
        <v>1</v>
      </c>
      <c r="H546">
        <v>0</v>
      </c>
      <c r="I546" s="1" t="s">
        <v>1095</v>
      </c>
      <c r="J546">
        <v>106.425</v>
      </c>
      <c r="K546" s="1" t="s">
        <v>1109</v>
      </c>
      <c r="L546" s="1" t="s">
        <v>18</v>
      </c>
      <c r="M546">
        <v>0</v>
      </c>
      <c r="N546">
        <v>1</v>
      </c>
      <c r="O546">
        <v>0</v>
      </c>
      <c r="P546" t="s">
        <v>1741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f t="shared" si="24"/>
        <v>0</v>
      </c>
      <c r="W546">
        <f t="shared" si="25"/>
        <v>0.5</v>
      </c>
      <c r="X546">
        <f t="shared" si="26"/>
        <v>0.69314718055994529</v>
      </c>
    </row>
    <row r="547" spans="1:24" x14ac:dyDescent="0.25">
      <c r="A547">
        <v>546</v>
      </c>
      <c r="B547">
        <v>0</v>
      </c>
      <c r="C547">
        <v>1</v>
      </c>
      <c r="D547" s="1" t="s">
        <v>1110</v>
      </c>
      <c r="E547">
        <v>0</v>
      </c>
      <c r="F547">
        <v>64</v>
      </c>
      <c r="G547">
        <v>0</v>
      </c>
      <c r="H547">
        <v>0</v>
      </c>
      <c r="I547" s="1" t="s">
        <v>1111</v>
      </c>
      <c r="J547">
        <v>26</v>
      </c>
      <c r="K547" s="1" t="s">
        <v>48</v>
      </c>
      <c r="L547" s="1" t="s">
        <v>14</v>
      </c>
      <c r="M547">
        <v>1</v>
      </c>
      <c r="N547">
        <v>0</v>
      </c>
      <c r="O547">
        <v>0</v>
      </c>
      <c r="P547" t="s">
        <v>1741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f t="shared" si="24"/>
        <v>0</v>
      </c>
      <c r="W547">
        <f t="shared" si="25"/>
        <v>0.5</v>
      </c>
      <c r="X547">
        <f t="shared" si="26"/>
        <v>0.69314718055994529</v>
      </c>
    </row>
    <row r="548" spans="1:24" x14ac:dyDescent="0.25">
      <c r="A548">
        <v>547</v>
      </c>
      <c r="B548">
        <v>1</v>
      </c>
      <c r="C548">
        <v>2</v>
      </c>
      <c r="D548" s="1" t="s">
        <v>1112</v>
      </c>
      <c r="E548">
        <v>1</v>
      </c>
      <c r="F548">
        <v>19</v>
      </c>
      <c r="G548">
        <v>1</v>
      </c>
      <c r="H548">
        <v>0</v>
      </c>
      <c r="I548" s="1" t="s">
        <v>1107</v>
      </c>
      <c r="J548">
        <v>26</v>
      </c>
      <c r="K548" s="1" t="s">
        <v>48</v>
      </c>
      <c r="L548" s="1" t="s">
        <v>14</v>
      </c>
      <c r="M548">
        <v>1</v>
      </c>
      <c r="N548">
        <v>0</v>
      </c>
      <c r="O548">
        <v>0</v>
      </c>
      <c r="P548" t="s">
        <v>1740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f t="shared" si="24"/>
        <v>1.3618761518134992</v>
      </c>
      <c r="W548">
        <f t="shared" si="25"/>
        <v>0.79606445234832413</v>
      </c>
      <c r="X548">
        <f t="shared" si="26"/>
        <v>0.22807512612883141</v>
      </c>
    </row>
    <row r="549" spans="1:24" x14ac:dyDescent="0.25">
      <c r="A549">
        <v>548</v>
      </c>
      <c r="B549">
        <v>1</v>
      </c>
      <c r="C549">
        <v>2</v>
      </c>
      <c r="D549" s="1" t="s">
        <v>1113</v>
      </c>
      <c r="E549">
        <v>0</v>
      </c>
      <c r="F549" s="1">
        <v>32.180156657963444</v>
      </c>
      <c r="G549">
        <v>0</v>
      </c>
      <c r="H549">
        <v>0</v>
      </c>
      <c r="I549" s="1" t="s">
        <v>1114</v>
      </c>
      <c r="J549">
        <v>13.862500000000001</v>
      </c>
      <c r="K549" s="1" t="s">
        <v>48</v>
      </c>
      <c r="L549" s="1" t="s">
        <v>18</v>
      </c>
      <c r="M549">
        <v>0</v>
      </c>
      <c r="N549">
        <v>1</v>
      </c>
      <c r="O549">
        <v>0</v>
      </c>
      <c r="P549" t="s">
        <v>1741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f t="shared" si="24"/>
        <v>0</v>
      </c>
      <c r="W549">
        <f t="shared" si="25"/>
        <v>0.5</v>
      </c>
      <c r="X549">
        <f t="shared" si="26"/>
        <v>0.69314718055994529</v>
      </c>
    </row>
    <row r="550" spans="1:24" x14ac:dyDescent="0.25">
      <c r="A550">
        <v>549</v>
      </c>
      <c r="B550">
        <v>0</v>
      </c>
      <c r="C550">
        <v>3</v>
      </c>
      <c r="D550" s="1" t="s">
        <v>1115</v>
      </c>
      <c r="E550">
        <v>0</v>
      </c>
      <c r="F550">
        <v>33</v>
      </c>
      <c r="G550">
        <v>1</v>
      </c>
      <c r="H550">
        <v>1</v>
      </c>
      <c r="I550" s="1" t="s">
        <v>363</v>
      </c>
      <c r="J550">
        <v>20.524999999999999</v>
      </c>
      <c r="K550" s="1" t="s">
        <v>48</v>
      </c>
      <c r="L550" s="1" t="s">
        <v>14</v>
      </c>
      <c r="M550">
        <v>1</v>
      </c>
      <c r="N550">
        <v>0</v>
      </c>
      <c r="O550">
        <v>0</v>
      </c>
      <c r="P550" t="s">
        <v>1741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f t="shared" si="24"/>
        <v>0</v>
      </c>
      <c r="W550">
        <f t="shared" si="25"/>
        <v>0.5</v>
      </c>
      <c r="X550">
        <f t="shared" si="26"/>
        <v>0.69314718055994529</v>
      </c>
    </row>
    <row r="551" spans="1:24" x14ac:dyDescent="0.25">
      <c r="A551">
        <v>550</v>
      </c>
      <c r="B551">
        <v>1</v>
      </c>
      <c r="C551">
        <v>2</v>
      </c>
      <c r="D551" s="1" t="s">
        <v>1116</v>
      </c>
      <c r="E551">
        <v>0</v>
      </c>
      <c r="F551">
        <v>8</v>
      </c>
      <c r="G551">
        <v>1</v>
      </c>
      <c r="H551">
        <v>1</v>
      </c>
      <c r="I551" s="1" t="s">
        <v>323</v>
      </c>
      <c r="J551">
        <v>36.75</v>
      </c>
      <c r="K551" s="1" t="s">
        <v>48</v>
      </c>
      <c r="L551" s="1" t="s">
        <v>14</v>
      </c>
      <c r="M551">
        <v>1</v>
      </c>
      <c r="N551">
        <v>0</v>
      </c>
      <c r="O551">
        <v>0</v>
      </c>
      <c r="P551" t="s">
        <v>1742</v>
      </c>
      <c r="Q551">
        <v>0</v>
      </c>
      <c r="R551">
        <v>0</v>
      </c>
      <c r="S551">
        <v>0</v>
      </c>
      <c r="T551">
        <v>1</v>
      </c>
      <c r="U551">
        <v>0</v>
      </c>
      <c r="V551">
        <f t="shared" si="24"/>
        <v>0.21766252466937555</v>
      </c>
      <c r="W551">
        <f t="shared" si="25"/>
        <v>0.55420180681382414</v>
      </c>
      <c r="X551">
        <f t="shared" si="26"/>
        <v>0.59022638633875368</v>
      </c>
    </row>
    <row r="552" spans="1:24" x14ac:dyDescent="0.25">
      <c r="A552">
        <v>551</v>
      </c>
      <c r="B552">
        <v>1</v>
      </c>
      <c r="C552">
        <v>1</v>
      </c>
      <c r="D552" s="1" t="s">
        <v>1117</v>
      </c>
      <c r="E552">
        <v>0</v>
      </c>
      <c r="F552">
        <v>17</v>
      </c>
      <c r="G552">
        <v>0</v>
      </c>
      <c r="H552">
        <v>2</v>
      </c>
      <c r="I552" s="1" t="s">
        <v>650</v>
      </c>
      <c r="J552">
        <v>110.88330000000001</v>
      </c>
      <c r="K552" s="1" t="s">
        <v>1118</v>
      </c>
      <c r="L552" s="1" t="s">
        <v>18</v>
      </c>
      <c r="M552">
        <v>0</v>
      </c>
      <c r="N552">
        <v>1</v>
      </c>
      <c r="O552">
        <v>0</v>
      </c>
      <c r="P552" t="s">
        <v>1741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f t="shared" si="24"/>
        <v>0</v>
      </c>
      <c r="W552">
        <f t="shared" si="25"/>
        <v>0.5</v>
      </c>
      <c r="X552">
        <f t="shared" si="26"/>
        <v>0.69314718055994529</v>
      </c>
    </row>
    <row r="553" spans="1:24" x14ac:dyDescent="0.25">
      <c r="A553">
        <v>552</v>
      </c>
      <c r="B553">
        <v>0</v>
      </c>
      <c r="C553">
        <v>2</v>
      </c>
      <c r="D553" s="1" t="s">
        <v>1119</v>
      </c>
      <c r="E553">
        <v>0</v>
      </c>
      <c r="F553">
        <v>27</v>
      </c>
      <c r="G553">
        <v>0</v>
      </c>
      <c r="H553">
        <v>0</v>
      </c>
      <c r="I553" s="1" t="s">
        <v>1120</v>
      </c>
      <c r="J553">
        <v>26</v>
      </c>
      <c r="K553" s="1" t="s">
        <v>48</v>
      </c>
      <c r="L553" s="1" t="s">
        <v>14</v>
      </c>
      <c r="M553">
        <v>1</v>
      </c>
      <c r="N553">
        <v>0</v>
      </c>
      <c r="O553">
        <v>0</v>
      </c>
      <c r="P553" t="s">
        <v>1741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f t="shared" si="24"/>
        <v>0</v>
      </c>
      <c r="W553">
        <f t="shared" si="25"/>
        <v>0.5</v>
      </c>
      <c r="X553">
        <f t="shared" si="26"/>
        <v>0.69314718055994529</v>
      </c>
    </row>
    <row r="554" spans="1:24" x14ac:dyDescent="0.25">
      <c r="A554">
        <v>553</v>
      </c>
      <c r="B554">
        <v>0</v>
      </c>
      <c r="C554">
        <v>3</v>
      </c>
      <c r="D554" s="1" t="s">
        <v>1121</v>
      </c>
      <c r="E554">
        <v>0</v>
      </c>
      <c r="F554" s="1">
        <v>32.180156657963444</v>
      </c>
      <c r="G554">
        <v>0</v>
      </c>
      <c r="H554">
        <v>0</v>
      </c>
      <c r="I554" s="1" t="s">
        <v>1122</v>
      </c>
      <c r="J554">
        <v>7.8292000000000002</v>
      </c>
      <c r="K554" s="1" t="s">
        <v>48</v>
      </c>
      <c r="L554" s="1" t="s">
        <v>28</v>
      </c>
      <c r="M554">
        <v>0</v>
      </c>
      <c r="N554">
        <v>0</v>
      </c>
      <c r="O554">
        <v>1</v>
      </c>
      <c r="P554" t="s">
        <v>1741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f t="shared" si="24"/>
        <v>0</v>
      </c>
      <c r="W554">
        <f t="shared" si="25"/>
        <v>0.5</v>
      </c>
      <c r="X554">
        <f t="shared" si="26"/>
        <v>0.69314718055994529</v>
      </c>
    </row>
    <row r="555" spans="1:24" x14ac:dyDescent="0.25">
      <c r="A555">
        <v>554</v>
      </c>
      <c r="B555">
        <v>1</v>
      </c>
      <c r="C555">
        <v>3</v>
      </c>
      <c r="D555" s="1" t="s">
        <v>1123</v>
      </c>
      <c r="E555">
        <v>0</v>
      </c>
      <c r="F555">
        <v>22</v>
      </c>
      <c r="G555">
        <v>0</v>
      </c>
      <c r="H555">
        <v>0</v>
      </c>
      <c r="I555" s="1" t="s">
        <v>1124</v>
      </c>
      <c r="J555">
        <v>7.2249999999999996</v>
      </c>
      <c r="K555" s="1" t="s">
        <v>48</v>
      </c>
      <c r="L555" s="1" t="s">
        <v>18</v>
      </c>
      <c r="M555">
        <v>0</v>
      </c>
      <c r="N555">
        <v>1</v>
      </c>
      <c r="O555">
        <v>0</v>
      </c>
      <c r="P555" t="s">
        <v>1741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f t="shared" si="24"/>
        <v>0</v>
      </c>
      <c r="W555">
        <f t="shared" si="25"/>
        <v>0.5</v>
      </c>
      <c r="X555">
        <f t="shared" si="26"/>
        <v>0.69314718055994529</v>
      </c>
    </row>
    <row r="556" spans="1:24" x14ac:dyDescent="0.25">
      <c r="A556">
        <v>555</v>
      </c>
      <c r="B556">
        <v>1</v>
      </c>
      <c r="C556">
        <v>3</v>
      </c>
      <c r="D556" s="1" t="s">
        <v>1125</v>
      </c>
      <c r="E556">
        <v>1</v>
      </c>
      <c r="F556">
        <v>22</v>
      </c>
      <c r="G556">
        <v>0</v>
      </c>
      <c r="H556">
        <v>0</v>
      </c>
      <c r="I556" s="1" t="s">
        <v>1126</v>
      </c>
      <c r="J556">
        <v>7.7750000000000004</v>
      </c>
      <c r="K556" s="1" t="s">
        <v>48</v>
      </c>
      <c r="L556" s="1" t="s">
        <v>14</v>
      </c>
      <c r="M556">
        <v>1</v>
      </c>
      <c r="N556">
        <v>0</v>
      </c>
      <c r="O556">
        <v>0</v>
      </c>
      <c r="P556" t="s">
        <v>1739</v>
      </c>
      <c r="Q556">
        <v>1</v>
      </c>
      <c r="R556">
        <v>0</v>
      </c>
      <c r="S556">
        <v>0</v>
      </c>
      <c r="T556">
        <v>0</v>
      </c>
      <c r="U556">
        <v>0</v>
      </c>
      <c r="V556">
        <f t="shared" si="24"/>
        <v>0.87219584275330231</v>
      </c>
      <c r="W556">
        <f t="shared" si="25"/>
        <v>0.70520240168703408</v>
      </c>
      <c r="X556">
        <f t="shared" si="26"/>
        <v>0.34927042278209691</v>
      </c>
    </row>
    <row r="557" spans="1:24" x14ac:dyDescent="0.25">
      <c r="A557">
        <v>556</v>
      </c>
      <c r="B557">
        <v>0</v>
      </c>
      <c r="C557">
        <v>1</v>
      </c>
      <c r="D557" s="1" t="s">
        <v>1127</v>
      </c>
      <c r="E557">
        <v>0</v>
      </c>
      <c r="F557">
        <v>62</v>
      </c>
      <c r="G557">
        <v>0</v>
      </c>
      <c r="H557">
        <v>0</v>
      </c>
      <c r="I557" s="1" t="s">
        <v>1128</v>
      </c>
      <c r="J557">
        <v>26.55</v>
      </c>
      <c r="K557" s="1" t="s">
        <v>48</v>
      </c>
      <c r="L557" s="1" t="s">
        <v>14</v>
      </c>
      <c r="M557">
        <v>1</v>
      </c>
      <c r="N557">
        <v>0</v>
      </c>
      <c r="O557">
        <v>0</v>
      </c>
      <c r="P557" t="s">
        <v>1741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f t="shared" si="24"/>
        <v>0</v>
      </c>
      <c r="W557">
        <f t="shared" si="25"/>
        <v>0.5</v>
      </c>
      <c r="X557">
        <f t="shared" si="26"/>
        <v>0.69314718055994529</v>
      </c>
    </row>
    <row r="558" spans="1:24" x14ac:dyDescent="0.25">
      <c r="A558">
        <v>557</v>
      </c>
      <c r="B558">
        <v>1</v>
      </c>
      <c r="C558">
        <v>1</v>
      </c>
      <c r="D558" s="1" t="s">
        <v>1129</v>
      </c>
      <c r="E558">
        <v>1</v>
      </c>
      <c r="F558">
        <v>48</v>
      </c>
      <c r="G558">
        <v>1</v>
      </c>
      <c r="H558">
        <v>0</v>
      </c>
      <c r="I558" s="1" t="s">
        <v>1130</v>
      </c>
      <c r="J558">
        <v>39.6</v>
      </c>
      <c r="K558" s="1" t="s">
        <v>1131</v>
      </c>
      <c r="L558" s="1" t="s">
        <v>18</v>
      </c>
      <c r="M558">
        <v>0</v>
      </c>
      <c r="N558">
        <v>1</v>
      </c>
      <c r="O558">
        <v>0</v>
      </c>
      <c r="P558" t="s">
        <v>1750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f t="shared" si="24"/>
        <v>0.71606068106693632</v>
      </c>
      <c r="W558">
        <f t="shared" si="25"/>
        <v>0.67173896306745373</v>
      </c>
      <c r="X558">
        <f t="shared" si="26"/>
        <v>0.39788546174067313</v>
      </c>
    </row>
    <row r="559" spans="1:24" x14ac:dyDescent="0.25">
      <c r="A559">
        <v>558</v>
      </c>
      <c r="B559">
        <v>0</v>
      </c>
      <c r="C559">
        <v>1</v>
      </c>
      <c r="D559" s="1" t="s">
        <v>1132</v>
      </c>
      <c r="E559">
        <v>0</v>
      </c>
      <c r="F559" s="1">
        <v>32.180156657963444</v>
      </c>
      <c r="G559">
        <v>0</v>
      </c>
      <c r="H559">
        <v>0</v>
      </c>
      <c r="I559" s="1" t="s">
        <v>796</v>
      </c>
      <c r="J559">
        <v>227.52500000000001</v>
      </c>
      <c r="K559" s="1" t="s">
        <v>48</v>
      </c>
      <c r="L559" s="1" t="s">
        <v>18</v>
      </c>
      <c r="M559">
        <v>0</v>
      </c>
      <c r="N559">
        <v>1</v>
      </c>
      <c r="O559">
        <v>0</v>
      </c>
      <c r="P559" t="s">
        <v>1741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f t="shared" si="24"/>
        <v>0</v>
      </c>
      <c r="W559">
        <f t="shared" si="25"/>
        <v>0.5</v>
      </c>
      <c r="X559">
        <f t="shared" si="26"/>
        <v>0.69314718055994529</v>
      </c>
    </row>
    <row r="560" spans="1:24" x14ac:dyDescent="0.25">
      <c r="A560">
        <v>559</v>
      </c>
      <c r="B560">
        <v>1</v>
      </c>
      <c r="C560">
        <v>1</v>
      </c>
      <c r="D560" s="1" t="s">
        <v>1133</v>
      </c>
      <c r="E560">
        <v>1</v>
      </c>
      <c r="F560">
        <v>39</v>
      </c>
      <c r="G560">
        <v>1</v>
      </c>
      <c r="H560">
        <v>1</v>
      </c>
      <c r="I560" s="1" t="s">
        <v>557</v>
      </c>
      <c r="J560">
        <v>79.650000000000006</v>
      </c>
      <c r="K560" s="1" t="s">
        <v>558</v>
      </c>
      <c r="L560" s="1" t="s">
        <v>14</v>
      </c>
      <c r="M560">
        <v>1</v>
      </c>
      <c r="N560">
        <v>0</v>
      </c>
      <c r="O560">
        <v>0</v>
      </c>
      <c r="P560" t="s">
        <v>1740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f t="shared" si="24"/>
        <v>1.3618761518134992</v>
      </c>
      <c r="W560">
        <f t="shared" si="25"/>
        <v>0.79606445234832413</v>
      </c>
      <c r="X560">
        <f t="shared" si="26"/>
        <v>0.22807512612883141</v>
      </c>
    </row>
    <row r="561" spans="1:24" x14ac:dyDescent="0.25">
      <c r="A561">
        <v>560</v>
      </c>
      <c r="B561">
        <v>1</v>
      </c>
      <c r="C561">
        <v>3</v>
      </c>
      <c r="D561" s="1" t="s">
        <v>1134</v>
      </c>
      <c r="E561">
        <v>1</v>
      </c>
      <c r="F561">
        <v>36</v>
      </c>
      <c r="G561">
        <v>1</v>
      </c>
      <c r="H561">
        <v>0</v>
      </c>
      <c r="I561" s="1" t="s">
        <v>1135</v>
      </c>
      <c r="J561">
        <v>17.399999999999999</v>
      </c>
      <c r="K561" s="1" t="s">
        <v>48</v>
      </c>
      <c r="L561" s="1" t="s">
        <v>14</v>
      </c>
      <c r="M561">
        <v>1</v>
      </c>
      <c r="N561">
        <v>0</v>
      </c>
      <c r="O561">
        <v>0</v>
      </c>
      <c r="P561" t="s">
        <v>1740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f t="shared" si="24"/>
        <v>1.3618761518134992</v>
      </c>
      <c r="W561">
        <f t="shared" si="25"/>
        <v>0.79606445234832413</v>
      </c>
      <c r="X561">
        <f t="shared" si="26"/>
        <v>0.22807512612883141</v>
      </c>
    </row>
    <row r="562" spans="1:24" x14ac:dyDescent="0.25">
      <c r="A562">
        <v>561</v>
      </c>
      <c r="B562">
        <v>0</v>
      </c>
      <c r="C562">
        <v>3</v>
      </c>
      <c r="D562" s="1" t="s">
        <v>1136</v>
      </c>
      <c r="E562">
        <v>0</v>
      </c>
      <c r="F562" s="1">
        <v>32.180156657963444</v>
      </c>
      <c r="G562">
        <v>0</v>
      </c>
      <c r="H562">
        <v>0</v>
      </c>
      <c r="I562" s="1" t="s">
        <v>1137</v>
      </c>
      <c r="J562">
        <v>7.75</v>
      </c>
      <c r="K562" s="1" t="s">
        <v>48</v>
      </c>
      <c r="L562" s="1" t="s">
        <v>28</v>
      </c>
      <c r="M562">
        <v>0</v>
      </c>
      <c r="N562">
        <v>0</v>
      </c>
      <c r="O562">
        <v>1</v>
      </c>
      <c r="P562" t="s">
        <v>1741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f t="shared" si="24"/>
        <v>0</v>
      </c>
      <c r="W562">
        <f t="shared" si="25"/>
        <v>0.5</v>
      </c>
      <c r="X562">
        <f t="shared" si="26"/>
        <v>0.69314718055994529</v>
      </c>
    </row>
    <row r="563" spans="1:24" x14ac:dyDescent="0.25">
      <c r="A563">
        <v>562</v>
      </c>
      <c r="B563">
        <v>0</v>
      </c>
      <c r="C563">
        <v>3</v>
      </c>
      <c r="D563" s="1" t="s">
        <v>1138</v>
      </c>
      <c r="E563">
        <v>0</v>
      </c>
      <c r="F563">
        <v>40</v>
      </c>
      <c r="G563">
        <v>0</v>
      </c>
      <c r="H563">
        <v>0</v>
      </c>
      <c r="I563" s="1" t="s">
        <v>1139</v>
      </c>
      <c r="J563">
        <v>7.8958000000000004</v>
      </c>
      <c r="K563" s="1" t="s">
        <v>48</v>
      </c>
      <c r="L563" s="1" t="s">
        <v>14</v>
      </c>
      <c r="M563">
        <v>1</v>
      </c>
      <c r="N563">
        <v>0</v>
      </c>
      <c r="O563">
        <v>0</v>
      </c>
      <c r="P563" t="s">
        <v>1741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f t="shared" si="24"/>
        <v>0</v>
      </c>
      <c r="W563">
        <f t="shared" si="25"/>
        <v>0.5</v>
      </c>
      <c r="X563">
        <f t="shared" si="26"/>
        <v>0.69314718055994529</v>
      </c>
    </row>
    <row r="564" spans="1:24" x14ac:dyDescent="0.25">
      <c r="A564">
        <v>563</v>
      </c>
      <c r="B564">
        <v>0</v>
      </c>
      <c r="C564">
        <v>2</v>
      </c>
      <c r="D564" s="1" t="s">
        <v>1140</v>
      </c>
      <c r="E564">
        <v>0</v>
      </c>
      <c r="F564">
        <v>28</v>
      </c>
      <c r="G564">
        <v>0</v>
      </c>
      <c r="H564">
        <v>0</v>
      </c>
      <c r="I564" s="1" t="s">
        <v>1141</v>
      </c>
      <c r="J564">
        <v>13.5</v>
      </c>
      <c r="K564" s="1" t="s">
        <v>48</v>
      </c>
      <c r="L564" s="1" t="s">
        <v>14</v>
      </c>
      <c r="M564">
        <v>1</v>
      </c>
      <c r="N564">
        <v>0</v>
      </c>
      <c r="O564">
        <v>0</v>
      </c>
      <c r="P564" t="s">
        <v>1741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f t="shared" si="24"/>
        <v>0</v>
      </c>
      <c r="W564">
        <f t="shared" si="25"/>
        <v>0.5</v>
      </c>
      <c r="X564">
        <f t="shared" si="26"/>
        <v>0.69314718055994529</v>
      </c>
    </row>
    <row r="565" spans="1:24" x14ac:dyDescent="0.25">
      <c r="A565">
        <v>564</v>
      </c>
      <c r="B565">
        <v>0</v>
      </c>
      <c r="C565">
        <v>3</v>
      </c>
      <c r="D565" s="1" t="s">
        <v>1142</v>
      </c>
      <c r="E565">
        <v>0</v>
      </c>
      <c r="F565" s="1">
        <v>32.180156657963444</v>
      </c>
      <c r="G565">
        <v>0</v>
      </c>
      <c r="H565">
        <v>0</v>
      </c>
      <c r="I565" s="1" t="s">
        <v>1143</v>
      </c>
      <c r="J565">
        <v>8.0500000000000007</v>
      </c>
      <c r="K565" s="1" t="s">
        <v>48</v>
      </c>
      <c r="L565" s="1" t="s">
        <v>14</v>
      </c>
      <c r="M565">
        <v>1</v>
      </c>
      <c r="N565">
        <v>0</v>
      </c>
      <c r="O565">
        <v>0</v>
      </c>
      <c r="P565" t="s">
        <v>1741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f t="shared" si="24"/>
        <v>0</v>
      </c>
      <c r="W565">
        <f t="shared" si="25"/>
        <v>0.5</v>
      </c>
      <c r="X565">
        <f t="shared" si="26"/>
        <v>0.69314718055994529</v>
      </c>
    </row>
    <row r="566" spans="1:24" x14ac:dyDescent="0.25">
      <c r="A566">
        <v>565</v>
      </c>
      <c r="B566">
        <v>0</v>
      </c>
      <c r="C566">
        <v>3</v>
      </c>
      <c r="D566" s="1" t="s">
        <v>1144</v>
      </c>
      <c r="E566">
        <v>1</v>
      </c>
      <c r="F566" s="1">
        <v>21.98581560283688</v>
      </c>
      <c r="G566">
        <v>0</v>
      </c>
      <c r="H566">
        <v>0</v>
      </c>
      <c r="I566" s="1" t="s">
        <v>1145</v>
      </c>
      <c r="J566">
        <v>8.0500000000000007</v>
      </c>
      <c r="K566" s="1" t="s">
        <v>48</v>
      </c>
      <c r="L566" s="1" t="s">
        <v>14</v>
      </c>
      <c r="M566">
        <v>1</v>
      </c>
      <c r="N566">
        <v>0</v>
      </c>
      <c r="O566">
        <v>0</v>
      </c>
      <c r="P566" t="s">
        <v>1739</v>
      </c>
      <c r="Q566">
        <v>1</v>
      </c>
      <c r="R566">
        <v>0</v>
      </c>
      <c r="S566">
        <v>0</v>
      </c>
      <c r="T566">
        <v>0</v>
      </c>
      <c r="U566">
        <v>0</v>
      </c>
      <c r="V566">
        <f t="shared" si="24"/>
        <v>0.87219584275330231</v>
      </c>
      <c r="W566">
        <f t="shared" si="25"/>
        <v>0.70520240168703408</v>
      </c>
      <c r="X566">
        <f t="shared" si="26"/>
        <v>1.2214662655353992</v>
      </c>
    </row>
    <row r="567" spans="1:24" x14ac:dyDescent="0.25">
      <c r="A567">
        <v>566</v>
      </c>
      <c r="B567">
        <v>0</v>
      </c>
      <c r="C567">
        <v>3</v>
      </c>
      <c r="D567" s="1" t="s">
        <v>1146</v>
      </c>
      <c r="E567">
        <v>0</v>
      </c>
      <c r="F567">
        <v>24</v>
      </c>
      <c r="G567">
        <v>2</v>
      </c>
      <c r="H567">
        <v>0</v>
      </c>
      <c r="I567" s="1" t="s">
        <v>1147</v>
      </c>
      <c r="J567">
        <v>24.15</v>
      </c>
      <c r="K567" s="1" t="s">
        <v>48</v>
      </c>
      <c r="L567" s="1" t="s">
        <v>14</v>
      </c>
      <c r="M567">
        <v>1</v>
      </c>
      <c r="N567">
        <v>0</v>
      </c>
      <c r="O567">
        <v>0</v>
      </c>
      <c r="P567" t="s">
        <v>1741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f t="shared" si="24"/>
        <v>0</v>
      </c>
      <c r="W567">
        <f t="shared" si="25"/>
        <v>0.5</v>
      </c>
      <c r="X567">
        <f t="shared" si="26"/>
        <v>0.69314718055994529</v>
      </c>
    </row>
    <row r="568" spans="1:24" x14ac:dyDescent="0.25">
      <c r="A568">
        <v>567</v>
      </c>
      <c r="B568">
        <v>0</v>
      </c>
      <c r="C568">
        <v>3</v>
      </c>
      <c r="D568" s="1" t="s">
        <v>1148</v>
      </c>
      <c r="E568">
        <v>0</v>
      </c>
      <c r="F568">
        <v>19</v>
      </c>
      <c r="G568">
        <v>0</v>
      </c>
      <c r="H568">
        <v>0</v>
      </c>
      <c r="I568" s="1" t="s">
        <v>1149</v>
      </c>
      <c r="J568">
        <v>7.8958000000000004</v>
      </c>
      <c r="K568" s="1" t="s">
        <v>48</v>
      </c>
      <c r="L568" s="1" t="s">
        <v>14</v>
      </c>
      <c r="M568">
        <v>1</v>
      </c>
      <c r="N568">
        <v>0</v>
      </c>
      <c r="O568">
        <v>0</v>
      </c>
      <c r="P568" t="s">
        <v>1741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f t="shared" si="24"/>
        <v>0</v>
      </c>
      <c r="W568">
        <f t="shared" si="25"/>
        <v>0.5</v>
      </c>
      <c r="X568">
        <f t="shared" si="26"/>
        <v>0.69314718055994529</v>
      </c>
    </row>
    <row r="569" spans="1:24" x14ac:dyDescent="0.25">
      <c r="A569">
        <v>568</v>
      </c>
      <c r="B569">
        <v>0</v>
      </c>
      <c r="C569">
        <v>3</v>
      </c>
      <c r="D569" s="1" t="s">
        <v>1150</v>
      </c>
      <c r="E569">
        <v>1</v>
      </c>
      <c r="F569">
        <v>29</v>
      </c>
      <c r="G569">
        <v>0</v>
      </c>
      <c r="H569">
        <v>4</v>
      </c>
      <c r="I569" s="1" t="s">
        <v>33</v>
      </c>
      <c r="J569">
        <v>21.074999999999999</v>
      </c>
      <c r="K569" s="1" t="s">
        <v>48</v>
      </c>
      <c r="L569" s="1" t="s">
        <v>14</v>
      </c>
      <c r="M569">
        <v>1</v>
      </c>
      <c r="N569">
        <v>0</v>
      </c>
      <c r="O569">
        <v>0</v>
      </c>
      <c r="P569" t="s">
        <v>1740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f t="shared" si="24"/>
        <v>1.3618761518134992</v>
      </c>
      <c r="W569">
        <f t="shared" si="25"/>
        <v>0.79606445234832413</v>
      </c>
      <c r="X569">
        <f t="shared" si="26"/>
        <v>1.5899512779423304</v>
      </c>
    </row>
    <row r="570" spans="1:24" x14ac:dyDescent="0.25">
      <c r="A570">
        <v>569</v>
      </c>
      <c r="B570">
        <v>0</v>
      </c>
      <c r="C570">
        <v>3</v>
      </c>
      <c r="D570" s="1" t="s">
        <v>1151</v>
      </c>
      <c r="E570">
        <v>0</v>
      </c>
      <c r="F570" s="1">
        <v>32.180156657963444</v>
      </c>
      <c r="G570">
        <v>0</v>
      </c>
      <c r="H570">
        <v>0</v>
      </c>
      <c r="I570" s="1" t="s">
        <v>1152</v>
      </c>
      <c r="J570">
        <v>7.2291999999999996</v>
      </c>
      <c r="K570" s="1" t="s">
        <v>48</v>
      </c>
      <c r="L570" s="1" t="s">
        <v>18</v>
      </c>
      <c r="M570">
        <v>0</v>
      </c>
      <c r="N570">
        <v>1</v>
      </c>
      <c r="O570">
        <v>0</v>
      </c>
      <c r="P570" t="s">
        <v>1741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f t="shared" si="24"/>
        <v>0</v>
      </c>
      <c r="W570">
        <f t="shared" si="25"/>
        <v>0.5</v>
      </c>
      <c r="X570">
        <f t="shared" si="26"/>
        <v>0.69314718055994529</v>
      </c>
    </row>
    <row r="571" spans="1:24" x14ac:dyDescent="0.25">
      <c r="A571">
        <v>570</v>
      </c>
      <c r="B571">
        <v>1</v>
      </c>
      <c r="C571">
        <v>3</v>
      </c>
      <c r="D571" s="1" t="s">
        <v>1153</v>
      </c>
      <c r="E571">
        <v>0</v>
      </c>
      <c r="F571">
        <v>32</v>
      </c>
      <c r="G571">
        <v>0</v>
      </c>
      <c r="H571">
        <v>0</v>
      </c>
      <c r="I571" s="1" t="s">
        <v>1154</v>
      </c>
      <c r="J571">
        <v>7.8541999999999996</v>
      </c>
      <c r="K571" s="1" t="s">
        <v>48</v>
      </c>
      <c r="L571" s="1" t="s">
        <v>14</v>
      </c>
      <c r="M571">
        <v>1</v>
      </c>
      <c r="N571">
        <v>0</v>
      </c>
      <c r="O571">
        <v>0</v>
      </c>
      <c r="P571" t="s">
        <v>1741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f t="shared" si="24"/>
        <v>0</v>
      </c>
      <c r="W571">
        <f t="shared" si="25"/>
        <v>0.5</v>
      </c>
      <c r="X571">
        <f t="shared" si="26"/>
        <v>0.69314718055994529</v>
      </c>
    </row>
    <row r="572" spans="1:24" x14ac:dyDescent="0.25">
      <c r="A572">
        <v>571</v>
      </c>
      <c r="B572">
        <v>1</v>
      </c>
      <c r="C572">
        <v>2</v>
      </c>
      <c r="D572" s="1" t="s">
        <v>1155</v>
      </c>
      <c r="E572">
        <v>0</v>
      </c>
      <c r="F572">
        <v>62</v>
      </c>
      <c r="G572">
        <v>0</v>
      </c>
      <c r="H572">
        <v>0</v>
      </c>
      <c r="I572" s="1" t="s">
        <v>1156</v>
      </c>
      <c r="J572">
        <v>10.5</v>
      </c>
      <c r="K572" s="1" t="s">
        <v>48</v>
      </c>
      <c r="L572" s="1" t="s">
        <v>14</v>
      </c>
      <c r="M572">
        <v>1</v>
      </c>
      <c r="N572">
        <v>0</v>
      </c>
      <c r="O572">
        <v>0</v>
      </c>
      <c r="P572" t="s">
        <v>1741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f t="shared" si="24"/>
        <v>0</v>
      </c>
      <c r="W572">
        <f t="shared" si="25"/>
        <v>0.5</v>
      </c>
      <c r="X572">
        <f t="shared" si="26"/>
        <v>0.69314718055994529</v>
      </c>
    </row>
    <row r="573" spans="1:24" x14ac:dyDescent="0.25">
      <c r="A573">
        <v>572</v>
      </c>
      <c r="B573">
        <v>1</v>
      </c>
      <c r="C573">
        <v>1</v>
      </c>
      <c r="D573" s="1" t="s">
        <v>1157</v>
      </c>
      <c r="E573">
        <v>1</v>
      </c>
      <c r="F573">
        <v>53</v>
      </c>
      <c r="G573">
        <v>2</v>
      </c>
      <c r="H573">
        <v>0</v>
      </c>
      <c r="I573" s="1" t="s">
        <v>1158</v>
      </c>
      <c r="J573">
        <v>51.479199999999999</v>
      </c>
      <c r="K573" s="1" t="s">
        <v>1159</v>
      </c>
      <c r="L573" s="1" t="s">
        <v>14</v>
      </c>
      <c r="M573">
        <v>1</v>
      </c>
      <c r="N573">
        <v>0</v>
      </c>
      <c r="O573">
        <v>0</v>
      </c>
      <c r="P573" t="s">
        <v>1740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f t="shared" si="24"/>
        <v>1.3618761518134992</v>
      </c>
      <c r="W573">
        <f t="shared" si="25"/>
        <v>0.79606445234832413</v>
      </c>
      <c r="X573">
        <f t="shared" si="26"/>
        <v>0.22807512612883141</v>
      </c>
    </row>
    <row r="574" spans="1:24" x14ac:dyDescent="0.25">
      <c r="A574">
        <v>573</v>
      </c>
      <c r="B574">
        <v>1</v>
      </c>
      <c r="C574">
        <v>1</v>
      </c>
      <c r="D574" s="1" t="s">
        <v>1160</v>
      </c>
      <c r="E574">
        <v>0</v>
      </c>
      <c r="F574">
        <v>36</v>
      </c>
      <c r="G574">
        <v>0</v>
      </c>
      <c r="H574">
        <v>0</v>
      </c>
      <c r="I574" s="1" t="s">
        <v>1161</v>
      </c>
      <c r="J574">
        <v>26.387499999999999</v>
      </c>
      <c r="K574" s="1" t="s">
        <v>1046</v>
      </c>
      <c r="L574" s="1" t="s">
        <v>14</v>
      </c>
      <c r="M574">
        <v>1</v>
      </c>
      <c r="N574">
        <v>0</v>
      </c>
      <c r="O574">
        <v>0</v>
      </c>
      <c r="P574" t="s">
        <v>1741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f t="shared" si="24"/>
        <v>0</v>
      </c>
      <c r="W574">
        <f t="shared" si="25"/>
        <v>0.5</v>
      </c>
      <c r="X574">
        <f t="shared" si="26"/>
        <v>0.69314718055994529</v>
      </c>
    </row>
    <row r="575" spans="1:24" x14ac:dyDescent="0.25">
      <c r="A575">
        <v>574</v>
      </c>
      <c r="B575">
        <v>1</v>
      </c>
      <c r="C575">
        <v>3</v>
      </c>
      <c r="D575" s="1" t="s">
        <v>1162</v>
      </c>
      <c r="E575">
        <v>1</v>
      </c>
      <c r="F575" s="1">
        <v>21.98581560283688</v>
      </c>
      <c r="G575">
        <v>0</v>
      </c>
      <c r="H575">
        <v>0</v>
      </c>
      <c r="I575" s="1" t="s">
        <v>1163</v>
      </c>
      <c r="J575">
        <v>7.75</v>
      </c>
      <c r="K575" s="1" t="s">
        <v>48</v>
      </c>
      <c r="L575" s="1" t="s">
        <v>28</v>
      </c>
      <c r="M575">
        <v>0</v>
      </c>
      <c r="N575">
        <v>0</v>
      </c>
      <c r="O575">
        <v>1</v>
      </c>
      <c r="P575" t="s">
        <v>1739</v>
      </c>
      <c r="Q575">
        <v>1</v>
      </c>
      <c r="R575">
        <v>0</v>
      </c>
      <c r="S575">
        <v>0</v>
      </c>
      <c r="T575">
        <v>0</v>
      </c>
      <c r="U575">
        <v>0</v>
      </c>
      <c r="V575">
        <f t="shared" si="24"/>
        <v>0.87219584275330231</v>
      </c>
      <c r="W575">
        <f t="shared" si="25"/>
        <v>0.70520240168703408</v>
      </c>
      <c r="X575">
        <f t="shared" si="26"/>
        <v>0.34927042278209691</v>
      </c>
    </row>
    <row r="576" spans="1:24" x14ac:dyDescent="0.25">
      <c r="A576">
        <v>575</v>
      </c>
      <c r="B576">
        <v>0</v>
      </c>
      <c r="C576">
        <v>3</v>
      </c>
      <c r="D576" s="1" t="s">
        <v>1164</v>
      </c>
      <c r="E576">
        <v>0</v>
      </c>
      <c r="F576">
        <v>16</v>
      </c>
      <c r="G576">
        <v>0</v>
      </c>
      <c r="H576">
        <v>0</v>
      </c>
      <c r="I576" s="1" t="s">
        <v>1165</v>
      </c>
      <c r="J576">
        <v>8.0500000000000007</v>
      </c>
      <c r="K576" s="1" t="s">
        <v>48</v>
      </c>
      <c r="L576" s="1" t="s">
        <v>14</v>
      </c>
      <c r="M576">
        <v>1</v>
      </c>
      <c r="N576">
        <v>0</v>
      </c>
      <c r="O576">
        <v>0</v>
      </c>
      <c r="P576" t="s">
        <v>1741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f t="shared" si="24"/>
        <v>0</v>
      </c>
      <c r="W576">
        <f t="shared" si="25"/>
        <v>0.5</v>
      </c>
      <c r="X576">
        <f t="shared" si="26"/>
        <v>0.69314718055994529</v>
      </c>
    </row>
    <row r="577" spans="1:24" x14ac:dyDescent="0.25">
      <c r="A577">
        <v>576</v>
      </c>
      <c r="B577">
        <v>0</v>
      </c>
      <c r="C577">
        <v>3</v>
      </c>
      <c r="D577" s="1" t="s">
        <v>1166</v>
      </c>
      <c r="E577">
        <v>0</v>
      </c>
      <c r="F577">
        <v>19</v>
      </c>
      <c r="G577">
        <v>0</v>
      </c>
      <c r="H577">
        <v>0</v>
      </c>
      <c r="I577" s="1" t="s">
        <v>1167</v>
      </c>
      <c r="J577">
        <v>14.5</v>
      </c>
      <c r="K577" s="1" t="s">
        <v>48</v>
      </c>
      <c r="L577" s="1" t="s">
        <v>14</v>
      </c>
      <c r="M577">
        <v>1</v>
      </c>
      <c r="N577">
        <v>0</v>
      </c>
      <c r="O577">
        <v>0</v>
      </c>
      <c r="P577" t="s">
        <v>1741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f t="shared" si="24"/>
        <v>0</v>
      </c>
      <c r="W577">
        <f t="shared" si="25"/>
        <v>0.5</v>
      </c>
      <c r="X577">
        <f t="shared" si="26"/>
        <v>0.69314718055994529</v>
      </c>
    </row>
    <row r="578" spans="1:24" x14ac:dyDescent="0.25">
      <c r="A578">
        <v>577</v>
      </c>
      <c r="B578">
        <v>1</v>
      </c>
      <c r="C578">
        <v>2</v>
      </c>
      <c r="D578" s="1" t="s">
        <v>1168</v>
      </c>
      <c r="E578">
        <v>1</v>
      </c>
      <c r="F578">
        <v>34</v>
      </c>
      <c r="G578">
        <v>0</v>
      </c>
      <c r="H578">
        <v>0</v>
      </c>
      <c r="I578" s="1" t="s">
        <v>1169</v>
      </c>
      <c r="J578">
        <v>13</v>
      </c>
      <c r="K578" s="1" t="s">
        <v>48</v>
      </c>
      <c r="L578" s="1" t="s">
        <v>14</v>
      </c>
      <c r="M578">
        <v>1</v>
      </c>
      <c r="N578">
        <v>0</v>
      </c>
      <c r="O578">
        <v>0</v>
      </c>
      <c r="P578" t="s">
        <v>1739</v>
      </c>
      <c r="Q578">
        <v>1</v>
      </c>
      <c r="R578">
        <v>0</v>
      </c>
      <c r="S578">
        <v>0</v>
      </c>
      <c r="T578">
        <v>0</v>
      </c>
      <c r="U578">
        <v>0</v>
      </c>
      <c r="V578">
        <f t="shared" si="24"/>
        <v>0.87219584275330231</v>
      </c>
      <c r="W578">
        <f t="shared" si="25"/>
        <v>0.70520240168703408</v>
      </c>
      <c r="X578">
        <f t="shared" si="26"/>
        <v>0.34927042278209691</v>
      </c>
    </row>
    <row r="579" spans="1:24" x14ac:dyDescent="0.25">
      <c r="A579">
        <v>578</v>
      </c>
      <c r="B579">
        <v>1</v>
      </c>
      <c r="C579">
        <v>1</v>
      </c>
      <c r="D579" s="1" t="s">
        <v>1170</v>
      </c>
      <c r="E579">
        <v>1</v>
      </c>
      <c r="F579">
        <v>39</v>
      </c>
      <c r="G579">
        <v>1</v>
      </c>
      <c r="H579">
        <v>0</v>
      </c>
      <c r="I579" s="1" t="s">
        <v>896</v>
      </c>
      <c r="J579">
        <v>55.9</v>
      </c>
      <c r="K579" s="1" t="s">
        <v>897</v>
      </c>
      <c r="L579" s="1" t="s">
        <v>14</v>
      </c>
      <c r="M579">
        <v>1</v>
      </c>
      <c r="N579">
        <v>0</v>
      </c>
      <c r="O579">
        <v>0</v>
      </c>
      <c r="P579" t="s">
        <v>1740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f t="shared" ref="V579:V642" si="27">$AB$1+C579*$AB$2+E579*$AB$3+F579*$AB$4+G579*$AB$5+H579*$AB$6+J579*$AB$7+M579*$AB$8+N579*$AB$9+O579*$AB$10+Q579*$AB$11+R579*$AB$12+S579*$AB$13+T579*$AB$14+U579*$AB$15</f>
        <v>1.3618761518134992</v>
      </c>
      <c r="W579">
        <f t="shared" ref="W579:W642" si="28">1/(1+EXP(-V579))</f>
        <v>0.79606445234832413</v>
      </c>
      <c r="X579">
        <f t="shared" ref="X579:X642" si="29">-(B579*LN(MAX(0.000001,MIN(0.999999,W579))) +(1-B579)*LN(MAX(0.000001,MIN(0.999999,1-W579))))</f>
        <v>0.22807512612883141</v>
      </c>
    </row>
    <row r="580" spans="1:24" x14ac:dyDescent="0.25">
      <c r="A580">
        <v>579</v>
      </c>
      <c r="B580">
        <v>0</v>
      </c>
      <c r="C580">
        <v>3</v>
      </c>
      <c r="D580" s="1" t="s">
        <v>1171</v>
      </c>
      <c r="E580">
        <v>1</v>
      </c>
      <c r="F580" s="1">
        <v>35.898148148148145</v>
      </c>
      <c r="G580">
        <v>1</v>
      </c>
      <c r="H580">
        <v>0</v>
      </c>
      <c r="I580" s="1" t="s">
        <v>1172</v>
      </c>
      <c r="J580">
        <v>14.458299999999999</v>
      </c>
      <c r="K580" s="1" t="s">
        <v>48</v>
      </c>
      <c r="L580" s="1" t="s">
        <v>18</v>
      </c>
      <c r="M580">
        <v>0</v>
      </c>
      <c r="N580">
        <v>1</v>
      </c>
      <c r="O580">
        <v>0</v>
      </c>
      <c r="P580" t="s">
        <v>1740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f t="shared" si="27"/>
        <v>1.3618761518134992</v>
      </c>
      <c r="W580">
        <f t="shared" si="28"/>
        <v>0.79606445234832413</v>
      </c>
      <c r="X580">
        <f t="shared" si="29"/>
        <v>1.5899512779423304</v>
      </c>
    </row>
    <row r="581" spans="1:24" x14ac:dyDescent="0.25">
      <c r="A581">
        <v>580</v>
      </c>
      <c r="B581">
        <v>1</v>
      </c>
      <c r="C581">
        <v>3</v>
      </c>
      <c r="D581" s="1" t="s">
        <v>1173</v>
      </c>
      <c r="E581">
        <v>0</v>
      </c>
      <c r="F581">
        <v>32</v>
      </c>
      <c r="G581">
        <v>0</v>
      </c>
      <c r="H581">
        <v>0</v>
      </c>
      <c r="I581" s="1" t="s">
        <v>1174</v>
      </c>
      <c r="J581">
        <v>7.9249999999999998</v>
      </c>
      <c r="K581" s="1" t="s">
        <v>48</v>
      </c>
      <c r="L581" s="1" t="s">
        <v>14</v>
      </c>
      <c r="M581">
        <v>1</v>
      </c>
      <c r="N581">
        <v>0</v>
      </c>
      <c r="O581">
        <v>0</v>
      </c>
      <c r="P581" t="s">
        <v>1741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f t="shared" si="27"/>
        <v>0</v>
      </c>
      <c r="W581">
        <f t="shared" si="28"/>
        <v>0.5</v>
      </c>
      <c r="X581">
        <f t="shared" si="29"/>
        <v>0.69314718055994529</v>
      </c>
    </row>
    <row r="582" spans="1:24" x14ac:dyDescent="0.25">
      <c r="A582">
        <v>581</v>
      </c>
      <c r="B582">
        <v>1</v>
      </c>
      <c r="C582">
        <v>2</v>
      </c>
      <c r="D582" s="1" t="s">
        <v>1175</v>
      </c>
      <c r="E582">
        <v>1</v>
      </c>
      <c r="F582">
        <v>25</v>
      </c>
      <c r="G582">
        <v>1</v>
      </c>
      <c r="H582">
        <v>1</v>
      </c>
      <c r="I582" s="1" t="s">
        <v>1176</v>
      </c>
      <c r="J582">
        <v>30</v>
      </c>
      <c r="K582" s="1" t="s">
        <v>48</v>
      </c>
      <c r="L582" s="1" t="s">
        <v>14</v>
      </c>
      <c r="M582">
        <v>1</v>
      </c>
      <c r="N582">
        <v>0</v>
      </c>
      <c r="O582">
        <v>0</v>
      </c>
      <c r="P582" t="s">
        <v>1739</v>
      </c>
      <c r="Q582">
        <v>1</v>
      </c>
      <c r="R582">
        <v>0</v>
      </c>
      <c r="S582">
        <v>0</v>
      </c>
      <c r="T582">
        <v>0</v>
      </c>
      <c r="U582">
        <v>0</v>
      </c>
      <c r="V582">
        <f t="shared" si="27"/>
        <v>0.87219584275330231</v>
      </c>
      <c r="W582">
        <f t="shared" si="28"/>
        <v>0.70520240168703408</v>
      </c>
      <c r="X582">
        <f t="shared" si="29"/>
        <v>0.34927042278209691</v>
      </c>
    </row>
    <row r="583" spans="1:24" x14ac:dyDescent="0.25">
      <c r="A583">
        <v>582</v>
      </c>
      <c r="B583">
        <v>1</v>
      </c>
      <c r="C583">
        <v>1</v>
      </c>
      <c r="D583" s="1" t="s">
        <v>1177</v>
      </c>
      <c r="E583">
        <v>1</v>
      </c>
      <c r="F583">
        <v>39</v>
      </c>
      <c r="G583">
        <v>1</v>
      </c>
      <c r="H583">
        <v>1</v>
      </c>
      <c r="I583" s="1" t="s">
        <v>650</v>
      </c>
      <c r="J583">
        <v>110.88330000000001</v>
      </c>
      <c r="K583" s="1" t="s">
        <v>1178</v>
      </c>
      <c r="L583" s="1" t="s">
        <v>18</v>
      </c>
      <c r="M583">
        <v>0</v>
      </c>
      <c r="N583">
        <v>1</v>
      </c>
      <c r="O583">
        <v>0</v>
      </c>
      <c r="P583" t="s">
        <v>1740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f t="shared" si="27"/>
        <v>1.3618761518134992</v>
      </c>
      <c r="W583">
        <f t="shared" si="28"/>
        <v>0.79606445234832413</v>
      </c>
      <c r="X583">
        <f t="shared" si="29"/>
        <v>0.22807512612883141</v>
      </c>
    </row>
    <row r="584" spans="1:24" x14ac:dyDescent="0.25">
      <c r="A584">
        <v>583</v>
      </c>
      <c r="B584">
        <v>0</v>
      </c>
      <c r="C584">
        <v>2</v>
      </c>
      <c r="D584" s="1" t="s">
        <v>1179</v>
      </c>
      <c r="E584">
        <v>0</v>
      </c>
      <c r="F584">
        <v>54</v>
      </c>
      <c r="G584">
        <v>0</v>
      </c>
      <c r="H584">
        <v>0</v>
      </c>
      <c r="I584" s="1" t="s">
        <v>826</v>
      </c>
      <c r="J584">
        <v>26</v>
      </c>
      <c r="K584" s="1" t="s">
        <v>48</v>
      </c>
      <c r="L584" s="1" t="s">
        <v>14</v>
      </c>
      <c r="M584">
        <v>1</v>
      </c>
      <c r="N584">
        <v>0</v>
      </c>
      <c r="O584">
        <v>0</v>
      </c>
      <c r="P584" t="s">
        <v>1741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f t="shared" si="27"/>
        <v>0</v>
      </c>
      <c r="W584">
        <f t="shared" si="28"/>
        <v>0.5</v>
      </c>
      <c r="X584">
        <f t="shared" si="29"/>
        <v>0.69314718055994529</v>
      </c>
    </row>
    <row r="585" spans="1:24" x14ac:dyDescent="0.25">
      <c r="A585">
        <v>584</v>
      </c>
      <c r="B585">
        <v>0</v>
      </c>
      <c r="C585">
        <v>1</v>
      </c>
      <c r="D585" s="1" t="s">
        <v>1180</v>
      </c>
      <c r="E585">
        <v>0</v>
      </c>
      <c r="F585">
        <v>36</v>
      </c>
      <c r="G585">
        <v>0</v>
      </c>
      <c r="H585">
        <v>0</v>
      </c>
      <c r="I585" s="1" t="s">
        <v>1181</v>
      </c>
      <c r="J585">
        <v>40.125</v>
      </c>
      <c r="K585" s="1" t="s">
        <v>1182</v>
      </c>
      <c r="L585" s="1" t="s">
        <v>18</v>
      </c>
      <c r="M585">
        <v>0</v>
      </c>
      <c r="N585">
        <v>1</v>
      </c>
      <c r="O585">
        <v>0</v>
      </c>
      <c r="P585" t="s">
        <v>1741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f t="shared" si="27"/>
        <v>0</v>
      </c>
      <c r="W585">
        <f t="shared" si="28"/>
        <v>0.5</v>
      </c>
      <c r="X585">
        <f t="shared" si="29"/>
        <v>0.69314718055994529</v>
      </c>
    </row>
    <row r="586" spans="1:24" x14ac:dyDescent="0.25">
      <c r="A586">
        <v>585</v>
      </c>
      <c r="B586">
        <v>0</v>
      </c>
      <c r="C586">
        <v>3</v>
      </c>
      <c r="D586" s="1" t="s">
        <v>1183</v>
      </c>
      <c r="E586">
        <v>0</v>
      </c>
      <c r="F586" s="1">
        <v>32.180156657963444</v>
      </c>
      <c r="G586">
        <v>0</v>
      </c>
      <c r="H586">
        <v>0</v>
      </c>
      <c r="I586" s="1" t="s">
        <v>1184</v>
      </c>
      <c r="J586">
        <v>8.7125000000000004</v>
      </c>
      <c r="K586" s="1" t="s">
        <v>48</v>
      </c>
      <c r="L586" s="1" t="s">
        <v>18</v>
      </c>
      <c r="M586">
        <v>0</v>
      </c>
      <c r="N586">
        <v>1</v>
      </c>
      <c r="O586">
        <v>0</v>
      </c>
      <c r="P586" t="s">
        <v>1741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f t="shared" si="27"/>
        <v>0</v>
      </c>
      <c r="W586">
        <f t="shared" si="28"/>
        <v>0.5</v>
      </c>
      <c r="X586">
        <f t="shared" si="29"/>
        <v>0.69314718055994529</v>
      </c>
    </row>
    <row r="587" spans="1:24" x14ac:dyDescent="0.25">
      <c r="A587">
        <v>586</v>
      </c>
      <c r="B587">
        <v>1</v>
      </c>
      <c r="C587">
        <v>1</v>
      </c>
      <c r="D587" s="1" t="s">
        <v>1185</v>
      </c>
      <c r="E587">
        <v>1</v>
      </c>
      <c r="F587">
        <v>18</v>
      </c>
      <c r="G587">
        <v>0</v>
      </c>
      <c r="H587">
        <v>2</v>
      </c>
      <c r="I587" s="1" t="s">
        <v>557</v>
      </c>
      <c r="J587">
        <v>79.650000000000006</v>
      </c>
      <c r="K587" s="1" t="s">
        <v>1186</v>
      </c>
      <c r="L587" s="1" t="s">
        <v>14</v>
      </c>
      <c r="M587">
        <v>1</v>
      </c>
      <c r="N587">
        <v>0</v>
      </c>
      <c r="O587">
        <v>0</v>
      </c>
      <c r="P587" t="s">
        <v>1739</v>
      </c>
      <c r="Q587">
        <v>1</v>
      </c>
      <c r="R587">
        <v>0</v>
      </c>
      <c r="S587">
        <v>0</v>
      </c>
      <c r="T587">
        <v>0</v>
      </c>
      <c r="U587">
        <v>0</v>
      </c>
      <c r="V587">
        <f t="shared" si="27"/>
        <v>0.87219584275330231</v>
      </c>
      <c r="W587">
        <f t="shared" si="28"/>
        <v>0.70520240168703408</v>
      </c>
      <c r="X587">
        <f t="shared" si="29"/>
        <v>0.34927042278209691</v>
      </c>
    </row>
    <row r="588" spans="1:24" x14ac:dyDescent="0.25">
      <c r="A588">
        <v>587</v>
      </c>
      <c r="B588">
        <v>0</v>
      </c>
      <c r="C588">
        <v>2</v>
      </c>
      <c r="D588" s="1" t="s">
        <v>1187</v>
      </c>
      <c r="E588">
        <v>0</v>
      </c>
      <c r="F588">
        <v>47</v>
      </c>
      <c r="G588">
        <v>0</v>
      </c>
      <c r="H588">
        <v>0</v>
      </c>
      <c r="I588" s="1" t="s">
        <v>1188</v>
      </c>
      <c r="J588">
        <v>15</v>
      </c>
      <c r="K588" s="1" t="s">
        <v>48</v>
      </c>
      <c r="L588" s="1" t="s">
        <v>14</v>
      </c>
      <c r="M588">
        <v>1</v>
      </c>
      <c r="N588">
        <v>0</v>
      </c>
      <c r="O588">
        <v>0</v>
      </c>
      <c r="P588" t="s">
        <v>1741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f t="shared" si="27"/>
        <v>0</v>
      </c>
      <c r="W588">
        <f t="shared" si="28"/>
        <v>0.5</v>
      </c>
      <c r="X588">
        <f t="shared" si="29"/>
        <v>0.69314718055994529</v>
      </c>
    </row>
    <row r="589" spans="1:24" x14ac:dyDescent="0.25">
      <c r="A589">
        <v>588</v>
      </c>
      <c r="B589">
        <v>1</v>
      </c>
      <c r="C589">
        <v>1</v>
      </c>
      <c r="D589" s="1" t="s">
        <v>1189</v>
      </c>
      <c r="E589">
        <v>0</v>
      </c>
      <c r="F589">
        <v>60</v>
      </c>
      <c r="G589">
        <v>1</v>
      </c>
      <c r="H589">
        <v>1</v>
      </c>
      <c r="I589" s="1" t="s">
        <v>1190</v>
      </c>
      <c r="J589">
        <v>79.2</v>
      </c>
      <c r="K589" s="1" t="s">
        <v>1191</v>
      </c>
      <c r="L589" s="1" t="s">
        <v>18</v>
      </c>
      <c r="M589">
        <v>0</v>
      </c>
      <c r="N589">
        <v>1</v>
      </c>
      <c r="O589">
        <v>0</v>
      </c>
      <c r="P589" t="s">
        <v>1741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f t="shared" si="27"/>
        <v>0</v>
      </c>
      <c r="W589">
        <f t="shared" si="28"/>
        <v>0.5</v>
      </c>
      <c r="X589">
        <f t="shared" si="29"/>
        <v>0.69314718055994529</v>
      </c>
    </row>
    <row r="590" spans="1:24" x14ac:dyDescent="0.25">
      <c r="A590">
        <v>589</v>
      </c>
      <c r="B590">
        <v>0</v>
      </c>
      <c r="C590">
        <v>3</v>
      </c>
      <c r="D590" s="1" t="s">
        <v>1192</v>
      </c>
      <c r="E590">
        <v>0</v>
      </c>
      <c r="F590">
        <v>22</v>
      </c>
      <c r="G590">
        <v>0</v>
      </c>
      <c r="H590">
        <v>0</v>
      </c>
      <c r="I590" s="1" t="s">
        <v>1193</v>
      </c>
      <c r="J590">
        <v>8.0500000000000007</v>
      </c>
      <c r="K590" s="1" t="s">
        <v>48</v>
      </c>
      <c r="L590" s="1" t="s">
        <v>14</v>
      </c>
      <c r="M590">
        <v>1</v>
      </c>
      <c r="N590">
        <v>0</v>
      </c>
      <c r="O590">
        <v>0</v>
      </c>
      <c r="P590" t="s">
        <v>1741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f t="shared" si="27"/>
        <v>0</v>
      </c>
      <c r="W590">
        <f t="shared" si="28"/>
        <v>0.5</v>
      </c>
      <c r="X590">
        <f t="shared" si="29"/>
        <v>0.69314718055994529</v>
      </c>
    </row>
    <row r="591" spans="1:24" x14ac:dyDescent="0.25">
      <c r="A591">
        <v>590</v>
      </c>
      <c r="B591">
        <v>0</v>
      </c>
      <c r="C591">
        <v>3</v>
      </c>
      <c r="D591" s="1" t="s">
        <v>1194</v>
      </c>
      <c r="E591">
        <v>0</v>
      </c>
      <c r="F591" s="1">
        <v>32.180156657963444</v>
      </c>
      <c r="G591">
        <v>0</v>
      </c>
      <c r="H591">
        <v>0</v>
      </c>
      <c r="I591" s="1" t="s">
        <v>1195</v>
      </c>
      <c r="J591">
        <v>8.0500000000000007</v>
      </c>
      <c r="K591" s="1" t="s">
        <v>48</v>
      </c>
      <c r="L591" s="1" t="s">
        <v>14</v>
      </c>
      <c r="M591">
        <v>1</v>
      </c>
      <c r="N591">
        <v>0</v>
      </c>
      <c r="O591">
        <v>0</v>
      </c>
      <c r="P591" t="s">
        <v>1741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f t="shared" si="27"/>
        <v>0</v>
      </c>
      <c r="W591">
        <f t="shared" si="28"/>
        <v>0.5</v>
      </c>
      <c r="X591">
        <f t="shared" si="29"/>
        <v>0.69314718055994529</v>
      </c>
    </row>
    <row r="592" spans="1:24" x14ac:dyDescent="0.25">
      <c r="A592">
        <v>591</v>
      </c>
      <c r="B592">
        <v>0</v>
      </c>
      <c r="C592">
        <v>3</v>
      </c>
      <c r="D592" s="1" t="s">
        <v>1196</v>
      </c>
      <c r="E592">
        <v>0</v>
      </c>
      <c r="F592">
        <v>35</v>
      </c>
      <c r="G592">
        <v>0</v>
      </c>
      <c r="H592">
        <v>0</v>
      </c>
      <c r="I592" s="1" t="s">
        <v>1197</v>
      </c>
      <c r="J592">
        <v>7.125</v>
      </c>
      <c r="K592" s="1" t="s">
        <v>48</v>
      </c>
      <c r="L592" s="1" t="s">
        <v>14</v>
      </c>
      <c r="M592">
        <v>1</v>
      </c>
      <c r="N592">
        <v>0</v>
      </c>
      <c r="O592">
        <v>0</v>
      </c>
      <c r="P592" t="s">
        <v>1741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f t="shared" si="27"/>
        <v>0</v>
      </c>
      <c r="W592">
        <f t="shared" si="28"/>
        <v>0.5</v>
      </c>
      <c r="X592">
        <f t="shared" si="29"/>
        <v>0.69314718055994529</v>
      </c>
    </row>
    <row r="593" spans="1:24" x14ac:dyDescent="0.25">
      <c r="A593">
        <v>592</v>
      </c>
      <c r="B593">
        <v>1</v>
      </c>
      <c r="C593">
        <v>1</v>
      </c>
      <c r="D593" s="1" t="s">
        <v>1198</v>
      </c>
      <c r="E593">
        <v>1</v>
      </c>
      <c r="F593">
        <v>52</v>
      </c>
      <c r="G593">
        <v>1</v>
      </c>
      <c r="H593">
        <v>0</v>
      </c>
      <c r="I593" s="1" t="s">
        <v>1015</v>
      </c>
      <c r="J593">
        <v>78.2667</v>
      </c>
      <c r="K593" s="1" t="s">
        <v>1016</v>
      </c>
      <c r="L593" s="1" t="s">
        <v>18</v>
      </c>
      <c r="M593">
        <v>0</v>
      </c>
      <c r="N593">
        <v>1</v>
      </c>
      <c r="O593">
        <v>0</v>
      </c>
      <c r="P593" t="s">
        <v>1740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f t="shared" si="27"/>
        <v>1.3618761518134992</v>
      </c>
      <c r="W593">
        <f t="shared" si="28"/>
        <v>0.79606445234832413</v>
      </c>
      <c r="X593">
        <f t="shared" si="29"/>
        <v>0.22807512612883141</v>
      </c>
    </row>
    <row r="594" spans="1:24" x14ac:dyDescent="0.25">
      <c r="A594">
        <v>593</v>
      </c>
      <c r="B594">
        <v>0</v>
      </c>
      <c r="C594">
        <v>3</v>
      </c>
      <c r="D594" s="1" t="s">
        <v>1199</v>
      </c>
      <c r="E594">
        <v>0</v>
      </c>
      <c r="F594">
        <v>47</v>
      </c>
      <c r="G594">
        <v>0</v>
      </c>
      <c r="H594">
        <v>0</v>
      </c>
      <c r="I594" s="1" t="s">
        <v>1200</v>
      </c>
      <c r="J594">
        <v>7.25</v>
      </c>
      <c r="K594" s="1" t="s">
        <v>48</v>
      </c>
      <c r="L594" s="1" t="s">
        <v>14</v>
      </c>
      <c r="M594">
        <v>1</v>
      </c>
      <c r="N594">
        <v>0</v>
      </c>
      <c r="O594">
        <v>0</v>
      </c>
      <c r="P594" t="s">
        <v>1741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f t="shared" si="27"/>
        <v>0</v>
      </c>
      <c r="W594">
        <f t="shared" si="28"/>
        <v>0.5</v>
      </c>
      <c r="X594">
        <f t="shared" si="29"/>
        <v>0.69314718055994529</v>
      </c>
    </row>
    <row r="595" spans="1:24" x14ac:dyDescent="0.25">
      <c r="A595">
        <v>594</v>
      </c>
      <c r="B595">
        <v>0</v>
      </c>
      <c r="C595">
        <v>3</v>
      </c>
      <c r="D595" s="1" t="s">
        <v>1201</v>
      </c>
      <c r="E595">
        <v>1</v>
      </c>
      <c r="F595" s="1">
        <v>21.98581560283688</v>
      </c>
      <c r="G595">
        <v>0</v>
      </c>
      <c r="H595">
        <v>2</v>
      </c>
      <c r="I595" s="1" t="s">
        <v>1202</v>
      </c>
      <c r="J595">
        <v>7.75</v>
      </c>
      <c r="K595" s="1" t="s">
        <v>48</v>
      </c>
      <c r="L595" s="1" t="s">
        <v>28</v>
      </c>
      <c r="M595">
        <v>0</v>
      </c>
      <c r="N595">
        <v>0</v>
      </c>
      <c r="O595">
        <v>1</v>
      </c>
      <c r="P595" t="s">
        <v>1739</v>
      </c>
      <c r="Q595">
        <v>1</v>
      </c>
      <c r="R595">
        <v>0</v>
      </c>
      <c r="S595">
        <v>0</v>
      </c>
      <c r="T595">
        <v>0</v>
      </c>
      <c r="U595">
        <v>0</v>
      </c>
      <c r="V595">
        <f t="shared" si="27"/>
        <v>0.87219584275330231</v>
      </c>
      <c r="W595">
        <f t="shared" si="28"/>
        <v>0.70520240168703408</v>
      </c>
      <c r="X595">
        <f t="shared" si="29"/>
        <v>1.2214662655353992</v>
      </c>
    </row>
    <row r="596" spans="1:24" x14ac:dyDescent="0.25">
      <c r="A596">
        <v>595</v>
      </c>
      <c r="B596">
        <v>0</v>
      </c>
      <c r="C596">
        <v>2</v>
      </c>
      <c r="D596" s="1" t="s">
        <v>1203</v>
      </c>
      <c r="E596">
        <v>0</v>
      </c>
      <c r="F596">
        <v>37</v>
      </c>
      <c r="G596">
        <v>1</v>
      </c>
      <c r="H596">
        <v>0</v>
      </c>
      <c r="I596" s="1" t="s">
        <v>1204</v>
      </c>
      <c r="J596">
        <v>26</v>
      </c>
      <c r="K596" s="1" t="s">
        <v>48</v>
      </c>
      <c r="L596" s="1" t="s">
        <v>14</v>
      </c>
      <c r="M596">
        <v>1</v>
      </c>
      <c r="N596">
        <v>0</v>
      </c>
      <c r="O596">
        <v>0</v>
      </c>
      <c r="P596" t="s">
        <v>1741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f t="shared" si="27"/>
        <v>0</v>
      </c>
      <c r="W596">
        <f t="shared" si="28"/>
        <v>0.5</v>
      </c>
      <c r="X596">
        <f t="shared" si="29"/>
        <v>0.69314718055994529</v>
      </c>
    </row>
    <row r="597" spans="1:24" x14ac:dyDescent="0.25">
      <c r="A597">
        <v>596</v>
      </c>
      <c r="B597">
        <v>0</v>
      </c>
      <c r="C597">
        <v>3</v>
      </c>
      <c r="D597" s="1" t="s">
        <v>1205</v>
      </c>
      <c r="E597">
        <v>0</v>
      </c>
      <c r="F597">
        <v>36</v>
      </c>
      <c r="G597">
        <v>1</v>
      </c>
      <c r="H597">
        <v>1</v>
      </c>
      <c r="I597" s="1" t="s">
        <v>866</v>
      </c>
      <c r="J597">
        <v>24.15</v>
      </c>
      <c r="K597" s="1" t="s">
        <v>48</v>
      </c>
      <c r="L597" s="1" t="s">
        <v>14</v>
      </c>
      <c r="M597">
        <v>1</v>
      </c>
      <c r="N597">
        <v>0</v>
      </c>
      <c r="O597">
        <v>0</v>
      </c>
      <c r="P597" t="s">
        <v>1741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f t="shared" si="27"/>
        <v>0</v>
      </c>
      <c r="W597">
        <f t="shared" si="28"/>
        <v>0.5</v>
      </c>
      <c r="X597">
        <f t="shared" si="29"/>
        <v>0.69314718055994529</v>
      </c>
    </row>
    <row r="598" spans="1:24" x14ac:dyDescent="0.25">
      <c r="A598">
        <v>597</v>
      </c>
      <c r="B598">
        <v>1</v>
      </c>
      <c r="C598">
        <v>2</v>
      </c>
      <c r="D598" s="1" t="s">
        <v>1206</v>
      </c>
      <c r="E598">
        <v>1</v>
      </c>
      <c r="F598" s="1">
        <v>21.98581560283688</v>
      </c>
      <c r="G598">
        <v>0</v>
      </c>
      <c r="H598">
        <v>0</v>
      </c>
      <c r="I598" s="1" t="s">
        <v>1207</v>
      </c>
      <c r="J598">
        <v>33</v>
      </c>
      <c r="K598" s="1" t="s">
        <v>48</v>
      </c>
      <c r="L598" s="1" t="s">
        <v>14</v>
      </c>
      <c r="M598">
        <v>1</v>
      </c>
      <c r="N598">
        <v>0</v>
      </c>
      <c r="O598">
        <v>0</v>
      </c>
      <c r="P598" t="s">
        <v>1739</v>
      </c>
      <c r="Q598">
        <v>1</v>
      </c>
      <c r="R598">
        <v>0</v>
      </c>
      <c r="S598">
        <v>0</v>
      </c>
      <c r="T598">
        <v>0</v>
      </c>
      <c r="U598">
        <v>0</v>
      </c>
      <c r="V598">
        <f t="shared" si="27"/>
        <v>0.87219584275330231</v>
      </c>
      <c r="W598">
        <f t="shared" si="28"/>
        <v>0.70520240168703408</v>
      </c>
      <c r="X598">
        <f t="shared" si="29"/>
        <v>0.34927042278209691</v>
      </c>
    </row>
    <row r="599" spans="1:24" x14ac:dyDescent="0.25">
      <c r="A599">
        <v>598</v>
      </c>
      <c r="B599">
        <v>0</v>
      </c>
      <c r="C599">
        <v>3</v>
      </c>
      <c r="D599" s="1" t="s">
        <v>1208</v>
      </c>
      <c r="E599">
        <v>0</v>
      </c>
      <c r="F599">
        <v>49</v>
      </c>
      <c r="G599">
        <v>0</v>
      </c>
      <c r="H599">
        <v>0</v>
      </c>
      <c r="I599" s="1" t="s">
        <v>391</v>
      </c>
      <c r="J599">
        <v>0</v>
      </c>
      <c r="K599" s="1" t="s">
        <v>48</v>
      </c>
      <c r="L599" s="1" t="s">
        <v>14</v>
      </c>
      <c r="M599">
        <v>1</v>
      </c>
      <c r="N599">
        <v>0</v>
      </c>
      <c r="O599">
        <v>0</v>
      </c>
      <c r="P599" t="s">
        <v>1741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f t="shared" si="27"/>
        <v>0</v>
      </c>
      <c r="W599">
        <f t="shared" si="28"/>
        <v>0.5</v>
      </c>
      <c r="X599">
        <f t="shared" si="29"/>
        <v>0.69314718055994529</v>
      </c>
    </row>
    <row r="600" spans="1:24" x14ac:dyDescent="0.25">
      <c r="A600">
        <v>599</v>
      </c>
      <c r="B600">
        <v>0</v>
      </c>
      <c r="C600">
        <v>3</v>
      </c>
      <c r="D600" s="1" t="s">
        <v>1209</v>
      </c>
      <c r="E600">
        <v>0</v>
      </c>
      <c r="F600" s="1">
        <v>32.180156657963444</v>
      </c>
      <c r="G600">
        <v>0</v>
      </c>
      <c r="H600">
        <v>0</v>
      </c>
      <c r="I600" s="1" t="s">
        <v>1210</v>
      </c>
      <c r="J600">
        <v>7.2249999999999996</v>
      </c>
      <c r="K600" s="1" t="s">
        <v>48</v>
      </c>
      <c r="L600" s="1" t="s">
        <v>18</v>
      </c>
      <c r="M600">
        <v>0</v>
      </c>
      <c r="N600">
        <v>1</v>
      </c>
      <c r="O600">
        <v>0</v>
      </c>
      <c r="P600" t="s">
        <v>1741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f t="shared" si="27"/>
        <v>0</v>
      </c>
      <c r="W600">
        <f t="shared" si="28"/>
        <v>0.5</v>
      </c>
      <c r="X600">
        <f t="shared" si="29"/>
        <v>0.69314718055994529</v>
      </c>
    </row>
    <row r="601" spans="1:24" x14ac:dyDescent="0.25">
      <c r="A601">
        <v>600</v>
      </c>
      <c r="B601">
        <v>1</v>
      </c>
      <c r="C601">
        <v>1</v>
      </c>
      <c r="D601" s="1" t="s">
        <v>1211</v>
      </c>
      <c r="E601">
        <v>0</v>
      </c>
      <c r="F601">
        <v>49</v>
      </c>
      <c r="G601">
        <v>1</v>
      </c>
      <c r="H601">
        <v>0</v>
      </c>
      <c r="I601" s="1" t="s">
        <v>657</v>
      </c>
      <c r="J601">
        <v>56.929200000000002</v>
      </c>
      <c r="K601" s="1" t="s">
        <v>1212</v>
      </c>
      <c r="L601" s="1" t="s">
        <v>18</v>
      </c>
      <c r="M601">
        <v>0</v>
      </c>
      <c r="N601">
        <v>1</v>
      </c>
      <c r="O601">
        <v>0</v>
      </c>
      <c r="P601" t="s">
        <v>1751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f t="shared" si="27"/>
        <v>0</v>
      </c>
      <c r="W601">
        <f t="shared" si="28"/>
        <v>0.5</v>
      </c>
      <c r="X601">
        <f t="shared" si="29"/>
        <v>0.69314718055994529</v>
      </c>
    </row>
    <row r="602" spans="1:24" x14ac:dyDescent="0.25">
      <c r="A602">
        <v>601</v>
      </c>
      <c r="B602">
        <v>1</v>
      </c>
      <c r="C602">
        <v>2</v>
      </c>
      <c r="D602" s="1" t="s">
        <v>1213</v>
      </c>
      <c r="E602">
        <v>1</v>
      </c>
      <c r="F602">
        <v>24</v>
      </c>
      <c r="G602">
        <v>2</v>
      </c>
      <c r="H602">
        <v>1</v>
      </c>
      <c r="I602" s="1" t="s">
        <v>467</v>
      </c>
      <c r="J602">
        <v>27</v>
      </c>
      <c r="K602" s="1" t="s">
        <v>48</v>
      </c>
      <c r="L602" s="1" t="s">
        <v>14</v>
      </c>
      <c r="M602">
        <v>1</v>
      </c>
      <c r="N602">
        <v>0</v>
      </c>
      <c r="O602">
        <v>0</v>
      </c>
      <c r="P602" t="s">
        <v>1740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f t="shared" si="27"/>
        <v>1.3618761518134992</v>
      </c>
      <c r="W602">
        <f t="shared" si="28"/>
        <v>0.79606445234832413</v>
      </c>
      <c r="X602">
        <f t="shared" si="29"/>
        <v>0.22807512612883141</v>
      </c>
    </row>
    <row r="603" spans="1:24" x14ac:dyDescent="0.25">
      <c r="A603">
        <v>602</v>
      </c>
      <c r="B603">
        <v>0</v>
      </c>
      <c r="C603">
        <v>3</v>
      </c>
      <c r="D603" s="1" t="s">
        <v>1214</v>
      </c>
      <c r="E603">
        <v>0</v>
      </c>
      <c r="F603" s="1">
        <v>32.180156657963444</v>
      </c>
      <c r="G603">
        <v>0</v>
      </c>
      <c r="H603">
        <v>0</v>
      </c>
      <c r="I603" s="1" t="s">
        <v>1215</v>
      </c>
      <c r="J603">
        <v>7.8958000000000004</v>
      </c>
      <c r="K603" s="1" t="s">
        <v>48</v>
      </c>
      <c r="L603" s="1" t="s">
        <v>14</v>
      </c>
      <c r="M603">
        <v>1</v>
      </c>
      <c r="N603">
        <v>0</v>
      </c>
      <c r="O603">
        <v>0</v>
      </c>
      <c r="P603" t="s">
        <v>1741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f t="shared" si="27"/>
        <v>0</v>
      </c>
      <c r="W603">
        <f t="shared" si="28"/>
        <v>0.5</v>
      </c>
      <c r="X603">
        <f t="shared" si="29"/>
        <v>0.69314718055994529</v>
      </c>
    </row>
    <row r="604" spans="1:24" x14ac:dyDescent="0.25">
      <c r="A604">
        <v>603</v>
      </c>
      <c r="B604">
        <v>0</v>
      </c>
      <c r="C604">
        <v>1</v>
      </c>
      <c r="D604" s="1" t="s">
        <v>1216</v>
      </c>
      <c r="E604">
        <v>0</v>
      </c>
      <c r="F604" s="1">
        <v>32.180156657963444</v>
      </c>
      <c r="G604">
        <v>0</v>
      </c>
      <c r="H604">
        <v>0</v>
      </c>
      <c r="I604" s="1" t="s">
        <v>1217</v>
      </c>
      <c r="J604">
        <v>42.4</v>
      </c>
      <c r="K604" s="1" t="s">
        <v>48</v>
      </c>
      <c r="L604" s="1" t="s">
        <v>14</v>
      </c>
      <c r="M604">
        <v>1</v>
      </c>
      <c r="N604">
        <v>0</v>
      </c>
      <c r="O604">
        <v>0</v>
      </c>
      <c r="P604" t="s">
        <v>1741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f t="shared" si="27"/>
        <v>0</v>
      </c>
      <c r="W604">
        <f t="shared" si="28"/>
        <v>0.5</v>
      </c>
      <c r="X604">
        <f t="shared" si="29"/>
        <v>0.69314718055994529</v>
      </c>
    </row>
    <row r="605" spans="1:24" x14ac:dyDescent="0.25">
      <c r="A605">
        <v>604</v>
      </c>
      <c r="B605">
        <v>0</v>
      </c>
      <c r="C605">
        <v>3</v>
      </c>
      <c r="D605" s="1" t="s">
        <v>1218</v>
      </c>
      <c r="E605">
        <v>0</v>
      </c>
      <c r="F605">
        <v>44</v>
      </c>
      <c r="G605">
        <v>0</v>
      </c>
      <c r="H605">
        <v>0</v>
      </c>
      <c r="I605" s="1" t="s">
        <v>1219</v>
      </c>
      <c r="J605">
        <v>8.0500000000000007</v>
      </c>
      <c r="K605" s="1" t="s">
        <v>48</v>
      </c>
      <c r="L605" s="1" t="s">
        <v>14</v>
      </c>
      <c r="M605">
        <v>1</v>
      </c>
      <c r="N605">
        <v>0</v>
      </c>
      <c r="O605">
        <v>0</v>
      </c>
      <c r="P605" t="s">
        <v>1741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f t="shared" si="27"/>
        <v>0</v>
      </c>
      <c r="W605">
        <f t="shared" si="28"/>
        <v>0.5</v>
      </c>
      <c r="X605">
        <f t="shared" si="29"/>
        <v>0.69314718055994529</v>
      </c>
    </row>
    <row r="606" spans="1:24" x14ac:dyDescent="0.25">
      <c r="A606">
        <v>605</v>
      </c>
      <c r="B606">
        <v>1</v>
      </c>
      <c r="C606">
        <v>1</v>
      </c>
      <c r="D606" s="1" t="s">
        <v>1220</v>
      </c>
      <c r="E606">
        <v>0</v>
      </c>
      <c r="F606">
        <v>35</v>
      </c>
      <c r="G606">
        <v>0</v>
      </c>
      <c r="H606">
        <v>0</v>
      </c>
      <c r="I606" s="1" t="s">
        <v>1221</v>
      </c>
      <c r="J606">
        <v>26.55</v>
      </c>
      <c r="K606" s="1" t="s">
        <v>48</v>
      </c>
      <c r="L606" s="1" t="s">
        <v>18</v>
      </c>
      <c r="M606">
        <v>0</v>
      </c>
      <c r="N606">
        <v>1</v>
      </c>
      <c r="O606">
        <v>0</v>
      </c>
      <c r="P606" t="s">
        <v>1741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f t="shared" si="27"/>
        <v>0</v>
      </c>
      <c r="W606">
        <f t="shared" si="28"/>
        <v>0.5</v>
      </c>
      <c r="X606">
        <f t="shared" si="29"/>
        <v>0.69314718055994529</v>
      </c>
    </row>
    <row r="607" spans="1:24" x14ac:dyDescent="0.25">
      <c r="A607">
        <v>606</v>
      </c>
      <c r="B607">
        <v>0</v>
      </c>
      <c r="C607">
        <v>3</v>
      </c>
      <c r="D607" s="1" t="s">
        <v>1222</v>
      </c>
      <c r="E607">
        <v>0</v>
      </c>
      <c r="F607">
        <v>36</v>
      </c>
      <c r="G607">
        <v>1</v>
      </c>
      <c r="H607">
        <v>0</v>
      </c>
      <c r="I607" s="1" t="s">
        <v>1223</v>
      </c>
      <c r="J607">
        <v>15.55</v>
      </c>
      <c r="K607" s="1" t="s">
        <v>48</v>
      </c>
      <c r="L607" s="1" t="s">
        <v>14</v>
      </c>
      <c r="M607">
        <v>1</v>
      </c>
      <c r="N607">
        <v>0</v>
      </c>
      <c r="O607">
        <v>0</v>
      </c>
      <c r="P607" t="s">
        <v>1741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f t="shared" si="27"/>
        <v>0</v>
      </c>
      <c r="W607">
        <f t="shared" si="28"/>
        <v>0.5</v>
      </c>
      <c r="X607">
        <f t="shared" si="29"/>
        <v>0.69314718055994529</v>
      </c>
    </row>
    <row r="608" spans="1:24" x14ac:dyDescent="0.25">
      <c r="A608">
        <v>607</v>
      </c>
      <c r="B608">
        <v>0</v>
      </c>
      <c r="C608">
        <v>3</v>
      </c>
      <c r="D608" s="1" t="s">
        <v>1224</v>
      </c>
      <c r="E608">
        <v>0</v>
      </c>
      <c r="F608">
        <v>30</v>
      </c>
      <c r="G608">
        <v>0</v>
      </c>
      <c r="H608">
        <v>0</v>
      </c>
      <c r="I608" s="1" t="s">
        <v>1225</v>
      </c>
      <c r="J608">
        <v>7.8958000000000004</v>
      </c>
      <c r="K608" s="1" t="s">
        <v>48</v>
      </c>
      <c r="L608" s="1" t="s">
        <v>14</v>
      </c>
      <c r="M608">
        <v>1</v>
      </c>
      <c r="N608">
        <v>0</v>
      </c>
      <c r="O608">
        <v>0</v>
      </c>
      <c r="P608" t="s">
        <v>1741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f t="shared" si="27"/>
        <v>0</v>
      </c>
      <c r="W608">
        <f t="shared" si="28"/>
        <v>0.5</v>
      </c>
      <c r="X608">
        <f t="shared" si="29"/>
        <v>0.69314718055994529</v>
      </c>
    </row>
    <row r="609" spans="1:24" x14ac:dyDescent="0.25">
      <c r="A609">
        <v>608</v>
      </c>
      <c r="B609">
        <v>1</v>
      </c>
      <c r="C609">
        <v>1</v>
      </c>
      <c r="D609" s="1" t="s">
        <v>1226</v>
      </c>
      <c r="E609">
        <v>0</v>
      </c>
      <c r="F609">
        <v>27</v>
      </c>
      <c r="G609">
        <v>0</v>
      </c>
      <c r="H609">
        <v>0</v>
      </c>
      <c r="I609" s="1" t="s">
        <v>1227</v>
      </c>
      <c r="J609">
        <v>30.5</v>
      </c>
      <c r="K609" s="1" t="s">
        <v>48</v>
      </c>
      <c r="L609" s="1" t="s">
        <v>14</v>
      </c>
      <c r="M609">
        <v>1</v>
      </c>
      <c r="N609">
        <v>0</v>
      </c>
      <c r="O609">
        <v>0</v>
      </c>
      <c r="P609" t="s">
        <v>1741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f t="shared" si="27"/>
        <v>0</v>
      </c>
      <c r="W609">
        <f t="shared" si="28"/>
        <v>0.5</v>
      </c>
      <c r="X609">
        <f t="shared" si="29"/>
        <v>0.69314718055994529</v>
      </c>
    </row>
    <row r="610" spans="1:24" x14ac:dyDescent="0.25">
      <c r="A610">
        <v>609</v>
      </c>
      <c r="B610">
        <v>1</v>
      </c>
      <c r="C610">
        <v>2</v>
      </c>
      <c r="D610" s="1" t="s">
        <v>1228</v>
      </c>
      <c r="E610">
        <v>1</v>
      </c>
      <c r="F610">
        <v>22</v>
      </c>
      <c r="G610">
        <v>1</v>
      </c>
      <c r="H610">
        <v>2</v>
      </c>
      <c r="I610" s="1" t="s">
        <v>111</v>
      </c>
      <c r="J610">
        <v>41.5792</v>
      </c>
      <c r="K610" s="1" t="s">
        <v>48</v>
      </c>
      <c r="L610" s="1" t="s">
        <v>18</v>
      </c>
      <c r="M610">
        <v>0</v>
      </c>
      <c r="N610">
        <v>1</v>
      </c>
      <c r="O610">
        <v>0</v>
      </c>
      <c r="P610" t="s">
        <v>1740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f t="shared" si="27"/>
        <v>1.3618761518134992</v>
      </c>
      <c r="W610">
        <f t="shared" si="28"/>
        <v>0.79606445234832413</v>
      </c>
      <c r="X610">
        <f t="shared" si="29"/>
        <v>0.22807512612883141</v>
      </c>
    </row>
    <row r="611" spans="1:24" x14ac:dyDescent="0.25">
      <c r="A611">
        <v>610</v>
      </c>
      <c r="B611">
        <v>1</v>
      </c>
      <c r="C611">
        <v>1</v>
      </c>
      <c r="D611" s="1" t="s">
        <v>1229</v>
      </c>
      <c r="E611">
        <v>1</v>
      </c>
      <c r="F611">
        <v>40</v>
      </c>
      <c r="G611">
        <v>0</v>
      </c>
      <c r="H611">
        <v>0</v>
      </c>
      <c r="I611" s="1" t="s">
        <v>570</v>
      </c>
      <c r="J611">
        <v>153.46250000000001</v>
      </c>
      <c r="K611" s="1" t="s">
        <v>571</v>
      </c>
      <c r="L611" s="1" t="s">
        <v>14</v>
      </c>
      <c r="M611">
        <v>1</v>
      </c>
      <c r="N611">
        <v>0</v>
      </c>
      <c r="O611">
        <v>0</v>
      </c>
      <c r="P611" t="s">
        <v>1739</v>
      </c>
      <c r="Q611">
        <v>1</v>
      </c>
      <c r="R611">
        <v>0</v>
      </c>
      <c r="S611">
        <v>0</v>
      </c>
      <c r="T611">
        <v>0</v>
      </c>
      <c r="U611">
        <v>0</v>
      </c>
      <c r="V611">
        <f t="shared" si="27"/>
        <v>0.87219584275330231</v>
      </c>
      <c r="W611">
        <f t="shared" si="28"/>
        <v>0.70520240168703408</v>
      </c>
      <c r="X611">
        <f t="shared" si="29"/>
        <v>0.34927042278209691</v>
      </c>
    </row>
    <row r="612" spans="1:24" x14ac:dyDescent="0.25">
      <c r="A612">
        <v>611</v>
      </c>
      <c r="B612">
        <v>0</v>
      </c>
      <c r="C612">
        <v>3</v>
      </c>
      <c r="D612" s="1" t="s">
        <v>1230</v>
      </c>
      <c r="E612">
        <v>1</v>
      </c>
      <c r="F612">
        <v>39</v>
      </c>
      <c r="G612">
        <v>1</v>
      </c>
      <c r="H612">
        <v>5</v>
      </c>
      <c r="I612" s="1" t="s">
        <v>47</v>
      </c>
      <c r="J612">
        <v>31.274999999999999</v>
      </c>
      <c r="K612" s="1" t="s">
        <v>48</v>
      </c>
      <c r="L612" s="1" t="s">
        <v>14</v>
      </c>
      <c r="M612">
        <v>1</v>
      </c>
      <c r="N612">
        <v>0</v>
      </c>
      <c r="O612">
        <v>0</v>
      </c>
      <c r="P612" t="s">
        <v>1740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f t="shared" si="27"/>
        <v>1.3618761518134992</v>
      </c>
      <c r="W612">
        <f t="shared" si="28"/>
        <v>0.79606445234832413</v>
      </c>
      <c r="X612">
        <f t="shared" si="29"/>
        <v>1.5899512779423304</v>
      </c>
    </row>
    <row r="613" spans="1:24" x14ac:dyDescent="0.25">
      <c r="A613">
        <v>612</v>
      </c>
      <c r="B613">
        <v>0</v>
      </c>
      <c r="C613">
        <v>3</v>
      </c>
      <c r="D613" s="1" t="s">
        <v>1231</v>
      </c>
      <c r="E613">
        <v>0</v>
      </c>
      <c r="F613" s="1">
        <v>32.180156657963444</v>
      </c>
      <c r="G613">
        <v>0</v>
      </c>
      <c r="H613">
        <v>0</v>
      </c>
      <c r="I613" s="1" t="s">
        <v>1232</v>
      </c>
      <c r="J613">
        <v>7.05</v>
      </c>
      <c r="K613" s="1" t="s">
        <v>48</v>
      </c>
      <c r="L613" s="1" t="s">
        <v>14</v>
      </c>
      <c r="M613">
        <v>1</v>
      </c>
      <c r="N613">
        <v>0</v>
      </c>
      <c r="O613">
        <v>0</v>
      </c>
      <c r="P613" t="s">
        <v>1741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f t="shared" si="27"/>
        <v>0</v>
      </c>
      <c r="W613">
        <f t="shared" si="28"/>
        <v>0.5</v>
      </c>
      <c r="X613">
        <f t="shared" si="29"/>
        <v>0.69314718055994529</v>
      </c>
    </row>
    <row r="614" spans="1:24" x14ac:dyDescent="0.25">
      <c r="A614">
        <v>613</v>
      </c>
      <c r="B614">
        <v>1</v>
      </c>
      <c r="C614">
        <v>3</v>
      </c>
      <c r="D614" s="1" t="s">
        <v>1233</v>
      </c>
      <c r="E614">
        <v>1</v>
      </c>
      <c r="F614" s="1">
        <v>21.98581560283688</v>
      </c>
      <c r="G614">
        <v>1</v>
      </c>
      <c r="H614">
        <v>0</v>
      </c>
      <c r="I614" s="1" t="s">
        <v>513</v>
      </c>
      <c r="J614">
        <v>15.5</v>
      </c>
      <c r="K614" s="1" t="s">
        <v>48</v>
      </c>
      <c r="L614" s="1" t="s">
        <v>28</v>
      </c>
      <c r="M614">
        <v>0</v>
      </c>
      <c r="N614">
        <v>0</v>
      </c>
      <c r="O614">
        <v>1</v>
      </c>
      <c r="P614" t="s">
        <v>1739</v>
      </c>
      <c r="Q614">
        <v>1</v>
      </c>
      <c r="R614">
        <v>0</v>
      </c>
      <c r="S614">
        <v>0</v>
      </c>
      <c r="T614">
        <v>0</v>
      </c>
      <c r="U614">
        <v>0</v>
      </c>
      <c r="V614">
        <f t="shared" si="27"/>
        <v>0.87219584275330231</v>
      </c>
      <c r="W614">
        <f t="shared" si="28"/>
        <v>0.70520240168703408</v>
      </c>
      <c r="X614">
        <f t="shared" si="29"/>
        <v>0.34927042278209691</v>
      </c>
    </row>
    <row r="615" spans="1:24" x14ac:dyDescent="0.25">
      <c r="A615">
        <v>614</v>
      </c>
      <c r="B615">
        <v>0</v>
      </c>
      <c r="C615">
        <v>3</v>
      </c>
      <c r="D615" s="1" t="s">
        <v>1234</v>
      </c>
      <c r="E615">
        <v>0</v>
      </c>
      <c r="F615" s="1">
        <v>32.180156657963444</v>
      </c>
      <c r="G615">
        <v>0</v>
      </c>
      <c r="H615">
        <v>0</v>
      </c>
      <c r="I615" s="1" t="s">
        <v>1235</v>
      </c>
      <c r="J615">
        <v>7.75</v>
      </c>
      <c r="K615" s="1" t="s">
        <v>48</v>
      </c>
      <c r="L615" s="1" t="s">
        <v>28</v>
      </c>
      <c r="M615">
        <v>0</v>
      </c>
      <c r="N615">
        <v>0</v>
      </c>
      <c r="O615">
        <v>1</v>
      </c>
      <c r="P615" t="s">
        <v>1741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f t="shared" si="27"/>
        <v>0</v>
      </c>
      <c r="W615">
        <f t="shared" si="28"/>
        <v>0.5</v>
      </c>
      <c r="X615">
        <f t="shared" si="29"/>
        <v>0.69314718055994529</v>
      </c>
    </row>
    <row r="616" spans="1:24" x14ac:dyDescent="0.25">
      <c r="A616">
        <v>615</v>
      </c>
      <c r="B616">
        <v>0</v>
      </c>
      <c r="C616">
        <v>3</v>
      </c>
      <c r="D616" s="1" t="s">
        <v>1236</v>
      </c>
      <c r="E616">
        <v>0</v>
      </c>
      <c r="F616">
        <v>35</v>
      </c>
      <c r="G616">
        <v>0</v>
      </c>
      <c r="H616">
        <v>0</v>
      </c>
      <c r="I616" s="1" t="s">
        <v>1237</v>
      </c>
      <c r="J616">
        <v>8.0500000000000007</v>
      </c>
      <c r="K616" s="1" t="s">
        <v>48</v>
      </c>
      <c r="L616" s="1" t="s">
        <v>14</v>
      </c>
      <c r="M616">
        <v>1</v>
      </c>
      <c r="N616">
        <v>0</v>
      </c>
      <c r="O616">
        <v>0</v>
      </c>
      <c r="P616" t="s">
        <v>1741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f t="shared" si="27"/>
        <v>0</v>
      </c>
      <c r="W616">
        <f t="shared" si="28"/>
        <v>0.5</v>
      </c>
      <c r="X616">
        <f t="shared" si="29"/>
        <v>0.69314718055994529</v>
      </c>
    </row>
    <row r="617" spans="1:24" x14ac:dyDescent="0.25">
      <c r="A617">
        <v>616</v>
      </c>
      <c r="B617">
        <v>1</v>
      </c>
      <c r="C617">
        <v>2</v>
      </c>
      <c r="D617" s="1" t="s">
        <v>1238</v>
      </c>
      <c r="E617">
        <v>1</v>
      </c>
      <c r="F617">
        <v>24</v>
      </c>
      <c r="G617">
        <v>1</v>
      </c>
      <c r="H617">
        <v>2</v>
      </c>
      <c r="I617" s="1" t="s">
        <v>1239</v>
      </c>
      <c r="J617">
        <v>65</v>
      </c>
      <c r="K617" s="1" t="s">
        <v>48</v>
      </c>
      <c r="L617" s="1" t="s">
        <v>14</v>
      </c>
      <c r="M617">
        <v>1</v>
      </c>
      <c r="N617">
        <v>0</v>
      </c>
      <c r="O617">
        <v>0</v>
      </c>
      <c r="P617" t="s">
        <v>1739</v>
      </c>
      <c r="Q617">
        <v>1</v>
      </c>
      <c r="R617">
        <v>0</v>
      </c>
      <c r="S617">
        <v>0</v>
      </c>
      <c r="T617">
        <v>0</v>
      </c>
      <c r="U617">
        <v>0</v>
      </c>
      <c r="V617">
        <f t="shared" si="27"/>
        <v>0.87219584275330231</v>
      </c>
      <c r="W617">
        <f t="shared" si="28"/>
        <v>0.70520240168703408</v>
      </c>
      <c r="X617">
        <f t="shared" si="29"/>
        <v>0.34927042278209691</v>
      </c>
    </row>
    <row r="618" spans="1:24" x14ac:dyDescent="0.25">
      <c r="A618">
        <v>617</v>
      </c>
      <c r="B618">
        <v>0</v>
      </c>
      <c r="C618">
        <v>3</v>
      </c>
      <c r="D618" s="1" t="s">
        <v>1240</v>
      </c>
      <c r="E618">
        <v>0</v>
      </c>
      <c r="F618">
        <v>34</v>
      </c>
      <c r="G618">
        <v>1</v>
      </c>
      <c r="H618">
        <v>1</v>
      </c>
      <c r="I618" s="1" t="s">
        <v>874</v>
      </c>
      <c r="J618">
        <v>14.4</v>
      </c>
      <c r="K618" s="1" t="s">
        <v>48</v>
      </c>
      <c r="L618" s="1" t="s">
        <v>14</v>
      </c>
      <c r="M618">
        <v>1</v>
      </c>
      <c r="N618">
        <v>0</v>
      </c>
      <c r="O618">
        <v>0</v>
      </c>
      <c r="P618" t="s">
        <v>1741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f t="shared" si="27"/>
        <v>0</v>
      </c>
      <c r="W618">
        <f t="shared" si="28"/>
        <v>0.5</v>
      </c>
      <c r="X618">
        <f t="shared" si="29"/>
        <v>0.69314718055994529</v>
      </c>
    </row>
    <row r="619" spans="1:24" x14ac:dyDescent="0.25">
      <c r="A619">
        <v>618</v>
      </c>
      <c r="B619">
        <v>0</v>
      </c>
      <c r="C619">
        <v>3</v>
      </c>
      <c r="D619" s="1" t="s">
        <v>1241</v>
      </c>
      <c r="E619">
        <v>1</v>
      </c>
      <c r="F619">
        <v>26</v>
      </c>
      <c r="G619">
        <v>1</v>
      </c>
      <c r="H619">
        <v>0</v>
      </c>
      <c r="I619" s="1" t="s">
        <v>539</v>
      </c>
      <c r="J619">
        <v>16.100000000000001</v>
      </c>
      <c r="K619" s="1" t="s">
        <v>48</v>
      </c>
      <c r="L619" s="1" t="s">
        <v>14</v>
      </c>
      <c r="M619">
        <v>1</v>
      </c>
      <c r="N619">
        <v>0</v>
      </c>
      <c r="O619">
        <v>0</v>
      </c>
      <c r="P619" t="s">
        <v>1740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f t="shared" si="27"/>
        <v>1.3618761518134992</v>
      </c>
      <c r="W619">
        <f t="shared" si="28"/>
        <v>0.79606445234832413</v>
      </c>
      <c r="X619">
        <f t="shared" si="29"/>
        <v>1.5899512779423304</v>
      </c>
    </row>
    <row r="620" spans="1:24" x14ac:dyDescent="0.25">
      <c r="A620">
        <v>619</v>
      </c>
      <c r="B620">
        <v>1</v>
      </c>
      <c r="C620">
        <v>2</v>
      </c>
      <c r="D620" s="1" t="s">
        <v>1242</v>
      </c>
      <c r="E620">
        <v>1</v>
      </c>
      <c r="F620">
        <v>4</v>
      </c>
      <c r="G620">
        <v>2</v>
      </c>
      <c r="H620">
        <v>1</v>
      </c>
      <c r="I620" s="1" t="s">
        <v>397</v>
      </c>
      <c r="J620">
        <v>39</v>
      </c>
      <c r="K620" s="1" t="s">
        <v>398</v>
      </c>
      <c r="L620" s="1" t="s">
        <v>14</v>
      </c>
      <c r="M620">
        <v>1</v>
      </c>
      <c r="N620">
        <v>0</v>
      </c>
      <c r="O620">
        <v>0</v>
      </c>
      <c r="P620" t="s">
        <v>1739</v>
      </c>
      <c r="Q620">
        <v>1</v>
      </c>
      <c r="R620">
        <v>0</v>
      </c>
      <c r="S620">
        <v>0</v>
      </c>
      <c r="T620">
        <v>0</v>
      </c>
      <c r="U620">
        <v>0</v>
      </c>
      <c r="V620">
        <f t="shared" si="27"/>
        <v>0.87219584275330231</v>
      </c>
      <c r="W620">
        <f t="shared" si="28"/>
        <v>0.70520240168703408</v>
      </c>
      <c r="X620">
        <f t="shared" si="29"/>
        <v>0.34927042278209691</v>
      </c>
    </row>
    <row r="621" spans="1:24" x14ac:dyDescent="0.25">
      <c r="A621">
        <v>620</v>
      </c>
      <c r="B621">
        <v>0</v>
      </c>
      <c r="C621">
        <v>2</v>
      </c>
      <c r="D621" s="1" t="s">
        <v>1243</v>
      </c>
      <c r="E621">
        <v>0</v>
      </c>
      <c r="F621">
        <v>26</v>
      </c>
      <c r="G621">
        <v>0</v>
      </c>
      <c r="H621">
        <v>0</v>
      </c>
      <c r="I621" s="1" t="s">
        <v>1244</v>
      </c>
      <c r="J621">
        <v>10.5</v>
      </c>
      <c r="K621" s="1" t="s">
        <v>48</v>
      </c>
      <c r="L621" s="1" t="s">
        <v>14</v>
      </c>
      <c r="M621">
        <v>1</v>
      </c>
      <c r="N621">
        <v>0</v>
      </c>
      <c r="O621">
        <v>0</v>
      </c>
      <c r="P621" t="s">
        <v>1741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f t="shared" si="27"/>
        <v>0</v>
      </c>
      <c r="W621">
        <f t="shared" si="28"/>
        <v>0.5</v>
      </c>
      <c r="X621">
        <f t="shared" si="29"/>
        <v>0.69314718055994529</v>
      </c>
    </row>
    <row r="622" spans="1:24" x14ac:dyDescent="0.25">
      <c r="A622">
        <v>621</v>
      </c>
      <c r="B622">
        <v>0</v>
      </c>
      <c r="C622">
        <v>3</v>
      </c>
      <c r="D622" s="1" t="s">
        <v>1245</v>
      </c>
      <c r="E622">
        <v>0</v>
      </c>
      <c r="F622">
        <v>27</v>
      </c>
      <c r="G622">
        <v>1</v>
      </c>
      <c r="H622">
        <v>0</v>
      </c>
      <c r="I622" s="1" t="s">
        <v>1246</v>
      </c>
      <c r="J622">
        <v>14.4542</v>
      </c>
      <c r="K622" s="1" t="s">
        <v>48</v>
      </c>
      <c r="L622" s="1" t="s">
        <v>18</v>
      </c>
      <c r="M622">
        <v>0</v>
      </c>
      <c r="N622">
        <v>1</v>
      </c>
      <c r="O622">
        <v>0</v>
      </c>
      <c r="P622" t="s">
        <v>1741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f t="shared" si="27"/>
        <v>0</v>
      </c>
      <c r="W622">
        <f t="shared" si="28"/>
        <v>0.5</v>
      </c>
      <c r="X622">
        <f t="shared" si="29"/>
        <v>0.69314718055994529</v>
      </c>
    </row>
    <row r="623" spans="1:24" x14ac:dyDescent="0.25">
      <c r="A623">
        <v>622</v>
      </c>
      <c r="B623">
        <v>1</v>
      </c>
      <c r="C623">
        <v>1</v>
      </c>
      <c r="D623" s="1" t="s">
        <v>1247</v>
      </c>
      <c r="E623">
        <v>0</v>
      </c>
      <c r="F623">
        <v>42</v>
      </c>
      <c r="G623">
        <v>1</v>
      </c>
      <c r="H623">
        <v>0</v>
      </c>
      <c r="I623" s="1" t="s">
        <v>1248</v>
      </c>
      <c r="J623">
        <v>52.554200000000002</v>
      </c>
      <c r="K623" s="1" t="s">
        <v>1249</v>
      </c>
      <c r="L623" s="1" t="s">
        <v>14</v>
      </c>
      <c r="M623">
        <v>1</v>
      </c>
      <c r="N623">
        <v>0</v>
      </c>
      <c r="O623">
        <v>0</v>
      </c>
      <c r="P623" t="s">
        <v>1741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f t="shared" si="27"/>
        <v>0</v>
      </c>
      <c r="W623">
        <f t="shared" si="28"/>
        <v>0.5</v>
      </c>
      <c r="X623">
        <f t="shared" si="29"/>
        <v>0.69314718055994529</v>
      </c>
    </row>
    <row r="624" spans="1:24" x14ac:dyDescent="0.25">
      <c r="A624">
        <v>623</v>
      </c>
      <c r="B624">
        <v>1</v>
      </c>
      <c r="C624">
        <v>3</v>
      </c>
      <c r="D624" s="1" t="s">
        <v>1250</v>
      </c>
      <c r="E624">
        <v>0</v>
      </c>
      <c r="F624">
        <v>20</v>
      </c>
      <c r="G624">
        <v>1</v>
      </c>
      <c r="H624">
        <v>1</v>
      </c>
      <c r="I624" s="1" t="s">
        <v>798</v>
      </c>
      <c r="J624">
        <v>15.7417</v>
      </c>
      <c r="K624" s="1" t="s">
        <v>48</v>
      </c>
      <c r="L624" s="1" t="s">
        <v>18</v>
      </c>
      <c r="M624">
        <v>0</v>
      </c>
      <c r="N624">
        <v>1</v>
      </c>
      <c r="O624">
        <v>0</v>
      </c>
      <c r="P624" t="s">
        <v>1741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f t="shared" si="27"/>
        <v>0</v>
      </c>
      <c r="W624">
        <f t="shared" si="28"/>
        <v>0.5</v>
      </c>
      <c r="X624">
        <f t="shared" si="29"/>
        <v>0.69314718055994529</v>
      </c>
    </row>
    <row r="625" spans="1:24" x14ac:dyDescent="0.25">
      <c r="A625">
        <v>624</v>
      </c>
      <c r="B625">
        <v>0</v>
      </c>
      <c r="C625">
        <v>3</v>
      </c>
      <c r="D625" s="1" t="s">
        <v>1251</v>
      </c>
      <c r="E625">
        <v>0</v>
      </c>
      <c r="F625">
        <v>21</v>
      </c>
      <c r="G625">
        <v>0</v>
      </c>
      <c r="H625">
        <v>0</v>
      </c>
      <c r="I625" s="1" t="s">
        <v>1252</v>
      </c>
      <c r="J625">
        <v>7.8541999999999996</v>
      </c>
      <c r="K625" s="1" t="s">
        <v>48</v>
      </c>
      <c r="L625" s="1" t="s">
        <v>14</v>
      </c>
      <c r="M625">
        <v>1</v>
      </c>
      <c r="N625">
        <v>0</v>
      </c>
      <c r="O625">
        <v>0</v>
      </c>
      <c r="P625" t="s">
        <v>1741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f t="shared" si="27"/>
        <v>0</v>
      </c>
      <c r="W625">
        <f t="shared" si="28"/>
        <v>0.5</v>
      </c>
      <c r="X625">
        <f t="shared" si="29"/>
        <v>0.69314718055994529</v>
      </c>
    </row>
    <row r="626" spans="1:24" x14ac:dyDescent="0.25">
      <c r="A626">
        <v>625</v>
      </c>
      <c r="B626">
        <v>0</v>
      </c>
      <c r="C626">
        <v>3</v>
      </c>
      <c r="D626" s="1" t="s">
        <v>1253</v>
      </c>
      <c r="E626">
        <v>0</v>
      </c>
      <c r="F626">
        <v>21</v>
      </c>
      <c r="G626">
        <v>0</v>
      </c>
      <c r="H626">
        <v>0</v>
      </c>
      <c r="I626" s="1" t="s">
        <v>1254</v>
      </c>
      <c r="J626">
        <v>16.100000000000001</v>
      </c>
      <c r="K626" s="1" t="s">
        <v>48</v>
      </c>
      <c r="L626" s="1" t="s">
        <v>14</v>
      </c>
      <c r="M626">
        <v>1</v>
      </c>
      <c r="N626">
        <v>0</v>
      </c>
      <c r="O626">
        <v>0</v>
      </c>
      <c r="P626" t="s">
        <v>1741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f t="shared" si="27"/>
        <v>0</v>
      </c>
      <c r="W626">
        <f t="shared" si="28"/>
        <v>0.5</v>
      </c>
      <c r="X626">
        <f t="shared" si="29"/>
        <v>0.69314718055994529</v>
      </c>
    </row>
    <row r="627" spans="1:24" x14ac:dyDescent="0.25">
      <c r="A627">
        <v>626</v>
      </c>
      <c r="B627">
        <v>0</v>
      </c>
      <c r="C627">
        <v>1</v>
      </c>
      <c r="D627" s="1" t="s">
        <v>1255</v>
      </c>
      <c r="E627">
        <v>0</v>
      </c>
      <c r="F627">
        <v>61</v>
      </c>
      <c r="G627">
        <v>0</v>
      </c>
      <c r="H627">
        <v>0</v>
      </c>
      <c r="I627" s="1" t="s">
        <v>1256</v>
      </c>
      <c r="J627">
        <v>32.320799999999998</v>
      </c>
      <c r="K627" s="1" t="s">
        <v>1257</v>
      </c>
      <c r="L627" s="1" t="s">
        <v>14</v>
      </c>
      <c r="M627">
        <v>1</v>
      </c>
      <c r="N627">
        <v>0</v>
      </c>
      <c r="O627">
        <v>0</v>
      </c>
      <c r="P627" t="s">
        <v>1741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f t="shared" si="27"/>
        <v>0</v>
      </c>
      <c r="W627">
        <f t="shared" si="28"/>
        <v>0.5</v>
      </c>
      <c r="X627">
        <f t="shared" si="29"/>
        <v>0.69314718055994529</v>
      </c>
    </row>
    <row r="628" spans="1:24" x14ac:dyDescent="0.25">
      <c r="A628">
        <v>627</v>
      </c>
      <c r="B628">
        <v>0</v>
      </c>
      <c r="C628">
        <v>2</v>
      </c>
      <c r="D628" s="1" t="s">
        <v>1258</v>
      </c>
      <c r="E628">
        <v>0</v>
      </c>
      <c r="F628">
        <v>57</v>
      </c>
      <c r="G628">
        <v>0</v>
      </c>
      <c r="H628">
        <v>0</v>
      </c>
      <c r="I628" s="1" t="s">
        <v>1259</v>
      </c>
      <c r="J628">
        <v>12.35</v>
      </c>
      <c r="K628" s="1" t="s">
        <v>48</v>
      </c>
      <c r="L628" s="1" t="s">
        <v>28</v>
      </c>
      <c r="M628">
        <v>0</v>
      </c>
      <c r="N628">
        <v>0</v>
      </c>
      <c r="O628">
        <v>1</v>
      </c>
      <c r="P628" t="s">
        <v>1745</v>
      </c>
      <c r="Q628">
        <v>0</v>
      </c>
      <c r="R628">
        <v>0</v>
      </c>
      <c r="S628">
        <v>0</v>
      </c>
      <c r="T628">
        <v>0</v>
      </c>
      <c r="U628">
        <v>1</v>
      </c>
      <c r="V628">
        <f t="shared" si="27"/>
        <v>0</v>
      </c>
      <c r="W628">
        <f t="shared" si="28"/>
        <v>0.5</v>
      </c>
      <c r="X628">
        <f t="shared" si="29"/>
        <v>0.69314718055994529</v>
      </c>
    </row>
    <row r="629" spans="1:24" x14ac:dyDescent="0.25">
      <c r="A629">
        <v>628</v>
      </c>
      <c r="B629">
        <v>1</v>
      </c>
      <c r="C629">
        <v>1</v>
      </c>
      <c r="D629" s="1" t="s">
        <v>1260</v>
      </c>
      <c r="E629">
        <v>1</v>
      </c>
      <c r="F629">
        <v>21</v>
      </c>
      <c r="G629">
        <v>0</v>
      </c>
      <c r="H629">
        <v>0</v>
      </c>
      <c r="I629" s="1" t="s">
        <v>586</v>
      </c>
      <c r="J629">
        <v>77.958299999999994</v>
      </c>
      <c r="K629" s="1" t="s">
        <v>1261</v>
      </c>
      <c r="L629" s="1" t="s">
        <v>14</v>
      </c>
      <c r="M629">
        <v>1</v>
      </c>
      <c r="N629">
        <v>0</v>
      </c>
      <c r="O629">
        <v>0</v>
      </c>
      <c r="P629" t="s">
        <v>1739</v>
      </c>
      <c r="Q629">
        <v>1</v>
      </c>
      <c r="R629">
        <v>0</v>
      </c>
      <c r="S629">
        <v>0</v>
      </c>
      <c r="T629">
        <v>0</v>
      </c>
      <c r="U629">
        <v>0</v>
      </c>
      <c r="V629">
        <f t="shared" si="27"/>
        <v>0.87219584275330231</v>
      </c>
      <c r="W629">
        <f t="shared" si="28"/>
        <v>0.70520240168703408</v>
      </c>
      <c r="X629">
        <f t="shared" si="29"/>
        <v>0.34927042278209691</v>
      </c>
    </row>
    <row r="630" spans="1:24" x14ac:dyDescent="0.25">
      <c r="A630">
        <v>629</v>
      </c>
      <c r="B630">
        <v>0</v>
      </c>
      <c r="C630">
        <v>3</v>
      </c>
      <c r="D630" s="1" t="s">
        <v>1262</v>
      </c>
      <c r="E630">
        <v>0</v>
      </c>
      <c r="F630">
        <v>26</v>
      </c>
      <c r="G630">
        <v>0</v>
      </c>
      <c r="H630">
        <v>0</v>
      </c>
      <c r="I630" s="1" t="s">
        <v>1263</v>
      </c>
      <c r="J630">
        <v>7.8958000000000004</v>
      </c>
      <c r="K630" s="1" t="s">
        <v>48</v>
      </c>
      <c r="L630" s="1" t="s">
        <v>14</v>
      </c>
      <c r="M630">
        <v>1</v>
      </c>
      <c r="N630">
        <v>0</v>
      </c>
      <c r="O630">
        <v>0</v>
      </c>
      <c r="P630" t="s">
        <v>1741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f t="shared" si="27"/>
        <v>0</v>
      </c>
      <c r="W630">
        <f t="shared" si="28"/>
        <v>0.5</v>
      </c>
      <c r="X630">
        <f t="shared" si="29"/>
        <v>0.69314718055994529</v>
      </c>
    </row>
    <row r="631" spans="1:24" x14ac:dyDescent="0.25">
      <c r="A631">
        <v>630</v>
      </c>
      <c r="B631">
        <v>0</v>
      </c>
      <c r="C631">
        <v>3</v>
      </c>
      <c r="D631" s="1" t="s">
        <v>1264</v>
      </c>
      <c r="E631">
        <v>0</v>
      </c>
      <c r="F631" s="1">
        <v>32.180156657963444</v>
      </c>
      <c r="G631">
        <v>0</v>
      </c>
      <c r="H631">
        <v>0</v>
      </c>
      <c r="I631" s="1" t="s">
        <v>1265</v>
      </c>
      <c r="J631">
        <v>7.7332999999999998</v>
      </c>
      <c r="K631" s="1" t="s">
        <v>48</v>
      </c>
      <c r="L631" s="1" t="s">
        <v>28</v>
      </c>
      <c r="M631">
        <v>0</v>
      </c>
      <c r="N631">
        <v>0</v>
      </c>
      <c r="O631">
        <v>1</v>
      </c>
      <c r="P631" t="s">
        <v>1741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f t="shared" si="27"/>
        <v>0</v>
      </c>
      <c r="W631">
        <f t="shared" si="28"/>
        <v>0.5</v>
      </c>
      <c r="X631">
        <f t="shared" si="29"/>
        <v>0.69314718055994529</v>
      </c>
    </row>
    <row r="632" spans="1:24" x14ac:dyDescent="0.25">
      <c r="A632">
        <v>631</v>
      </c>
      <c r="B632">
        <v>1</v>
      </c>
      <c r="C632">
        <v>1</v>
      </c>
      <c r="D632" s="1" t="s">
        <v>1266</v>
      </c>
      <c r="E632">
        <v>0</v>
      </c>
      <c r="F632">
        <v>80</v>
      </c>
      <c r="G632">
        <v>0</v>
      </c>
      <c r="H632">
        <v>0</v>
      </c>
      <c r="I632" s="1" t="s">
        <v>1267</v>
      </c>
      <c r="J632">
        <v>30</v>
      </c>
      <c r="K632" s="1" t="s">
        <v>1268</v>
      </c>
      <c r="L632" s="1" t="s">
        <v>14</v>
      </c>
      <c r="M632">
        <v>1</v>
      </c>
      <c r="N632">
        <v>0</v>
      </c>
      <c r="O632">
        <v>0</v>
      </c>
      <c r="P632" t="s">
        <v>1741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f t="shared" si="27"/>
        <v>0</v>
      </c>
      <c r="W632">
        <f t="shared" si="28"/>
        <v>0.5</v>
      </c>
      <c r="X632">
        <f t="shared" si="29"/>
        <v>0.69314718055994529</v>
      </c>
    </row>
    <row r="633" spans="1:24" x14ac:dyDescent="0.25">
      <c r="A633">
        <v>632</v>
      </c>
      <c r="B633">
        <v>0</v>
      </c>
      <c r="C633">
        <v>3</v>
      </c>
      <c r="D633" s="1" t="s">
        <v>1269</v>
      </c>
      <c r="E633">
        <v>0</v>
      </c>
      <c r="F633">
        <v>51</v>
      </c>
      <c r="G633">
        <v>0</v>
      </c>
      <c r="H633">
        <v>0</v>
      </c>
      <c r="I633" s="1" t="s">
        <v>1270</v>
      </c>
      <c r="J633">
        <v>7.0541999999999998</v>
      </c>
      <c r="K633" s="1" t="s">
        <v>48</v>
      </c>
      <c r="L633" s="1" t="s">
        <v>14</v>
      </c>
      <c r="M633">
        <v>1</v>
      </c>
      <c r="N633">
        <v>0</v>
      </c>
      <c r="O633">
        <v>0</v>
      </c>
      <c r="P633" t="s">
        <v>1741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f t="shared" si="27"/>
        <v>0</v>
      </c>
      <c r="W633">
        <f t="shared" si="28"/>
        <v>0.5</v>
      </c>
      <c r="X633">
        <f t="shared" si="29"/>
        <v>0.69314718055994529</v>
      </c>
    </row>
    <row r="634" spans="1:24" x14ac:dyDescent="0.25">
      <c r="A634">
        <v>633</v>
      </c>
      <c r="B634">
        <v>1</v>
      </c>
      <c r="C634">
        <v>1</v>
      </c>
      <c r="D634" s="1" t="s">
        <v>1271</v>
      </c>
      <c r="E634">
        <v>0</v>
      </c>
      <c r="F634">
        <v>32</v>
      </c>
      <c r="G634">
        <v>0</v>
      </c>
      <c r="H634">
        <v>0</v>
      </c>
      <c r="I634" s="1" t="s">
        <v>1272</v>
      </c>
      <c r="J634">
        <v>30.5</v>
      </c>
      <c r="K634" s="1" t="s">
        <v>1273</v>
      </c>
      <c r="L634" s="1" t="s">
        <v>18</v>
      </c>
      <c r="M634">
        <v>0</v>
      </c>
      <c r="N634">
        <v>1</v>
      </c>
      <c r="O634">
        <v>0</v>
      </c>
      <c r="P634" t="s">
        <v>1746</v>
      </c>
      <c r="Q634">
        <v>0</v>
      </c>
      <c r="R634">
        <v>0</v>
      </c>
      <c r="S634">
        <v>0</v>
      </c>
      <c r="T634">
        <v>0</v>
      </c>
      <c r="U634">
        <v>1</v>
      </c>
      <c r="V634">
        <f t="shared" si="27"/>
        <v>0</v>
      </c>
      <c r="W634">
        <f t="shared" si="28"/>
        <v>0.5</v>
      </c>
      <c r="X634">
        <f t="shared" si="29"/>
        <v>0.69314718055994529</v>
      </c>
    </row>
    <row r="635" spans="1:24" x14ac:dyDescent="0.25">
      <c r="A635">
        <v>634</v>
      </c>
      <c r="B635">
        <v>0</v>
      </c>
      <c r="C635">
        <v>1</v>
      </c>
      <c r="D635" s="1" t="s">
        <v>1274</v>
      </c>
      <c r="E635">
        <v>0</v>
      </c>
      <c r="F635" s="1">
        <v>32.180156657963444</v>
      </c>
      <c r="G635">
        <v>0</v>
      </c>
      <c r="H635">
        <v>0</v>
      </c>
      <c r="I635" s="1" t="s">
        <v>1275</v>
      </c>
      <c r="J635">
        <v>0</v>
      </c>
      <c r="K635" s="1" t="s">
        <v>48</v>
      </c>
      <c r="L635" s="1" t="s">
        <v>14</v>
      </c>
      <c r="M635">
        <v>1</v>
      </c>
      <c r="N635">
        <v>0</v>
      </c>
      <c r="O635">
        <v>0</v>
      </c>
      <c r="P635" t="s">
        <v>1741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f t="shared" si="27"/>
        <v>0</v>
      </c>
      <c r="W635">
        <f t="shared" si="28"/>
        <v>0.5</v>
      </c>
      <c r="X635">
        <f t="shared" si="29"/>
        <v>0.69314718055994529</v>
      </c>
    </row>
    <row r="636" spans="1:24" x14ac:dyDescent="0.25">
      <c r="A636">
        <v>635</v>
      </c>
      <c r="B636">
        <v>0</v>
      </c>
      <c r="C636">
        <v>3</v>
      </c>
      <c r="D636" s="1" t="s">
        <v>1276</v>
      </c>
      <c r="E636">
        <v>1</v>
      </c>
      <c r="F636">
        <v>9</v>
      </c>
      <c r="G636">
        <v>3</v>
      </c>
      <c r="H636">
        <v>2</v>
      </c>
      <c r="I636" s="1" t="s">
        <v>156</v>
      </c>
      <c r="J636">
        <v>27.9</v>
      </c>
      <c r="K636" s="1" t="s">
        <v>48</v>
      </c>
      <c r="L636" s="1" t="s">
        <v>14</v>
      </c>
      <c r="M636">
        <v>1</v>
      </c>
      <c r="N636">
        <v>0</v>
      </c>
      <c r="O636">
        <v>0</v>
      </c>
      <c r="P636" t="s">
        <v>1739</v>
      </c>
      <c r="Q636">
        <v>1</v>
      </c>
      <c r="R636">
        <v>0</v>
      </c>
      <c r="S636">
        <v>0</v>
      </c>
      <c r="T636">
        <v>0</v>
      </c>
      <c r="U636">
        <v>0</v>
      </c>
      <c r="V636">
        <f t="shared" si="27"/>
        <v>0.87219584275330231</v>
      </c>
      <c r="W636">
        <f t="shared" si="28"/>
        <v>0.70520240168703408</v>
      </c>
      <c r="X636">
        <f t="shared" si="29"/>
        <v>1.2214662655353992</v>
      </c>
    </row>
    <row r="637" spans="1:24" x14ac:dyDescent="0.25">
      <c r="A637">
        <v>636</v>
      </c>
      <c r="B637">
        <v>1</v>
      </c>
      <c r="C637">
        <v>2</v>
      </c>
      <c r="D637" s="1" t="s">
        <v>1277</v>
      </c>
      <c r="E637">
        <v>1</v>
      </c>
      <c r="F637">
        <v>28</v>
      </c>
      <c r="G637">
        <v>0</v>
      </c>
      <c r="H637">
        <v>0</v>
      </c>
      <c r="I637" s="1" t="s">
        <v>1278</v>
      </c>
      <c r="J637">
        <v>13</v>
      </c>
      <c r="K637" s="1" t="s">
        <v>48</v>
      </c>
      <c r="L637" s="1" t="s">
        <v>14</v>
      </c>
      <c r="M637">
        <v>1</v>
      </c>
      <c r="N637">
        <v>0</v>
      </c>
      <c r="O637">
        <v>0</v>
      </c>
      <c r="P637" t="s">
        <v>1739</v>
      </c>
      <c r="Q637">
        <v>1</v>
      </c>
      <c r="R637">
        <v>0</v>
      </c>
      <c r="S637">
        <v>0</v>
      </c>
      <c r="T637">
        <v>0</v>
      </c>
      <c r="U637">
        <v>0</v>
      </c>
      <c r="V637">
        <f t="shared" si="27"/>
        <v>0.87219584275330231</v>
      </c>
      <c r="W637">
        <f t="shared" si="28"/>
        <v>0.70520240168703408</v>
      </c>
      <c r="X637">
        <f t="shared" si="29"/>
        <v>0.34927042278209691</v>
      </c>
    </row>
    <row r="638" spans="1:24" x14ac:dyDescent="0.25">
      <c r="A638">
        <v>637</v>
      </c>
      <c r="B638">
        <v>0</v>
      </c>
      <c r="C638">
        <v>3</v>
      </c>
      <c r="D638" s="1" t="s">
        <v>1279</v>
      </c>
      <c r="E638">
        <v>0</v>
      </c>
      <c r="F638">
        <v>32</v>
      </c>
      <c r="G638">
        <v>0</v>
      </c>
      <c r="H638">
        <v>0</v>
      </c>
      <c r="I638" s="1" t="s">
        <v>1280</v>
      </c>
      <c r="J638">
        <v>7.9249999999999998</v>
      </c>
      <c r="K638" s="1" t="s">
        <v>48</v>
      </c>
      <c r="L638" s="1" t="s">
        <v>14</v>
      </c>
      <c r="M638">
        <v>1</v>
      </c>
      <c r="N638">
        <v>0</v>
      </c>
      <c r="O638">
        <v>0</v>
      </c>
      <c r="P638" t="s">
        <v>1741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f t="shared" si="27"/>
        <v>0</v>
      </c>
      <c r="W638">
        <f t="shared" si="28"/>
        <v>0.5</v>
      </c>
      <c r="X638">
        <f t="shared" si="29"/>
        <v>0.69314718055994529</v>
      </c>
    </row>
    <row r="639" spans="1:24" x14ac:dyDescent="0.25">
      <c r="A639">
        <v>638</v>
      </c>
      <c r="B639">
        <v>0</v>
      </c>
      <c r="C639">
        <v>2</v>
      </c>
      <c r="D639" s="1" t="s">
        <v>1281</v>
      </c>
      <c r="E639">
        <v>0</v>
      </c>
      <c r="F639">
        <v>31</v>
      </c>
      <c r="G639">
        <v>1</v>
      </c>
      <c r="H639">
        <v>1</v>
      </c>
      <c r="I639" s="1" t="s">
        <v>506</v>
      </c>
      <c r="J639">
        <v>26.25</v>
      </c>
      <c r="K639" s="1" t="s">
        <v>48</v>
      </c>
      <c r="L639" s="1" t="s">
        <v>14</v>
      </c>
      <c r="M639">
        <v>1</v>
      </c>
      <c r="N639">
        <v>0</v>
      </c>
      <c r="O639">
        <v>0</v>
      </c>
      <c r="P639" t="s">
        <v>1741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f t="shared" si="27"/>
        <v>0</v>
      </c>
      <c r="W639">
        <f t="shared" si="28"/>
        <v>0.5</v>
      </c>
      <c r="X639">
        <f t="shared" si="29"/>
        <v>0.69314718055994529</v>
      </c>
    </row>
    <row r="640" spans="1:24" x14ac:dyDescent="0.25">
      <c r="A640">
        <v>639</v>
      </c>
      <c r="B640">
        <v>0</v>
      </c>
      <c r="C640">
        <v>3</v>
      </c>
      <c r="D640" s="1" t="s">
        <v>1282</v>
      </c>
      <c r="E640">
        <v>1</v>
      </c>
      <c r="F640">
        <v>41</v>
      </c>
      <c r="G640">
        <v>0</v>
      </c>
      <c r="H640">
        <v>5</v>
      </c>
      <c r="I640" s="1" t="s">
        <v>125</v>
      </c>
      <c r="J640">
        <v>39.6875</v>
      </c>
      <c r="K640" s="1" t="s">
        <v>48</v>
      </c>
      <c r="L640" s="1" t="s">
        <v>14</v>
      </c>
      <c r="M640">
        <v>1</v>
      </c>
      <c r="N640">
        <v>0</v>
      </c>
      <c r="O640">
        <v>0</v>
      </c>
      <c r="P640" t="s">
        <v>1740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f t="shared" si="27"/>
        <v>1.3618761518134992</v>
      </c>
      <c r="W640">
        <f t="shared" si="28"/>
        <v>0.79606445234832413</v>
      </c>
      <c r="X640">
        <f t="shared" si="29"/>
        <v>1.5899512779423304</v>
      </c>
    </row>
    <row r="641" spans="1:24" x14ac:dyDescent="0.25">
      <c r="A641">
        <v>640</v>
      </c>
      <c r="B641">
        <v>0</v>
      </c>
      <c r="C641">
        <v>3</v>
      </c>
      <c r="D641" s="1" t="s">
        <v>1283</v>
      </c>
      <c r="E641">
        <v>0</v>
      </c>
      <c r="F641" s="1">
        <v>32.180156657963444</v>
      </c>
      <c r="G641">
        <v>1</v>
      </c>
      <c r="H641">
        <v>0</v>
      </c>
      <c r="I641" s="1" t="s">
        <v>890</v>
      </c>
      <c r="J641">
        <v>16.100000000000001</v>
      </c>
      <c r="K641" s="1" t="s">
        <v>48</v>
      </c>
      <c r="L641" s="1" t="s">
        <v>14</v>
      </c>
      <c r="M641">
        <v>1</v>
      </c>
      <c r="N641">
        <v>0</v>
      </c>
      <c r="O641">
        <v>0</v>
      </c>
      <c r="P641" t="s">
        <v>1741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f t="shared" si="27"/>
        <v>0</v>
      </c>
      <c r="W641">
        <f t="shared" si="28"/>
        <v>0.5</v>
      </c>
      <c r="X641">
        <f t="shared" si="29"/>
        <v>0.69314718055994529</v>
      </c>
    </row>
    <row r="642" spans="1:24" x14ac:dyDescent="0.25">
      <c r="A642">
        <v>641</v>
      </c>
      <c r="B642">
        <v>0</v>
      </c>
      <c r="C642">
        <v>3</v>
      </c>
      <c r="D642" s="1" t="s">
        <v>1284</v>
      </c>
      <c r="E642">
        <v>0</v>
      </c>
      <c r="F642">
        <v>20</v>
      </c>
      <c r="G642">
        <v>0</v>
      </c>
      <c r="H642">
        <v>0</v>
      </c>
      <c r="I642" s="1" t="s">
        <v>1285</v>
      </c>
      <c r="J642">
        <v>7.8541999999999996</v>
      </c>
      <c r="K642" s="1" t="s">
        <v>48</v>
      </c>
      <c r="L642" s="1" t="s">
        <v>14</v>
      </c>
      <c r="M642">
        <v>1</v>
      </c>
      <c r="N642">
        <v>0</v>
      </c>
      <c r="O642">
        <v>0</v>
      </c>
      <c r="P642" t="s">
        <v>1741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f t="shared" si="27"/>
        <v>0</v>
      </c>
      <c r="W642">
        <f t="shared" si="28"/>
        <v>0.5</v>
      </c>
      <c r="X642">
        <f t="shared" si="29"/>
        <v>0.69314718055994529</v>
      </c>
    </row>
    <row r="643" spans="1:24" x14ac:dyDescent="0.25">
      <c r="A643">
        <v>642</v>
      </c>
      <c r="B643">
        <v>1</v>
      </c>
      <c r="C643">
        <v>1</v>
      </c>
      <c r="D643" s="1" t="s">
        <v>1286</v>
      </c>
      <c r="E643">
        <v>1</v>
      </c>
      <c r="F643">
        <v>24</v>
      </c>
      <c r="G643">
        <v>0</v>
      </c>
      <c r="H643">
        <v>0</v>
      </c>
      <c r="I643" s="1" t="s">
        <v>774</v>
      </c>
      <c r="J643">
        <v>69.3</v>
      </c>
      <c r="K643" s="1" t="s">
        <v>775</v>
      </c>
      <c r="L643" s="1" t="s">
        <v>18</v>
      </c>
      <c r="M643">
        <v>0</v>
      </c>
      <c r="N643">
        <v>1</v>
      </c>
      <c r="O643">
        <v>0</v>
      </c>
      <c r="P643" t="s">
        <v>1752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f t="shared" ref="V643:V706" si="30">$AB$1+C643*$AB$2+E643*$AB$3+F643*$AB$4+G643*$AB$5+H643*$AB$6+J643*$AB$7+M643*$AB$8+N643*$AB$9+O643*$AB$10+Q643*$AB$11+R643*$AB$12+S643*$AB$13+T643*$AB$14+U643*$AB$15</f>
        <v>0.87219584275330231</v>
      </c>
      <c r="W643">
        <f t="shared" ref="W643:W706" si="31">1/(1+EXP(-V643))</f>
        <v>0.70520240168703408</v>
      </c>
      <c r="X643">
        <f t="shared" ref="X643:X706" si="32">-(B643*LN(MAX(0.000001,MIN(0.999999,W643))) +(1-B643)*LN(MAX(0.000001,MIN(0.999999,1-W643))))</f>
        <v>0.34927042278209691</v>
      </c>
    </row>
    <row r="644" spans="1:24" x14ac:dyDescent="0.25">
      <c r="A644">
        <v>643</v>
      </c>
      <c r="B644">
        <v>0</v>
      </c>
      <c r="C644">
        <v>3</v>
      </c>
      <c r="D644" s="1" t="s">
        <v>1287</v>
      </c>
      <c r="E644">
        <v>1</v>
      </c>
      <c r="F644">
        <v>2</v>
      </c>
      <c r="G644">
        <v>3</v>
      </c>
      <c r="H644">
        <v>2</v>
      </c>
      <c r="I644" s="1" t="s">
        <v>156</v>
      </c>
      <c r="J644">
        <v>27.9</v>
      </c>
      <c r="K644" s="1" t="s">
        <v>48</v>
      </c>
      <c r="L644" s="1" t="s">
        <v>14</v>
      </c>
      <c r="M644">
        <v>1</v>
      </c>
      <c r="N644">
        <v>0</v>
      </c>
      <c r="O644">
        <v>0</v>
      </c>
      <c r="P644" t="s">
        <v>1739</v>
      </c>
      <c r="Q644">
        <v>1</v>
      </c>
      <c r="R644">
        <v>0</v>
      </c>
      <c r="S644">
        <v>0</v>
      </c>
      <c r="T644">
        <v>0</v>
      </c>
      <c r="U644">
        <v>0</v>
      </c>
      <c r="V644">
        <f t="shared" si="30"/>
        <v>0.87219584275330231</v>
      </c>
      <c r="W644">
        <f t="shared" si="31"/>
        <v>0.70520240168703408</v>
      </c>
      <c r="X644">
        <f t="shared" si="32"/>
        <v>1.2214662655353992</v>
      </c>
    </row>
    <row r="645" spans="1:24" x14ac:dyDescent="0.25">
      <c r="A645">
        <v>644</v>
      </c>
      <c r="B645">
        <v>1</v>
      </c>
      <c r="C645">
        <v>3</v>
      </c>
      <c r="D645" s="1" t="s">
        <v>1288</v>
      </c>
      <c r="E645">
        <v>0</v>
      </c>
      <c r="F645" s="1">
        <v>32.180156657963444</v>
      </c>
      <c r="G645">
        <v>0</v>
      </c>
      <c r="H645">
        <v>0</v>
      </c>
      <c r="I645" s="1" t="s">
        <v>178</v>
      </c>
      <c r="J645">
        <v>56.495800000000003</v>
      </c>
      <c r="K645" s="1" t="s">
        <v>48</v>
      </c>
      <c r="L645" s="1" t="s">
        <v>14</v>
      </c>
      <c r="M645">
        <v>1</v>
      </c>
      <c r="N645">
        <v>0</v>
      </c>
      <c r="O645">
        <v>0</v>
      </c>
      <c r="P645" t="s">
        <v>1741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f t="shared" si="30"/>
        <v>0</v>
      </c>
      <c r="W645">
        <f t="shared" si="31"/>
        <v>0.5</v>
      </c>
      <c r="X645">
        <f t="shared" si="32"/>
        <v>0.69314718055994529</v>
      </c>
    </row>
    <row r="646" spans="1:24" x14ac:dyDescent="0.25">
      <c r="A646">
        <v>645</v>
      </c>
      <c r="B646">
        <v>1</v>
      </c>
      <c r="C646">
        <v>3</v>
      </c>
      <c r="D646" s="1" t="s">
        <v>1289</v>
      </c>
      <c r="E646">
        <v>1</v>
      </c>
      <c r="F646" s="1">
        <v>21.98581560283688</v>
      </c>
      <c r="G646">
        <v>2</v>
      </c>
      <c r="H646">
        <v>1</v>
      </c>
      <c r="I646" s="1" t="s">
        <v>920</v>
      </c>
      <c r="J646">
        <v>19.258299999999998</v>
      </c>
      <c r="K646" s="1" t="s">
        <v>48</v>
      </c>
      <c r="L646" s="1" t="s">
        <v>18</v>
      </c>
      <c r="M646">
        <v>0</v>
      </c>
      <c r="N646">
        <v>1</v>
      </c>
      <c r="O646">
        <v>0</v>
      </c>
      <c r="P646" t="s">
        <v>1739</v>
      </c>
      <c r="Q646">
        <v>1</v>
      </c>
      <c r="R646">
        <v>0</v>
      </c>
      <c r="S646">
        <v>0</v>
      </c>
      <c r="T646">
        <v>0</v>
      </c>
      <c r="U646">
        <v>0</v>
      </c>
      <c r="V646">
        <f t="shared" si="30"/>
        <v>0.87219584275330231</v>
      </c>
      <c r="W646">
        <f t="shared" si="31"/>
        <v>0.70520240168703408</v>
      </c>
      <c r="X646">
        <f t="shared" si="32"/>
        <v>0.34927042278209691</v>
      </c>
    </row>
    <row r="647" spans="1:24" x14ac:dyDescent="0.25">
      <c r="A647">
        <v>646</v>
      </c>
      <c r="B647">
        <v>1</v>
      </c>
      <c r="C647">
        <v>1</v>
      </c>
      <c r="D647" s="1" t="s">
        <v>1290</v>
      </c>
      <c r="E647">
        <v>0</v>
      </c>
      <c r="F647">
        <v>48</v>
      </c>
      <c r="G647">
        <v>1</v>
      </c>
      <c r="H647">
        <v>0</v>
      </c>
      <c r="I647" s="1" t="s">
        <v>129</v>
      </c>
      <c r="J647">
        <v>76.729200000000006</v>
      </c>
      <c r="K647" s="1" t="s">
        <v>130</v>
      </c>
      <c r="L647" s="1" t="s">
        <v>18</v>
      </c>
      <c r="M647">
        <v>0</v>
      </c>
      <c r="N647">
        <v>1</v>
      </c>
      <c r="O647">
        <v>0</v>
      </c>
      <c r="P647" t="s">
        <v>1741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f t="shared" si="30"/>
        <v>0</v>
      </c>
      <c r="W647">
        <f t="shared" si="31"/>
        <v>0.5</v>
      </c>
      <c r="X647">
        <f t="shared" si="32"/>
        <v>0.69314718055994529</v>
      </c>
    </row>
    <row r="648" spans="1:24" x14ac:dyDescent="0.25">
      <c r="A648">
        <v>647</v>
      </c>
      <c r="B648">
        <v>0</v>
      </c>
      <c r="C648">
        <v>3</v>
      </c>
      <c r="D648" s="1" t="s">
        <v>1291</v>
      </c>
      <c r="E648">
        <v>0</v>
      </c>
      <c r="F648">
        <v>19</v>
      </c>
      <c r="G648">
        <v>0</v>
      </c>
      <c r="H648">
        <v>0</v>
      </c>
      <c r="I648" s="1" t="s">
        <v>1292</v>
      </c>
      <c r="J648">
        <v>7.8958000000000004</v>
      </c>
      <c r="K648" s="1" t="s">
        <v>48</v>
      </c>
      <c r="L648" s="1" t="s">
        <v>14</v>
      </c>
      <c r="M648">
        <v>1</v>
      </c>
      <c r="N648">
        <v>0</v>
      </c>
      <c r="O648">
        <v>0</v>
      </c>
      <c r="P648" t="s">
        <v>1741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f t="shared" si="30"/>
        <v>0</v>
      </c>
      <c r="W648">
        <f t="shared" si="31"/>
        <v>0.5</v>
      </c>
      <c r="X648">
        <f t="shared" si="32"/>
        <v>0.69314718055994529</v>
      </c>
    </row>
    <row r="649" spans="1:24" x14ac:dyDescent="0.25">
      <c r="A649">
        <v>648</v>
      </c>
      <c r="B649">
        <v>1</v>
      </c>
      <c r="C649">
        <v>1</v>
      </c>
      <c r="D649" s="1" t="s">
        <v>1293</v>
      </c>
      <c r="E649">
        <v>0</v>
      </c>
      <c r="F649">
        <v>56</v>
      </c>
      <c r="G649">
        <v>0</v>
      </c>
      <c r="H649">
        <v>0</v>
      </c>
      <c r="I649" s="1" t="s">
        <v>1294</v>
      </c>
      <c r="J649">
        <v>35.5</v>
      </c>
      <c r="K649" s="1" t="s">
        <v>1295</v>
      </c>
      <c r="L649" s="1" t="s">
        <v>18</v>
      </c>
      <c r="M649">
        <v>0</v>
      </c>
      <c r="N649">
        <v>1</v>
      </c>
      <c r="O649">
        <v>0</v>
      </c>
      <c r="P649" t="s">
        <v>1753</v>
      </c>
      <c r="Q649">
        <v>0</v>
      </c>
      <c r="R649">
        <v>0</v>
      </c>
      <c r="S649">
        <v>0</v>
      </c>
      <c r="T649">
        <v>0</v>
      </c>
      <c r="U649">
        <v>1</v>
      </c>
      <c r="V649">
        <f t="shared" si="30"/>
        <v>0</v>
      </c>
      <c r="W649">
        <f t="shared" si="31"/>
        <v>0.5</v>
      </c>
      <c r="X649">
        <f t="shared" si="32"/>
        <v>0.69314718055994529</v>
      </c>
    </row>
    <row r="650" spans="1:24" x14ac:dyDescent="0.25">
      <c r="A650">
        <v>649</v>
      </c>
      <c r="B650">
        <v>0</v>
      </c>
      <c r="C650">
        <v>3</v>
      </c>
      <c r="D650" s="1" t="s">
        <v>1296</v>
      </c>
      <c r="E650">
        <v>0</v>
      </c>
      <c r="F650" s="1">
        <v>32.180156657963444</v>
      </c>
      <c r="G650">
        <v>0</v>
      </c>
      <c r="H650">
        <v>0</v>
      </c>
      <c r="I650" s="1" t="s">
        <v>1297</v>
      </c>
      <c r="J650">
        <v>7.55</v>
      </c>
      <c r="K650" s="1" t="s">
        <v>48</v>
      </c>
      <c r="L650" s="1" t="s">
        <v>14</v>
      </c>
      <c r="M650">
        <v>1</v>
      </c>
      <c r="N650">
        <v>0</v>
      </c>
      <c r="O650">
        <v>0</v>
      </c>
      <c r="P650" t="s">
        <v>1741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f t="shared" si="30"/>
        <v>0</v>
      </c>
      <c r="W650">
        <f t="shared" si="31"/>
        <v>0.5</v>
      </c>
      <c r="X650">
        <f t="shared" si="32"/>
        <v>0.69314718055994529</v>
      </c>
    </row>
    <row r="651" spans="1:24" x14ac:dyDescent="0.25">
      <c r="A651">
        <v>650</v>
      </c>
      <c r="B651">
        <v>1</v>
      </c>
      <c r="C651">
        <v>3</v>
      </c>
      <c r="D651" s="1" t="s">
        <v>1298</v>
      </c>
      <c r="E651">
        <v>1</v>
      </c>
      <c r="F651">
        <v>23</v>
      </c>
      <c r="G651">
        <v>0</v>
      </c>
      <c r="H651">
        <v>0</v>
      </c>
      <c r="I651" s="1" t="s">
        <v>1299</v>
      </c>
      <c r="J651">
        <v>7.55</v>
      </c>
      <c r="K651" s="1" t="s">
        <v>48</v>
      </c>
      <c r="L651" s="1" t="s">
        <v>14</v>
      </c>
      <c r="M651">
        <v>1</v>
      </c>
      <c r="N651">
        <v>0</v>
      </c>
      <c r="O651">
        <v>0</v>
      </c>
      <c r="P651" t="s">
        <v>1739</v>
      </c>
      <c r="Q651">
        <v>1</v>
      </c>
      <c r="R651">
        <v>0</v>
      </c>
      <c r="S651">
        <v>0</v>
      </c>
      <c r="T651">
        <v>0</v>
      </c>
      <c r="U651">
        <v>0</v>
      </c>
      <c r="V651">
        <f t="shared" si="30"/>
        <v>0.87219584275330231</v>
      </c>
      <c r="W651">
        <f t="shared" si="31"/>
        <v>0.70520240168703408</v>
      </c>
      <c r="X651">
        <f t="shared" si="32"/>
        <v>0.34927042278209691</v>
      </c>
    </row>
    <row r="652" spans="1:24" x14ac:dyDescent="0.25">
      <c r="A652">
        <v>651</v>
      </c>
      <c r="B652">
        <v>0</v>
      </c>
      <c r="C652">
        <v>3</v>
      </c>
      <c r="D652" s="1" t="s">
        <v>1300</v>
      </c>
      <c r="E652">
        <v>0</v>
      </c>
      <c r="F652" s="1">
        <v>32.180156657963444</v>
      </c>
      <c r="G652">
        <v>0</v>
      </c>
      <c r="H652">
        <v>0</v>
      </c>
      <c r="I652" s="1" t="s">
        <v>1301</v>
      </c>
      <c r="J652">
        <v>7.8958000000000004</v>
      </c>
      <c r="K652" s="1" t="s">
        <v>48</v>
      </c>
      <c r="L652" s="1" t="s">
        <v>14</v>
      </c>
      <c r="M652">
        <v>1</v>
      </c>
      <c r="N652">
        <v>0</v>
      </c>
      <c r="O652">
        <v>0</v>
      </c>
      <c r="P652" t="s">
        <v>1741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f t="shared" si="30"/>
        <v>0</v>
      </c>
      <c r="W652">
        <f t="shared" si="31"/>
        <v>0.5</v>
      </c>
      <c r="X652">
        <f t="shared" si="32"/>
        <v>0.69314718055994529</v>
      </c>
    </row>
    <row r="653" spans="1:24" x14ac:dyDescent="0.25">
      <c r="A653">
        <v>652</v>
      </c>
      <c r="B653">
        <v>1</v>
      </c>
      <c r="C653">
        <v>2</v>
      </c>
      <c r="D653" s="1" t="s">
        <v>1302</v>
      </c>
      <c r="E653">
        <v>1</v>
      </c>
      <c r="F653">
        <v>18</v>
      </c>
      <c r="G653">
        <v>0</v>
      </c>
      <c r="H653">
        <v>1</v>
      </c>
      <c r="I653" s="1" t="s">
        <v>229</v>
      </c>
      <c r="J653">
        <v>23</v>
      </c>
      <c r="K653" s="1" t="s">
        <v>48</v>
      </c>
      <c r="L653" s="1" t="s">
        <v>14</v>
      </c>
      <c r="M653">
        <v>1</v>
      </c>
      <c r="N653">
        <v>0</v>
      </c>
      <c r="O653">
        <v>0</v>
      </c>
      <c r="P653" t="s">
        <v>1739</v>
      </c>
      <c r="Q653">
        <v>1</v>
      </c>
      <c r="R653">
        <v>0</v>
      </c>
      <c r="S653">
        <v>0</v>
      </c>
      <c r="T653">
        <v>0</v>
      </c>
      <c r="U653">
        <v>0</v>
      </c>
      <c r="V653">
        <f t="shared" si="30"/>
        <v>0.87219584275330231</v>
      </c>
      <c r="W653">
        <f t="shared" si="31"/>
        <v>0.70520240168703408</v>
      </c>
      <c r="X653">
        <f t="shared" si="32"/>
        <v>0.34927042278209691</v>
      </c>
    </row>
    <row r="654" spans="1:24" x14ac:dyDescent="0.25">
      <c r="A654">
        <v>653</v>
      </c>
      <c r="B654">
        <v>0</v>
      </c>
      <c r="C654">
        <v>3</v>
      </c>
      <c r="D654" s="1" t="s">
        <v>1303</v>
      </c>
      <c r="E654">
        <v>0</v>
      </c>
      <c r="F654">
        <v>21</v>
      </c>
      <c r="G654">
        <v>0</v>
      </c>
      <c r="H654">
        <v>0</v>
      </c>
      <c r="I654" s="1" t="s">
        <v>1304</v>
      </c>
      <c r="J654">
        <v>8.4332999999999991</v>
      </c>
      <c r="K654" s="1" t="s">
        <v>48</v>
      </c>
      <c r="L654" s="1" t="s">
        <v>14</v>
      </c>
      <c r="M654">
        <v>1</v>
      </c>
      <c r="N654">
        <v>0</v>
      </c>
      <c r="O654">
        <v>0</v>
      </c>
      <c r="P654" t="s">
        <v>1741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f t="shared" si="30"/>
        <v>0</v>
      </c>
      <c r="W654">
        <f t="shared" si="31"/>
        <v>0.5</v>
      </c>
      <c r="X654">
        <f t="shared" si="32"/>
        <v>0.69314718055994529</v>
      </c>
    </row>
    <row r="655" spans="1:24" x14ac:dyDescent="0.25">
      <c r="A655">
        <v>654</v>
      </c>
      <c r="B655">
        <v>1</v>
      </c>
      <c r="C655">
        <v>3</v>
      </c>
      <c r="D655" s="1" t="s">
        <v>1305</v>
      </c>
      <c r="E655">
        <v>1</v>
      </c>
      <c r="F655" s="1">
        <v>21.98581560283688</v>
      </c>
      <c r="G655">
        <v>0</v>
      </c>
      <c r="H655">
        <v>0</v>
      </c>
      <c r="I655" s="1" t="s">
        <v>1306</v>
      </c>
      <c r="J655">
        <v>7.8292000000000002</v>
      </c>
      <c r="K655" s="1" t="s">
        <v>48</v>
      </c>
      <c r="L655" s="1" t="s">
        <v>28</v>
      </c>
      <c r="M655">
        <v>0</v>
      </c>
      <c r="N655">
        <v>0</v>
      </c>
      <c r="O655">
        <v>1</v>
      </c>
      <c r="P655" t="s">
        <v>1739</v>
      </c>
      <c r="Q655">
        <v>1</v>
      </c>
      <c r="R655">
        <v>0</v>
      </c>
      <c r="S655">
        <v>0</v>
      </c>
      <c r="T655">
        <v>0</v>
      </c>
      <c r="U655">
        <v>0</v>
      </c>
      <c r="V655">
        <f t="shared" si="30"/>
        <v>0.87219584275330231</v>
      </c>
      <c r="W655">
        <f t="shared" si="31"/>
        <v>0.70520240168703408</v>
      </c>
      <c r="X655">
        <f t="shared" si="32"/>
        <v>0.34927042278209691</v>
      </c>
    </row>
    <row r="656" spans="1:24" x14ac:dyDescent="0.25">
      <c r="A656">
        <v>655</v>
      </c>
      <c r="B656">
        <v>0</v>
      </c>
      <c r="C656">
        <v>3</v>
      </c>
      <c r="D656" s="1" t="s">
        <v>1307</v>
      </c>
      <c r="E656">
        <v>1</v>
      </c>
      <c r="F656">
        <v>18</v>
      </c>
      <c r="G656">
        <v>0</v>
      </c>
      <c r="H656">
        <v>0</v>
      </c>
      <c r="I656" s="1" t="s">
        <v>1308</v>
      </c>
      <c r="J656">
        <v>6.75</v>
      </c>
      <c r="K656" s="1" t="s">
        <v>48</v>
      </c>
      <c r="L656" s="1" t="s">
        <v>28</v>
      </c>
      <c r="M656">
        <v>0</v>
      </c>
      <c r="N656">
        <v>0</v>
      </c>
      <c r="O656">
        <v>1</v>
      </c>
      <c r="P656" t="s">
        <v>1739</v>
      </c>
      <c r="Q656">
        <v>1</v>
      </c>
      <c r="R656">
        <v>0</v>
      </c>
      <c r="S656">
        <v>0</v>
      </c>
      <c r="T656">
        <v>0</v>
      </c>
      <c r="U656">
        <v>0</v>
      </c>
      <c r="V656">
        <f t="shared" si="30"/>
        <v>0.87219584275330231</v>
      </c>
      <c r="W656">
        <f t="shared" si="31"/>
        <v>0.70520240168703408</v>
      </c>
      <c r="X656">
        <f t="shared" si="32"/>
        <v>1.2214662655353992</v>
      </c>
    </row>
    <row r="657" spans="1:24" x14ac:dyDescent="0.25">
      <c r="A657">
        <v>656</v>
      </c>
      <c r="B657">
        <v>0</v>
      </c>
      <c r="C657">
        <v>2</v>
      </c>
      <c r="D657" s="1" t="s">
        <v>1309</v>
      </c>
      <c r="E657">
        <v>0</v>
      </c>
      <c r="F657">
        <v>24</v>
      </c>
      <c r="G657">
        <v>2</v>
      </c>
      <c r="H657">
        <v>0</v>
      </c>
      <c r="I657" s="1" t="s">
        <v>174</v>
      </c>
      <c r="J657">
        <v>73.5</v>
      </c>
      <c r="K657" s="1" t="s">
        <v>48</v>
      </c>
      <c r="L657" s="1" t="s">
        <v>14</v>
      </c>
      <c r="M657">
        <v>1</v>
      </c>
      <c r="N657">
        <v>0</v>
      </c>
      <c r="O657">
        <v>0</v>
      </c>
      <c r="P657" t="s">
        <v>1741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f t="shared" si="30"/>
        <v>0</v>
      </c>
      <c r="W657">
        <f t="shared" si="31"/>
        <v>0.5</v>
      </c>
      <c r="X657">
        <f t="shared" si="32"/>
        <v>0.69314718055994529</v>
      </c>
    </row>
    <row r="658" spans="1:24" x14ac:dyDescent="0.25">
      <c r="A658">
        <v>657</v>
      </c>
      <c r="B658">
        <v>0</v>
      </c>
      <c r="C658">
        <v>3</v>
      </c>
      <c r="D658" s="1" t="s">
        <v>1310</v>
      </c>
      <c r="E658">
        <v>0</v>
      </c>
      <c r="F658" s="1">
        <v>32.180156657963444</v>
      </c>
      <c r="G658">
        <v>0</v>
      </c>
      <c r="H658">
        <v>0</v>
      </c>
      <c r="I658" s="1" t="s">
        <v>1311</v>
      </c>
      <c r="J658">
        <v>7.8958000000000004</v>
      </c>
      <c r="K658" s="1" t="s">
        <v>48</v>
      </c>
      <c r="L658" s="1" t="s">
        <v>14</v>
      </c>
      <c r="M658">
        <v>1</v>
      </c>
      <c r="N658">
        <v>0</v>
      </c>
      <c r="O658">
        <v>0</v>
      </c>
      <c r="P658" t="s">
        <v>1741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f t="shared" si="30"/>
        <v>0</v>
      </c>
      <c r="W658">
        <f t="shared" si="31"/>
        <v>0.5</v>
      </c>
      <c r="X658">
        <f t="shared" si="32"/>
        <v>0.69314718055994529</v>
      </c>
    </row>
    <row r="659" spans="1:24" x14ac:dyDescent="0.25">
      <c r="A659">
        <v>658</v>
      </c>
      <c r="B659">
        <v>0</v>
      </c>
      <c r="C659">
        <v>3</v>
      </c>
      <c r="D659" s="1" t="s">
        <v>1312</v>
      </c>
      <c r="E659">
        <v>1</v>
      </c>
      <c r="F659">
        <v>32</v>
      </c>
      <c r="G659">
        <v>1</v>
      </c>
      <c r="H659">
        <v>1</v>
      </c>
      <c r="I659" s="1" t="s">
        <v>409</v>
      </c>
      <c r="J659">
        <v>15.5</v>
      </c>
      <c r="K659" s="1" t="s">
        <v>48</v>
      </c>
      <c r="L659" s="1" t="s">
        <v>28</v>
      </c>
      <c r="M659">
        <v>0</v>
      </c>
      <c r="N659">
        <v>0</v>
      </c>
      <c r="O659">
        <v>1</v>
      </c>
      <c r="P659" t="s">
        <v>1740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f t="shared" si="30"/>
        <v>1.3618761518134992</v>
      </c>
      <c r="W659">
        <f t="shared" si="31"/>
        <v>0.79606445234832413</v>
      </c>
      <c r="X659">
        <f t="shared" si="32"/>
        <v>1.5899512779423304</v>
      </c>
    </row>
    <row r="660" spans="1:24" x14ac:dyDescent="0.25">
      <c r="A660">
        <v>659</v>
      </c>
      <c r="B660">
        <v>0</v>
      </c>
      <c r="C660">
        <v>2</v>
      </c>
      <c r="D660" s="1" t="s">
        <v>1313</v>
      </c>
      <c r="E660">
        <v>0</v>
      </c>
      <c r="F660">
        <v>23</v>
      </c>
      <c r="G660">
        <v>0</v>
      </c>
      <c r="H660">
        <v>0</v>
      </c>
      <c r="I660" s="1" t="s">
        <v>1314</v>
      </c>
      <c r="J660">
        <v>13</v>
      </c>
      <c r="K660" s="1" t="s">
        <v>48</v>
      </c>
      <c r="L660" s="1" t="s">
        <v>14</v>
      </c>
      <c r="M660">
        <v>1</v>
      </c>
      <c r="N660">
        <v>0</v>
      </c>
      <c r="O660">
        <v>0</v>
      </c>
      <c r="P660" t="s">
        <v>1741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f t="shared" si="30"/>
        <v>0</v>
      </c>
      <c r="W660">
        <f t="shared" si="31"/>
        <v>0.5</v>
      </c>
      <c r="X660">
        <f t="shared" si="32"/>
        <v>0.69314718055994529</v>
      </c>
    </row>
    <row r="661" spans="1:24" x14ac:dyDescent="0.25">
      <c r="A661">
        <v>660</v>
      </c>
      <c r="B661">
        <v>0</v>
      </c>
      <c r="C661">
        <v>1</v>
      </c>
      <c r="D661" s="1" t="s">
        <v>1315</v>
      </c>
      <c r="E661">
        <v>0</v>
      </c>
      <c r="F661">
        <v>58</v>
      </c>
      <c r="G661">
        <v>0</v>
      </c>
      <c r="H661">
        <v>2</v>
      </c>
      <c r="I661" s="1" t="s">
        <v>462</v>
      </c>
      <c r="J661">
        <v>113.27500000000001</v>
      </c>
      <c r="K661" s="1" t="s">
        <v>1316</v>
      </c>
      <c r="L661" s="1" t="s">
        <v>18</v>
      </c>
      <c r="M661">
        <v>0</v>
      </c>
      <c r="N661">
        <v>1</v>
      </c>
      <c r="O661">
        <v>0</v>
      </c>
      <c r="P661" t="s">
        <v>1741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f t="shared" si="30"/>
        <v>0</v>
      </c>
      <c r="W661">
        <f t="shared" si="31"/>
        <v>0.5</v>
      </c>
      <c r="X661">
        <f t="shared" si="32"/>
        <v>0.69314718055994529</v>
      </c>
    </row>
    <row r="662" spans="1:24" x14ac:dyDescent="0.25">
      <c r="A662">
        <v>661</v>
      </c>
      <c r="B662">
        <v>1</v>
      </c>
      <c r="C662">
        <v>1</v>
      </c>
      <c r="D662" s="1" t="s">
        <v>1317</v>
      </c>
      <c r="E662">
        <v>0</v>
      </c>
      <c r="F662">
        <v>50</v>
      </c>
      <c r="G662">
        <v>2</v>
      </c>
      <c r="H662">
        <v>0</v>
      </c>
      <c r="I662" s="1" t="s">
        <v>708</v>
      </c>
      <c r="J662">
        <v>133.65</v>
      </c>
      <c r="K662" s="1" t="s">
        <v>48</v>
      </c>
      <c r="L662" s="1" t="s">
        <v>14</v>
      </c>
      <c r="M662">
        <v>1</v>
      </c>
      <c r="N662">
        <v>0</v>
      </c>
      <c r="O662">
        <v>0</v>
      </c>
      <c r="P662" t="s">
        <v>1746</v>
      </c>
      <c r="Q662">
        <v>0</v>
      </c>
      <c r="R662">
        <v>0</v>
      </c>
      <c r="S662">
        <v>0</v>
      </c>
      <c r="T662">
        <v>0</v>
      </c>
      <c r="U662">
        <v>1</v>
      </c>
      <c r="V662">
        <f t="shared" si="30"/>
        <v>0</v>
      </c>
      <c r="W662">
        <f t="shared" si="31"/>
        <v>0.5</v>
      </c>
      <c r="X662">
        <f t="shared" si="32"/>
        <v>0.69314718055994529</v>
      </c>
    </row>
    <row r="663" spans="1:24" x14ac:dyDescent="0.25">
      <c r="A663">
        <v>662</v>
      </c>
      <c r="B663">
        <v>0</v>
      </c>
      <c r="C663">
        <v>3</v>
      </c>
      <c r="D663" s="1" t="s">
        <v>1318</v>
      </c>
      <c r="E663">
        <v>0</v>
      </c>
      <c r="F663">
        <v>40</v>
      </c>
      <c r="G663">
        <v>0</v>
      </c>
      <c r="H663">
        <v>0</v>
      </c>
      <c r="I663" s="1" t="s">
        <v>1319</v>
      </c>
      <c r="J663">
        <v>7.2249999999999996</v>
      </c>
      <c r="K663" s="1" t="s">
        <v>48</v>
      </c>
      <c r="L663" s="1" t="s">
        <v>18</v>
      </c>
      <c r="M663">
        <v>0</v>
      </c>
      <c r="N663">
        <v>1</v>
      </c>
      <c r="O663">
        <v>0</v>
      </c>
      <c r="P663" t="s">
        <v>1741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f t="shared" si="30"/>
        <v>0</v>
      </c>
      <c r="W663">
        <f t="shared" si="31"/>
        <v>0.5</v>
      </c>
      <c r="X663">
        <f t="shared" si="32"/>
        <v>0.69314718055994529</v>
      </c>
    </row>
    <row r="664" spans="1:24" x14ac:dyDescent="0.25">
      <c r="A664">
        <v>663</v>
      </c>
      <c r="B664">
        <v>0</v>
      </c>
      <c r="C664">
        <v>1</v>
      </c>
      <c r="D664" s="1" t="s">
        <v>1320</v>
      </c>
      <c r="E664">
        <v>0</v>
      </c>
      <c r="F664">
        <v>47</v>
      </c>
      <c r="G664">
        <v>0</v>
      </c>
      <c r="H664">
        <v>0</v>
      </c>
      <c r="I664" s="1" t="s">
        <v>1321</v>
      </c>
      <c r="J664">
        <v>25.587499999999999</v>
      </c>
      <c r="K664" s="1" t="s">
        <v>1322</v>
      </c>
      <c r="L664" s="1" t="s">
        <v>14</v>
      </c>
      <c r="M664">
        <v>1</v>
      </c>
      <c r="N664">
        <v>0</v>
      </c>
      <c r="O664">
        <v>0</v>
      </c>
      <c r="P664" t="s">
        <v>1741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f t="shared" si="30"/>
        <v>0</v>
      </c>
      <c r="W664">
        <f t="shared" si="31"/>
        <v>0.5</v>
      </c>
      <c r="X664">
        <f t="shared" si="32"/>
        <v>0.69314718055994529</v>
      </c>
    </row>
    <row r="665" spans="1:24" x14ac:dyDescent="0.25">
      <c r="A665">
        <v>664</v>
      </c>
      <c r="B665">
        <v>0</v>
      </c>
      <c r="C665">
        <v>3</v>
      </c>
      <c r="D665" s="1" t="s">
        <v>1323</v>
      </c>
      <c r="E665">
        <v>0</v>
      </c>
      <c r="F665">
        <v>36</v>
      </c>
      <c r="G665">
        <v>0</v>
      </c>
      <c r="H665">
        <v>0</v>
      </c>
      <c r="I665" s="1" t="s">
        <v>1324</v>
      </c>
      <c r="J665">
        <v>7.4958</v>
      </c>
      <c r="K665" s="1" t="s">
        <v>48</v>
      </c>
      <c r="L665" s="1" t="s">
        <v>14</v>
      </c>
      <c r="M665">
        <v>1</v>
      </c>
      <c r="N665">
        <v>0</v>
      </c>
      <c r="O665">
        <v>0</v>
      </c>
      <c r="P665" t="s">
        <v>1741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f t="shared" si="30"/>
        <v>0</v>
      </c>
      <c r="W665">
        <f t="shared" si="31"/>
        <v>0.5</v>
      </c>
      <c r="X665">
        <f t="shared" si="32"/>
        <v>0.69314718055994529</v>
      </c>
    </row>
    <row r="666" spans="1:24" x14ac:dyDescent="0.25">
      <c r="A666">
        <v>665</v>
      </c>
      <c r="B666">
        <v>1</v>
      </c>
      <c r="C666">
        <v>3</v>
      </c>
      <c r="D666" s="1" t="s">
        <v>1325</v>
      </c>
      <c r="E666">
        <v>0</v>
      </c>
      <c r="F666">
        <v>20</v>
      </c>
      <c r="G666">
        <v>1</v>
      </c>
      <c r="H666">
        <v>0</v>
      </c>
      <c r="I666" s="1" t="s">
        <v>1326</v>
      </c>
      <c r="J666">
        <v>7.9249999999999998</v>
      </c>
      <c r="K666" s="1" t="s">
        <v>48</v>
      </c>
      <c r="L666" s="1" t="s">
        <v>14</v>
      </c>
      <c r="M666">
        <v>1</v>
      </c>
      <c r="N666">
        <v>0</v>
      </c>
      <c r="O666">
        <v>0</v>
      </c>
      <c r="P666" t="s">
        <v>1741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f t="shared" si="30"/>
        <v>0</v>
      </c>
      <c r="W666">
        <f t="shared" si="31"/>
        <v>0.5</v>
      </c>
      <c r="X666">
        <f t="shared" si="32"/>
        <v>0.69314718055994529</v>
      </c>
    </row>
    <row r="667" spans="1:24" x14ac:dyDescent="0.25">
      <c r="A667">
        <v>666</v>
      </c>
      <c r="B667">
        <v>0</v>
      </c>
      <c r="C667">
        <v>2</v>
      </c>
      <c r="D667" s="1" t="s">
        <v>1327</v>
      </c>
      <c r="E667">
        <v>0</v>
      </c>
      <c r="F667">
        <v>32</v>
      </c>
      <c r="G667">
        <v>2</v>
      </c>
      <c r="H667">
        <v>0</v>
      </c>
      <c r="I667" s="1" t="s">
        <v>174</v>
      </c>
      <c r="J667">
        <v>73.5</v>
      </c>
      <c r="K667" s="1" t="s">
        <v>48</v>
      </c>
      <c r="L667" s="1" t="s">
        <v>14</v>
      </c>
      <c r="M667">
        <v>1</v>
      </c>
      <c r="N667">
        <v>0</v>
      </c>
      <c r="O667">
        <v>0</v>
      </c>
      <c r="P667" t="s">
        <v>1741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f t="shared" si="30"/>
        <v>0</v>
      </c>
      <c r="W667">
        <f t="shared" si="31"/>
        <v>0.5</v>
      </c>
      <c r="X667">
        <f t="shared" si="32"/>
        <v>0.69314718055994529</v>
      </c>
    </row>
    <row r="668" spans="1:24" x14ac:dyDescent="0.25">
      <c r="A668">
        <v>667</v>
      </c>
      <c r="B668">
        <v>0</v>
      </c>
      <c r="C668">
        <v>2</v>
      </c>
      <c r="D668" s="1" t="s">
        <v>1328</v>
      </c>
      <c r="E668">
        <v>0</v>
      </c>
      <c r="F668">
        <v>25</v>
      </c>
      <c r="G668">
        <v>0</v>
      </c>
      <c r="H668">
        <v>0</v>
      </c>
      <c r="I668" s="1" t="s">
        <v>1329</v>
      </c>
      <c r="J668">
        <v>13</v>
      </c>
      <c r="K668" s="1" t="s">
        <v>48</v>
      </c>
      <c r="L668" s="1" t="s">
        <v>14</v>
      </c>
      <c r="M668">
        <v>1</v>
      </c>
      <c r="N668">
        <v>0</v>
      </c>
      <c r="O668">
        <v>0</v>
      </c>
      <c r="P668" t="s">
        <v>1741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f t="shared" si="30"/>
        <v>0</v>
      </c>
      <c r="W668">
        <f t="shared" si="31"/>
        <v>0.5</v>
      </c>
      <c r="X668">
        <f t="shared" si="32"/>
        <v>0.69314718055994529</v>
      </c>
    </row>
    <row r="669" spans="1:24" x14ac:dyDescent="0.25">
      <c r="A669">
        <v>668</v>
      </c>
      <c r="B669">
        <v>0</v>
      </c>
      <c r="C669">
        <v>3</v>
      </c>
      <c r="D669" s="1" t="s">
        <v>1330</v>
      </c>
      <c r="E669">
        <v>0</v>
      </c>
      <c r="F669" s="1">
        <v>32.180156657963444</v>
      </c>
      <c r="G669">
        <v>0</v>
      </c>
      <c r="H669">
        <v>0</v>
      </c>
      <c r="I669" s="1" t="s">
        <v>1331</v>
      </c>
      <c r="J669">
        <v>7.7750000000000004</v>
      </c>
      <c r="K669" s="1" t="s">
        <v>48</v>
      </c>
      <c r="L669" s="1" t="s">
        <v>14</v>
      </c>
      <c r="M669">
        <v>1</v>
      </c>
      <c r="N669">
        <v>0</v>
      </c>
      <c r="O669">
        <v>0</v>
      </c>
      <c r="P669" t="s">
        <v>1741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f t="shared" si="30"/>
        <v>0</v>
      </c>
      <c r="W669">
        <f t="shared" si="31"/>
        <v>0.5</v>
      </c>
      <c r="X669">
        <f t="shared" si="32"/>
        <v>0.69314718055994529</v>
      </c>
    </row>
    <row r="670" spans="1:24" x14ac:dyDescent="0.25">
      <c r="A670">
        <v>669</v>
      </c>
      <c r="B670">
        <v>0</v>
      </c>
      <c r="C670">
        <v>3</v>
      </c>
      <c r="D670" s="1" t="s">
        <v>1332</v>
      </c>
      <c r="E670">
        <v>0</v>
      </c>
      <c r="F670">
        <v>43</v>
      </c>
      <c r="G670">
        <v>0</v>
      </c>
      <c r="H670">
        <v>0</v>
      </c>
      <c r="I670" s="1" t="s">
        <v>1333</v>
      </c>
      <c r="J670">
        <v>8.0500000000000007</v>
      </c>
      <c r="K670" s="1" t="s">
        <v>48</v>
      </c>
      <c r="L670" s="1" t="s">
        <v>14</v>
      </c>
      <c r="M670">
        <v>1</v>
      </c>
      <c r="N670">
        <v>0</v>
      </c>
      <c r="O670">
        <v>0</v>
      </c>
      <c r="P670" t="s">
        <v>1741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f t="shared" si="30"/>
        <v>0</v>
      </c>
      <c r="W670">
        <f t="shared" si="31"/>
        <v>0.5</v>
      </c>
      <c r="X670">
        <f t="shared" si="32"/>
        <v>0.69314718055994529</v>
      </c>
    </row>
    <row r="671" spans="1:24" x14ac:dyDescent="0.25">
      <c r="A671">
        <v>670</v>
      </c>
      <c r="B671">
        <v>1</v>
      </c>
      <c r="C671">
        <v>1</v>
      </c>
      <c r="D671" s="1" t="s">
        <v>1334</v>
      </c>
      <c r="E671">
        <v>1</v>
      </c>
      <c r="F671" s="1">
        <v>35.898148148148145</v>
      </c>
      <c r="G671">
        <v>1</v>
      </c>
      <c r="H671">
        <v>0</v>
      </c>
      <c r="I671" s="1" t="s">
        <v>1335</v>
      </c>
      <c r="J671">
        <v>52</v>
      </c>
      <c r="K671" s="1" t="s">
        <v>1336</v>
      </c>
      <c r="L671" s="1" t="s">
        <v>14</v>
      </c>
      <c r="M671">
        <v>1</v>
      </c>
      <c r="N671">
        <v>0</v>
      </c>
      <c r="O671">
        <v>0</v>
      </c>
      <c r="P671" t="s">
        <v>1740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f t="shared" si="30"/>
        <v>1.3618761518134992</v>
      </c>
      <c r="W671">
        <f t="shared" si="31"/>
        <v>0.79606445234832413</v>
      </c>
      <c r="X671">
        <f t="shared" si="32"/>
        <v>0.22807512612883141</v>
      </c>
    </row>
    <row r="672" spans="1:24" x14ac:dyDescent="0.25">
      <c r="A672">
        <v>671</v>
      </c>
      <c r="B672">
        <v>1</v>
      </c>
      <c r="C672">
        <v>2</v>
      </c>
      <c r="D672" s="1" t="s">
        <v>1337</v>
      </c>
      <c r="E672">
        <v>1</v>
      </c>
      <c r="F672">
        <v>40</v>
      </c>
      <c r="G672">
        <v>1</v>
      </c>
      <c r="H672">
        <v>1</v>
      </c>
      <c r="I672" s="1" t="s">
        <v>1338</v>
      </c>
      <c r="J672">
        <v>39</v>
      </c>
      <c r="K672" s="1" t="s">
        <v>48</v>
      </c>
      <c r="L672" s="1" t="s">
        <v>14</v>
      </c>
      <c r="M672">
        <v>1</v>
      </c>
      <c r="N672">
        <v>0</v>
      </c>
      <c r="O672">
        <v>0</v>
      </c>
      <c r="P672" t="s">
        <v>1740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f t="shared" si="30"/>
        <v>1.3618761518134992</v>
      </c>
      <c r="W672">
        <f t="shared" si="31"/>
        <v>0.79606445234832413</v>
      </c>
      <c r="X672">
        <f t="shared" si="32"/>
        <v>0.22807512612883141</v>
      </c>
    </row>
    <row r="673" spans="1:24" x14ac:dyDescent="0.25">
      <c r="A673">
        <v>672</v>
      </c>
      <c r="B673">
        <v>0</v>
      </c>
      <c r="C673">
        <v>1</v>
      </c>
      <c r="D673" s="1" t="s">
        <v>1339</v>
      </c>
      <c r="E673">
        <v>0</v>
      </c>
      <c r="F673">
        <v>31</v>
      </c>
      <c r="G673">
        <v>1</v>
      </c>
      <c r="H673">
        <v>0</v>
      </c>
      <c r="I673" s="1" t="s">
        <v>1340</v>
      </c>
      <c r="J673">
        <v>52</v>
      </c>
      <c r="K673" s="1" t="s">
        <v>1341</v>
      </c>
      <c r="L673" s="1" t="s">
        <v>14</v>
      </c>
      <c r="M673">
        <v>1</v>
      </c>
      <c r="N673">
        <v>0</v>
      </c>
      <c r="O673">
        <v>0</v>
      </c>
      <c r="P673" t="s">
        <v>1741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f t="shared" si="30"/>
        <v>0</v>
      </c>
      <c r="W673">
        <f t="shared" si="31"/>
        <v>0.5</v>
      </c>
      <c r="X673">
        <f t="shared" si="32"/>
        <v>0.69314718055994529</v>
      </c>
    </row>
    <row r="674" spans="1:24" x14ac:dyDescent="0.25">
      <c r="A674">
        <v>673</v>
      </c>
      <c r="B674">
        <v>0</v>
      </c>
      <c r="C674">
        <v>2</v>
      </c>
      <c r="D674" s="1" t="s">
        <v>1342</v>
      </c>
      <c r="E674">
        <v>0</v>
      </c>
      <c r="F674">
        <v>70</v>
      </c>
      <c r="G674">
        <v>0</v>
      </c>
      <c r="H674">
        <v>0</v>
      </c>
      <c r="I674" s="1" t="s">
        <v>1343</v>
      </c>
      <c r="J674">
        <v>10.5</v>
      </c>
      <c r="K674" s="1" t="s">
        <v>48</v>
      </c>
      <c r="L674" s="1" t="s">
        <v>14</v>
      </c>
      <c r="M674">
        <v>1</v>
      </c>
      <c r="N674">
        <v>0</v>
      </c>
      <c r="O674">
        <v>0</v>
      </c>
      <c r="P674" t="s">
        <v>1741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f t="shared" si="30"/>
        <v>0</v>
      </c>
      <c r="W674">
        <f t="shared" si="31"/>
        <v>0.5</v>
      </c>
      <c r="X674">
        <f t="shared" si="32"/>
        <v>0.69314718055994529</v>
      </c>
    </row>
    <row r="675" spans="1:24" x14ac:dyDescent="0.25">
      <c r="A675">
        <v>674</v>
      </c>
      <c r="B675">
        <v>1</v>
      </c>
      <c r="C675">
        <v>2</v>
      </c>
      <c r="D675" s="1" t="s">
        <v>1344</v>
      </c>
      <c r="E675">
        <v>0</v>
      </c>
      <c r="F675">
        <v>31</v>
      </c>
      <c r="G675">
        <v>0</v>
      </c>
      <c r="H675">
        <v>0</v>
      </c>
      <c r="I675" s="1" t="s">
        <v>1345</v>
      </c>
      <c r="J675">
        <v>13</v>
      </c>
      <c r="K675" s="1" t="s">
        <v>48</v>
      </c>
      <c r="L675" s="1" t="s">
        <v>14</v>
      </c>
      <c r="M675">
        <v>1</v>
      </c>
      <c r="N675">
        <v>0</v>
      </c>
      <c r="O675">
        <v>0</v>
      </c>
      <c r="P675" t="s">
        <v>1741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f t="shared" si="30"/>
        <v>0</v>
      </c>
      <c r="W675">
        <f t="shared" si="31"/>
        <v>0.5</v>
      </c>
      <c r="X675">
        <f t="shared" si="32"/>
        <v>0.69314718055994529</v>
      </c>
    </row>
    <row r="676" spans="1:24" x14ac:dyDescent="0.25">
      <c r="A676">
        <v>675</v>
      </c>
      <c r="B676">
        <v>0</v>
      </c>
      <c r="C676">
        <v>2</v>
      </c>
      <c r="D676" s="1" t="s">
        <v>1346</v>
      </c>
      <c r="E676">
        <v>0</v>
      </c>
      <c r="F676" s="1">
        <v>32.180156657963444</v>
      </c>
      <c r="G676">
        <v>0</v>
      </c>
      <c r="H676">
        <v>0</v>
      </c>
      <c r="I676" s="1" t="s">
        <v>1347</v>
      </c>
      <c r="J676">
        <v>0</v>
      </c>
      <c r="K676" s="1" t="s">
        <v>48</v>
      </c>
      <c r="L676" s="1" t="s">
        <v>14</v>
      </c>
      <c r="M676">
        <v>1</v>
      </c>
      <c r="N676">
        <v>0</v>
      </c>
      <c r="O676">
        <v>0</v>
      </c>
      <c r="P676" t="s">
        <v>1741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f t="shared" si="30"/>
        <v>0</v>
      </c>
      <c r="W676">
        <f t="shared" si="31"/>
        <v>0.5</v>
      </c>
      <c r="X676">
        <f t="shared" si="32"/>
        <v>0.69314718055994529</v>
      </c>
    </row>
    <row r="677" spans="1:24" x14ac:dyDescent="0.25">
      <c r="A677">
        <v>676</v>
      </c>
      <c r="B677">
        <v>0</v>
      </c>
      <c r="C677">
        <v>3</v>
      </c>
      <c r="D677" s="1" t="s">
        <v>1348</v>
      </c>
      <c r="E677">
        <v>0</v>
      </c>
      <c r="F677">
        <v>18</v>
      </c>
      <c r="G677">
        <v>0</v>
      </c>
      <c r="H677">
        <v>0</v>
      </c>
      <c r="I677" s="1" t="s">
        <v>1349</v>
      </c>
      <c r="J677">
        <v>7.7750000000000004</v>
      </c>
      <c r="K677" s="1" t="s">
        <v>48</v>
      </c>
      <c r="L677" s="1" t="s">
        <v>14</v>
      </c>
      <c r="M677">
        <v>1</v>
      </c>
      <c r="N677">
        <v>0</v>
      </c>
      <c r="O677">
        <v>0</v>
      </c>
      <c r="P677" t="s">
        <v>1741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f t="shared" si="30"/>
        <v>0</v>
      </c>
      <c r="W677">
        <f t="shared" si="31"/>
        <v>0.5</v>
      </c>
      <c r="X677">
        <f t="shared" si="32"/>
        <v>0.69314718055994529</v>
      </c>
    </row>
    <row r="678" spans="1:24" x14ac:dyDescent="0.25">
      <c r="A678">
        <v>677</v>
      </c>
      <c r="B678">
        <v>0</v>
      </c>
      <c r="C678">
        <v>3</v>
      </c>
      <c r="D678" s="1" t="s">
        <v>1350</v>
      </c>
      <c r="E678">
        <v>0</v>
      </c>
      <c r="F678" s="1">
        <v>32.180156657963444</v>
      </c>
      <c r="G678">
        <v>0</v>
      </c>
      <c r="H678">
        <v>0</v>
      </c>
      <c r="I678" s="1" t="s">
        <v>1351</v>
      </c>
      <c r="J678">
        <v>8.0500000000000007</v>
      </c>
      <c r="K678" s="1" t="s">
        <v>48</v>
      </c>
      <c r="L678" s="1" t="s">
        <v>14</v>
      </c>
      <c r="M678">
        <v>1</v>
      </c>
      <c r="N678">
        <v>0</v>
      </c>
      <c r="O678">
        <v>0</v>
      </c>
      <c r="P678" t="s">
        <v>1741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f t="shared" si="30"/>
        <v>0</v>
      </c>
      <c r="W678">
        <f t="shared" si="31"/>
        <v>0.5</v>
      </c>
      <c r="X678">
        <f t="shared" si="32"/>
        <v>0.69314718055994529</v>
      </c>
    </row>
    <row r="679" spans="1:24" x14ac:dyDescent="0.25">
      <c r="A679">
        <v>678</v>
      </c>
      <c r="B679">
        <v>1</v>
      </c>
      <c r="C679">
        <v>3</v>
      </c>
      <c r="D679" s="1" t="s">
        <v>1352</v>
      </c>
      <c r="E679">
        <v>1</v>
      </c>
      <c r="F679">
        <v>18</v>
      </c>
      <c r="G679">
        <v>0</v>
      </c>
      <c r="H679">
        <v>0</v>
      </c>
      <c r="I679" s="1" t="s">
        <v>1353</v>
      </c>
      <c r="J679">
        <v>9.8416999999999994</v>
      </c>
      <c r="K679" s="1" t="s">
        <v>48</v>
      </c>
      <c r="L679" s="1" t="s">
        <v>14</v>
      </c>
      <c r="M679">
        <v>1</v>
      </c>
      <c r="N679">
        <v>0</v>
      </c>
      <c r="O679">
        <v>0</v>
      </c>
      <c r="P679" t="s">
        <v>1739</v>
      </c>
      <c r="Q679">
        <v>1</v>
      </c>
      <c r="R679">
        <v>0</v>
      </c>
      <c r="S679">
        <v>0</v>
      </c>
      <c r="T679">
        <v>0</v>
      </c>
      <c r="U679">
        <v>0</v>
      </c>
      <c r="V679">
        <f t="shared" si="30"/>
        <v>0.87219584275330231</v>
      </c>
      <c r="W679">
        <f t="shared" si="31"/>
        <v>0.70520240168703408</v>
      </c>
      <c r="X679">
        <f t="shared" si="32"/>
        <v>0.34927042278209691</v>
      </c>
    </row>
    <row r="680" spans="1:24" x14ac:dyDescent="0.25">
      <c r="A680">
        <v>679</v>
      </c>
      <c r="B680">
        <v>0</v>
      </c>
      <c r="C680">
        <v>3</v>
      </c>
      <c r="D680" s="1" t="s">
        <v>1354</v>
      </c>
      <c r="E680">
        <v>1</v>
      </c>
      <c r="F680">
        <v>43</v>
      </c>
      <c r="G680">
        <v>1</v>
      </c>
      <c r="H680">
        <v>6</v>
      </c>
      <c r="I680" s="1" t="s">
        <v>146</v>
      </c>
      <c r="J680">
        <v>46.9</v>
      </c>
      <c r="K680" s="1" t="s">
        <v>48</v>
      </c>
      <c r="L680" s="1" t="s">
        <v>14</v>
      </c>
      <c r="M680">
        <v>1</v>
      </c>
      <c r="N680">
        <v>0</v>
      </c>
      <c r="O680">
        <v>0</v>
      </c>
      <c r="P680" t="s">
        <v>1740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f t="shared" si="30"/>
        <v>1.3618761518134992</v>
      </c>
      <c r="W680">
        <f t="shared" si="31"/>
        <v>0.79606445234832413</v>
      </c>
      <c r="X680">
        <f t="shared" si="32"/>
        <v>1.5899512779423304</v>
      </c>
    </row>
    <row r="681" spans="1:24" x14ac:dyDescent="0.25">
      <c r="A681">
        <v>680</v>
      </c>
      <c r="B681">
        <v>1</v>
      </c>
      <c r="C681">
        <v>1</v>
      </c>
      <c r="D681" s="1" t="s">
        <v>1355</v>
      </c>
      <c r="E681">
        <v>0</v>
      </c>
      <c r="F681">
        <v>36</v>
      </c>
      <c r="G681">
        <v>0</v>
      </c>
      <c r="H681">
        <v>1</v>
      </c>
      <c r="I681" s="1" t="s">
        <v>550</v>
      </c>
      <c r="J681">
        <v>512.32920000000001</v>
      </c>
      <c r="K681" s="1" t="s">
        <v>1356</v>
      </c>
      <c r="L681" s="1" t="s">
        <v>18</v>
      </c>
      <c r="M681">
        <v>0</v>
      </c>
      <c r="N681">
        <v>1</v>
      </c>
      <c r="O681">
        <v>0</v>
      </c>
      <c r="P681" t="s">
        <v>1741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f t="shared" si="30"/>
        <v>0</v>
      </c>
      <c r="W681">
        <f t="shared" si="31"/>
        <v>0.5</v>
      </c>
      <c r="X681">
        <f t="shared" si="32"/>
        <v>0.69314718055994529</v>
      </c>
    </row>
    <row r="682" spans="1:24" x14ac:dyDescent="0.25">
      <c r="A682">
        <v>681</v>
      </c>
      <c r="B682">
        <v>0</v>
      </c>
      <c r="C682">
        <v>3</v>
      </c>
      <c r="D682" s="1" t="s">
        <v>1357</v>
      </c>
      <c r="E682">
        <v>1</v>
      </c>
      <c r="F682" s="1">
        <v>21.98581560283688</v>
      </c>
      <c r="G682">
        <v>0</v>
      </c>
      <c r="H682">
        <v>0</v>
      </c>
      <c r="I682" s="1" t="s">
        <v>1358</v>
      </c>
      <c r="J682">
        <v>8.1374999999999993</v>
      </c>
      <c r="K682" s="1" t="s">
        <v>48</v>
      </c>
      <c r="L682" s="1" t="s">
        <v>28</v>
      </c>
      <c r="M682">
        <v>0</v>
      </c>
      <c r="N682">
        <v>0</v>
      </c>
      <c r="O682">
        <v>1</v>
      </c>
      <c r="P682" t="s">
        <v>1739</v>
      </c>
      <c r="Q682">
        <v>1</v>
      </c>
      <c r="R682">
        <v>0</v>
      </c>
      <c r="S682">
        <v>0</v>
      </c>
      <c r="T682">
        <v>0</v>
      </c>
      <c r="U682">
        <v>0</v>
      </c>
      <c r="V682">
        <f t="shared" si="30"/>
        <v>0.87219584275330231</v>
      </c>
      <c r="W682">
        <f t="shared" si="31"/>
        <v>0.70520240168703408</v>
      </c>
      <c r="X682">
        <f t="shared" si="32"/>
        <v>1.2214662655353992</v>
      </c>
    </row>
    <row r="683" spans="1:24" x14ac:dyDescent="0.25">
      <c r="A683">
        <v>682</v>
      </c>
      <c r="B683">
        <v>1</v>
      </c>
      <c r="C683">
        <v>1</v>
      </c>
      <c r="D683" s="1" t="s">
        <v>1359</v>
      </c>
      <c r="E683">
        <v>0</v>
      </c>
      <c r="F683">
        <v>27</v>
      </c>
      <c r="G683">
        <v>0</v>
      </c>
      <c r="H683">
        <v>0</v>
      </c>
      <c r="I683" s="1" t="s">
        <v>129</v>
      </c>
      <c r="J683">
        <v>76.729200000000006</v>
      </c>
      <c r="K683" s="1" t="s">
        <v>1360</v>
      </c>
      <c r="L683" s="1" t="s">
        <v>18</v>
      </c>
      <c r="M683">
        <v>0</v>
      </c>
      <c r="N683">
        <v>1</v>
      </c>
      <c r="O683">
        <v>0</v>
      </c>
      <c r="P683" t="s">
        <v>1741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f t="shared" si="30"/>
        <v>0</v>
      </c>
      <c r="W683">
        <f t="shared" si="31"/>
        <v>0.5</v>
      </c>
      <c r="X683">
        <f t="shared" si="32"/>
        <v>0.69314718055994529</v>
      </c>
    </row>
    <row r="684" spans="1:24" x14ac:dyDescent="0.25">
      <c r="A684">
        <v>683</v>
      </c>
      <c r="B684">
        <v>0</v>
      </c>
      <c r="C684">
        <v>3</v>
      </c>
      <c r="D684" s="1" t="s">
        <v>1361</v>
      </c>
      <c r="E684">
        <v>0</v>
      </c>
      <c r="F684">
        <v>20</v>
      </c>
      <c r="G684">
        <v>0</v>
      </c>
      <c r="H684">
        <v>0</v>
      </c>
      <c r="I684" s="1" t="s">
        <v>1362</v>
      </c>
      <c r="J684">
        <v>9.2249999999999996</v>
      </c>
      <c r="K684" s="1" t="s">
        <v>48</v>
      </c>
      <c r="L684" s="1" t="s">
        <v>14</v>
      </c>
      <c r="M684">
        <v>1</v>
      </c>
      <c r="N684">
        <v>0</v>
      </c>
      <c r="O684">
        <v>0</v>
      </c>
      <c r="P684" t="s">
        <v>1741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f t="shared" si="30"/>
        <v>0</v>
      </c>
      <c r="W684">
        <f t="shared" si="31"/>
        <v>0.5</v>
      </c>
      <c r="X684">
        <f t="shared" si="32"/>
        <v>0.69314718055994529</v>
      </c>
    </row>
    <row r="685" spans="1:24" x14ac:dyDescent="0.25">
      <c r="A685">
        <v>684</v>
      </c>
      <c r="B685">
        <v>0</v>
      </c>
      <c r="C685">
        <v>3</v>
      </c>
      <c r="D685" s="1" t="s">
        <v>1363</v>
      </c>
      <c r="E685">
        <v>0</v>
      </c>
      <c r="F685">
        <v>14</v>
      </c>
      <c r="G685">
        <v>5</v>
      </c>
      <c r="H685">
        <v>2</v>
      </c>
      <c r="I685" s="1" t="s">
        <v>146</v>
      </c>
      <c r="J685">
        <v>46.9</v>
      </c>
      <c r="K685" s="1" t="s">
        <v>48</v>
      </c>
      <c r="L685" s="1" t="s">
        <v>14</v>
      </c>
      <c r="M685">
        <v>1</v>
      </c>
      <c r="N685">
        <v>0</v>
      </c>
      <c r="O685">
        <v>0</v>
      </c>
      <c r="P685" t="s">
        <v>1741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f t="shared" si="30"/>
        <v>0</v>
      </c>
      <c r="W685">
        <f t="shared" si="31"/>
        <v>0.5</v>
      </c>
      <c r="X685">
        <f t="shared" si="32"/>
        <v>0.69314718055994529</v>
      </c>
    </row>
    <row r="686" spans="1:24" x14ac:dyDescent="0.25">
      <c r="A686">
        <v>685</v>
      </c>
      <c r="B686">
        <v>0</v>
      </c>
      <c r="C686">
        <v>2</v>
      </c>
      <c r="D686" s="1" t="s">
        <v>1364</v>
      </c>
      <c r="E686">
        <v>0</v>
      </c>
      <c r="F686">
        <v>60</v>
      </c>
      <c r="G686">
        <v>1</v>
      </c>
      <c r="H686">
        <v>1</v>
      </c>
      <c r="I686" s="1" t="s">
        <v>1338</v>
      </c>
      <c r="J686">
        <v>39</v>
      </c>
      <c r="K686" s="1" t="s">
        <v>48</v>
      </c>
      <c r="L686" s="1" t="s">
        <v>14</v>
      </c>
      <c r="M686">
        <v>1</v>
      </c>
      <c r="N686">
        <v>0</v>
      </c>
      <c r="O686">
        <v>0</v>
      </c>
      <c r="P686" t="s">
        <v>1741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f t="shared" si="30"/>
        <v>0</v>
      </c>
      <c r="W686">
        <f t="shared" si="31"/>
        <v>0.5</v>
      </c>
      <c r="X686">
        <f t="shared" si="32"/>
        <v>0.69314718055994529</v>
      </c>
    </row>
    <row r="687" spans="1:24" x14ac:dyDescent="0.25">
      <c r="A687">
        <v>686</v>
      </c>
      <c r="B687">
        <v>0</v>
      </c>
      <c r="C687">
        <v>2</v>
      </c>
      <c r="D687" s="1" t="s">
        <v>1365</v>
      </c>
      <c r="E687">
        <v>0</v>
      </c>
      <c r="F687">
        <v>25</v>
      </c>
      <c r="G687">
        <v>1</v>
      </c>
      <c r="H687">
        <v>2</v>
      </c>
      <c r="I687" s="1" t="s">
        <v>111</v>
      </c>
      <c r="J687">
        <v>41.5792</v>
      </c>
      <c r="K687" s="1" t="s">
        <v>48</v>
      </c>
      <c r="L687" s="1" t="s">
        <v>18</v>
      </c>
      <c r="M687">
        <v>0</v>
      </c>
      <c r="N687">
        <v>1</v>
      </c>
      <c r="O687">
        <v>0</v>
      </c>
      <c r="P687" t="s">
        <v>1741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f t="shared" si="30"/>
        <v>0</v>
      </c>
      <c r="W687">
        <f t="shared" si="31"/>
        <v>0.5</v>
      </c>
      <c r="X687">
        <f t="shared" si="32"/>
        <v>0.69314718055994529</v>
      </c>
    </row>
    <row r="688" spans="1:24" x14ac:dyDescent="0.25">
      <c r="A688">
        <v>687</v>
      </c>
      <c r="B688">
        <v>0</v>
      </c>
      <c r="C688">
        <v>3</v>
      </c>
      <c r="D688" s="1" t="s">
        <v>1366</v>
      </c>
      <c r="E688">
        <v>0</v>
      </c>
      <c r="F688">
        <v>14</v>
      </c>
      <c r="G688">
        <v>4</v>
      </c>
      <c r="H688">
        <v>1</v>
      </c>
      <c r="I688" s="1" t="s">
        <v>125</v>
      </c>
      <c r="J688">
        <v>39.6875</v>
      </c>
      <c r="K688" s="1" t="s">
        <v>48</v>
      </c>
      <c r="L688" s="1" t="s">
        <v>14</v>
      </c>
      <c r="M688">
        <v>1</v>
      </c>
      <c r="N688">
        <v>0</v>
      </c>
      <c r="O688">
        <v>0</v>
      </c>
      <c r="P688" t="s">
        <v>1741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f t="shared" si="30"/>
        <v>0</v>
      </c>
      <c r="W688">
        <f t="shared" si="31"/>
        <v>0.5</v>
      </c>
      <c r="X688">
        <f t="shared" si="32"/>
        <v>0.69314718055994529</v>
      </c>
    </row>
    <row r="689" spans="1:24" x14ac:dyDescent="0.25">
      <c r="A689">
        <v>688</v>
      </c>
      <c r="B689">
        <v>0</v>
      </c>
      <c r="C689">
        <v>3</v>
      </c>
      <c r="D689" s="1" t="s">
        <v>1367</v>
      </c>
      <c r="E689">
        <v>0</v>
      </c>
      <c r="F689">
        <v>19</v>
      </c>
      <c r="G689">
        <v>0</v>
      </c>
      <c r="H689">
        <v>0</v>
      </c>
      <c r="I689" s="1" t="s">
        <v>1368</v>
      </c>
      <c r="J689">
        <v>10.1708</v>
      </c>
      <c r="K689" s="1" t="s">
        <v>48</v>
      </c>
      <c r="L689" s="1" t="s">
        <v>14</v>
      </c>
      <c r="M689">
        <v>1</v>
      </c>
      <c r="N689">
        <v>0</v>
      </c>
      <c r="O689">
        <v>0</v>
      </c>
      <c r="P689" t="s">
        <v>1741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f t="shared" si="30"/>
        <v>0</v>
      </c>
      <c r="W689">
        <f t="shared" si="31"/>
        <v>0.5</v>
      </c>
      <c r="X689">
        <f t="shared" si="32"/>
        <v>0.69314718055994529</v>
      </c>
    </row>
    <row r="690" spans="1:24" x14ac:dyDescent="0.25">
      <c r="A690">
        <v>689</v>
      </c>
      <c r="B690">
        <v>0</v>
      </c>
      <c r="C690">
        <v>3</v>
      </c>
      <c r="D690" s="1" t="s">
        <v>1369</v>
      </c>
      <c r="E690">
        <v>0</v>
      </c>
      <c r="F690">
        <v>18</v>
      </c>
      <c r="G690">
        <v>0</v>
      </c>
      <c r="H690">
        <v>0</v>
      </c>
      <c r="I690" s="1" t="s">
        <v>1370</v>
      </c>
      <c r="J690">
        <v>7.7957999999999998</v>
      </c>
      <c r="K690" s="1" t="s">
        <v>48</v>
      </c>
      <c r="L690" s="1" t="s">
        <v>14</v>
      </c>
      <c r="M690">
        <v>1</v>
      </c>
      <c r="N690">
        <v>0</v>
      </c>
      <c r="O690">
        <v>0</v>
      </c>
      <c r="P690" t="s">
        <v>1741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f t="shared" si="30"/>
        <v>0</v>
      </c>
      <c r="W690">
        <f t="shared" si="31"/>
        <v>0.5</v>
      </c>
      <c r="X690">
        <f t="shared" si="32"/>
        <v>0.69314718055994529</v>
      </c>
    </row>
    <row r="691" spans="1:24" x14ac:dyDescent="0.25">
      <c r="A691">
        <v>690</v>
      </c>
      <c r="B691">
        <v>1</v>
      </c>
      <c r="C691">
        <v>1</v>
      </c>
      <c r="D691" s="1" t="s">
        <v>1371</v>
      </c>
      <c r="E691">
        <v>1</v>
      </c>
      <c r="F691">
        <v>15</v>
      </c>
      <c r="G691">
        <v>0</v>
      </c>
      <c r="H691">
        <v>1</v>
      </c>
      <c r="I691" s="1" t="s">
        <v>1372</v>
      </c>
      <c r="J691">
        <v>211.33750000000001</v>
      </c>
      <c r="K691" s="1" t="s">
        <v>1373</v>
      </c>
      <c r="L691" s="1" t="s">
        <v>14</v>
      </c>
      <c r="M691">
        <v>1</v>
      </c>
      <c r="N691">
        <v>0</v>
      </c>
      <c r="O691">
        <v>0</v>
      </c>
      <c r="P691" t="s">
        <v>1739</v>
      </c>
      <c r="Q691">
        <v>1</v>
      </c>
      <c r="R691">
        <v>0</v>
      </c>
      <c r="S691">
        <v>0</v>
      </c>
      <c r="T691">
        <v>0</v>
      </c>
      <c r="U691">
        <v>0</v>
      </c>
      <c r="V691">
        <f t="shared" si="30"/>
        <v>0.87219584275330231</v>
      </c>
      <c r="W691">
        <f t="shared" si="31"/>
        <v>0.70520240168703408</v>
      </c>
      <c r="X691">
        <f t="shared" si="32"/>
        <v>0.34927042278209691</v>
      </c>
    </row>
    <row r="692" spans="1:24" x14ac:dyDescent="0.25">
      <c r="A692">
        <v>691</v>
      </c>
      <c r="B692">
        <v>1</v>
      </c>
      <c r="C692">
        <v>1</v>
      </c>
      <c r="D692" s="1" t="s">
        <v>1374</v>
      </c>
      <c r="E692">
        <v>0</v>
      </c>
      <c r="F692">
        <v>31</v>
      </c>
      <c r="G692">
        <v>1</v>
      </c>
      <c r="H692">
        <v>0</v>
      </c>
      <c r="I692" s="1" t="s">
        <v>1375</v>
      </c>
      <c r="J692">
        <v>57</v>
      </c>
      <c r="K692" s="1" t="s">
        <v>1376</v>
      </c>
      <c r="L692" s="1" t="s">
        <v>14</v>
      </c>
      <c r="M692">
        <v>1</v>
      </c>
      <c r="N692">
        <v>0</v>
      </c>
      <c r="O692">
        <v>0</v>
      </c>
      <c r="P692" t="s">
        <v>1741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f t="shared" si="30"/>
        <v>0</v>
      </c>
      <c r="W692">
        <f t="shared" si="31"/>
        <v>0.5</v>
      </c>
      <c r="X692">
        <f t="shared" si="32"/>
        <v>0.69314718055994529</v>
      </c>
    </row>
    <row r="693" spans="1:24" x14ac:dyDescent="0.25">
      <c r="A693">
        <v>692</v>
      </c>
      <c r="B693">
        <v>1</v>
      </c>
      <c r="C693">
        <v>3</v>
      </c>
      <c r="D693" s="1" t="s">
        <v>1377</v>
      </c>
      <c r="E693">
        <v>1</v>
      </c>
      <c r="F693">
        <v>4</v>
      </c>
      <c r="G693">
        <v>0</v>
      </c>
      <c r="H693">
        <v>1</v>
      </c>
      <c r="I693" s="1" t="s">
        <v>1378</v>
      </c>
      <c r="J693">
        <v>13.416700000000001</v>
      </c>
      <c r="K693" s="1" t="s">
        <v>48</v>
      </c>
      <c r="L693" s="1" t="s">
        <v>18</v>
      </c>
      <c r="M693">
        <v>0</v>
      </c>
      <c r="N693">
        <v>1</v>
      </c>
      <c r="O693">
        <v>0</v>
      </c>
      <c r="P693" t="s">
        <v>1739</v>
      </c>
      <c r="Q693">
        <v>1</v>
      </c>
      <c r="R693">
        <v>0</v>
      </c>
      <c r="S693">
        <v>0</v>
      </c>
      <c r="T693">
        <v>0</v>
      </c>
      <c r="U693">
        <v>0</v>
      </c>
      <c r="V693">
        <f t="shared" si="30"/>
        <v>0.87219584275330231</v>
      </c>
      <c r="W693">
        <f t="shared" si="31"/>
        <v>0.70520240168703408</v>
      </c>
      <c r="X693">
        <f t="shared" si="32"/>
        <v>0.34927042278209691</v>
      </c>
    </row>
    <row r="694" spans="1:24" x14ac:dyDescent="0.25">
      <c r="A694">
        <v>693</v>
      </c>
      <c r="B694">
        <v>1</v>
      </c>
      <c r="C694">
        <v>3</v>
      </c>
      <c r="D694" s="1" t="s">
        <v>1379</v>
      </c>
      <c r="E694">
        <v>0</v>
      </c>
      <c r="F694" s="1">
        <v>32.180156657963444</v>
      </c>
      <c r="G694">
        <v>0</v>
      </c>
      <c r="H694">
        <v>0</v>
      </c>
      <c r="I694" s="1" t="s">
        <v>178</v>
      </c>
      <c r="J694">
        <v>56.495800000000003</v>
      </c>
      <c r="K694" s="1" t="s">
        <v>48</v>
      </c>
      <c r="L694" s="1" t="s">
        <v>14</v>
      </c>
      <c r="M694">
        <v>1</v>
      </c>
      <c r="N694">
        <v>0</v>
      </c>
      <c r="O694">
        <v>0</v>
      </c>
      <c r="P694" t="s">
        <v>1741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f t="shared" si="30"/>
        <v>0</v>
      </c>
      <c r="W694">
        <f t="shared" si="31"/>
        <v>0.5</v>
      </c>
      <c r="X694">
        <f t="shared" si="32"/>
        <v>0.69314718055994529</v>
      </c>
    </row>
    <row r="695" spans="1:24" x14ac:dyDescent="0.25">
      <c r="A695">
        <v>694</v>
      </c>
      <c r="B695">
        <v>0</v>
      </c>
      <c r="C695">
        <v>3</v>
      </c>
      <c r="D695" s="1" t="s">
        <v>1380</v>
      </c>
      <c r="E695">
        <v>0</v>
      </c>
      <c r="F695">
        <v>25</v>
      </c>
      <c r="G695">
        <v>0</v>
      </c>
      <c r="H695">
        <v>0</v>
      </c>
      <c r="I695" s="1" t="s">
        <v>1381</v>
      </c>
      <c r="J695">
        <v>7.2249999999999996</v>
      </c>
      <c r="K695" s="1" t="s">
        <v>48</v>
      </c>
      <c r="L695" s="1" t="s">
        <v>18</v>
      </c>
      <c r="M695">
        <v>0</v>
      </c>
      <c r="N695">
        <v>1</v>
      </c>
      <c r="O695">
        <v>0</v>
      </c>
      <c r="P695" t="s">
        <v>1741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f t="shared" si="30"/>
        <v>0</v>
      </c>
      <c r="W695">
        <f t="shared" si="31"/>
        <v>0.5</v>
      </c>
      <c r="X695">
        <f t="shared" si="32"/>
        <v>0.69314718055994529</v>
      </c>
    </row>
    <row r="696" spans="1:24" x14ac:dyDescent="0.25">
      <c r="A696">
        <v>695</v>
      </c>
      <c r="B696">
        <v>0</v>
      </c>
      <c r="C696">
        <v>1</v>
      </c>
      <c r="D696" s="1" t="s">
        <v>1382</v>
      </c>
      <c r="E696">
        <v>0</v>
      </c>
      <c r="F696">
        <v>60</v>
      </c>
      <c r="G696">
        <v>0</v>
      </c>
      <c r="H696">
        <v>0</v>
      </c>
      <c r="I696" s="1" t="s">
        <v>1383</v>
      </c>
      <c r="J696">
        <v>26.55</v>
      </c>
      <c r="K696" s="1" t="s">
        <v>48</v>
      </c>
      <c r="L696" s="1" t="s">
        <v>14</v>
      </c>
      <c r="M696">
        <v>1</v>
      </c>
      <c r="N696">
        <v>0</v>
      </c>
      <c r="O696">
        <v>0</v>
      </c>
      <c r="P696" t="s">
        <v>1753</v>
      </c>
      <c r="Q696">
        <v>0</v>
      </c>
      <c r="R696">
        <v>0</v>
      </c>
      <c r="S696">
        <v>0</v>
      </c>
      <c r="T696">
        <v>0</v>
      </c>
      <c r="U696">
        <v>1</v>
      </c>
      <c r="V696">
        <f t="shared" si="30"/>
        <v>0</v>
      </c>
      <c r="W696">
        <f t="shared" si="31"/>
        <v>0.5</v>
      </c>
      <c r="X696">
        <f t="shared" si="32"/>
        <v>0.69314718055994529</v>
      </c>
    </row>
    <row r="697" spans="1:24" x14ac:dyDescent="0.25">
      <c r="A697">
        <v>696</v>
      </c>
      <c r="B697">
        <v>0</v>
      </c>
      <c r="C697">
        <v>2</v>
      </c>
      <c r="D697" s="1" t="s">
        <v>1384</v>
      </c>
      <c r="E697">
        <v>0</v>
      </c>
      <c r="F697">
        <v>52</v>
      </c>
      <c r="G697">
        <v>0</v>
      </c>
      <c r="H697">
        <v>0</v>
      </c>
      <c r="I697" s="1" t="s">
        <v>1385</v>
      </c>
      <c r="J697">
        <v>13.5</v>
      </c>
      <c r="K697" s="1" t="s">
        <v>48</v>
      </c>
      <c r="L697" s="1" t="s">
        <v>14</v>
      </c>
      <c r="M697">
        <v>1</v>
      </c>
      <c r="N697">
        <v>0</v>
      </c>
      <c r="O697">
        <v>0</v>
      </c>
      <c r="P697" t="s">
        <v>1741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f t="shared" si="30"/>
        <v>0</v>
      </c>
      <c r="W697">
        <f t="shared" si="31"/>
        <v>0.5</v>
      </c>
      <c r="X697">
        <f t="shared" si="32"/>
        <v>0.69314718055994529</v>
      </c>
    </row>
    <row r="698" spans="1:24" x14ac:dyDescent="0.25">
      <c r="A698">
        <v>697</v>
      </c>
      <c r="B698">
        <v>0</v>
      </c>
      <c r="C698">
        <v>3</v>
      </c>
      <c r="D698" s="1" t="s">
        <v>1386</v>
      </c>
      <c r="E698">
        <v>0</v>
      </c>
      <c r="F698">
        <v>44</v>
      </c>
      <c r="G698">
        <v>0</v>
      </c>
      <c r="H698">
        <v>0</v>
      </c>
      <c r="I698" s="1" t="s">
        <v>1387</v>
      </c>
      <c r="J698">
        <v>8.0500000000000007</v>
      </c>
      <c r="K698" s="1" t="s">
        <v>48</v>
      </c>
      <c r="L698" s="1" t="s">
        <v>14</v>
      </c>
      <c r="M698">
        <v>1</v>
      </c>
      <c r="N698">
        <v>0</v>
      </c>
      <c r="O698">
        <v>0</v>
      </c>
      <c r="P698" t="s">
        <v>1741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f t="shared" si="30"/>
        <v>0</v>
      </c>
      <c r="W698">
        <f t="shared" si="31"/>
        <v>0.5</v>
      </c>
      <c r="X698">
        <f t="shared" si="32"/>
        <v>0.69314718055994529</v>
      </c>
    </row>
    <row r="699" spans="1:24" x14ac:dyDescent="0.25">
      <c r="A699">
        <v>698</v>
      </c>
      <c r="B699">
        <v>1</v>
      </c>
      <c r="C699">
        <v>3</v>
      </c>
      <c r="D699" s="1" t="s">
        <v>1388</v>
      </c>
      <c r="E699">
        <v>1</v>
      </c>
      <c r="F699" s="1">
        <v>21.98581560283688</v>
      </c>
      <c r="G699">
        <v>0</v>
      </c>
      <c r="H699">
        <v>0</v>
      </c>
      <c r="I699" s="1" t="s">
        <v>1389</v>
      </c>
      <c r="J699">
        <v>7.7332999999999998</v>
      </c>
      <c r="K699" s="1" t="s">
        <v>48</v>
      </c>
      <c r="L699" s="1" t="s">
        <v>28</v>
      </c>
      <c r="M699">
        <v>0</v>
      </c>
      <c r="N699">
        <v>0</v>
      </c>
      <c r="O699">
        <v>1</v>
      </c>
      <c r="P699" t="s">
        <v>1739</v>
      </c>
      <c r="Q699">
        <v>1</v>
      </c>
      <c r="R699">
        <v>0</v>
      </c>
      <c r="S699">
        <v>0</v>
      </c>
      <c r="T699">
        <v>0</v>
      </c>
      <c r="U699">
        <v>0</v>
      </c>
      <c r="V699">
        <f t="shared" si="30"/>
        <v>0.87219584275330231</v>
      </c>
      <c r="W699">
        <f t="shared" si="31"/>
        <v>0.70520240168703408</v>
      </c>
      <c r="X699">
        <f t="shared" si="32"/>
        <v>0.34927042278209691</v>
      </c>
    </row>
    <row r="700" spans="1:24" x14ac:dyDescent="0.25">
      <c r="A700">
        <v>699</v>
      </c>
      <c r="B700">
        <v>0</v>
      </c>
      <c r="C700">
        <v>1</v>
      </c>
      <c r="D700" s="1" t="s">
        <v>1390</v>
      </c>
      <c r="E700">
        <v>0</v>
      </c>
      <c r="F700">
        <v>49</v>
      </c>
      <c r="G700">
        <v>1</v>
      </c>
      <c r="H700">
        <v>1</v>
      </c>
      <c r="I700" s="1" t="s">
        <v>650</v>
      </c>
      <c r="J700">
        <v>110.88330000000001</v>
      </c>
      <c r="K700" s="1" t="s">
        <v>1178</v>
      </c>
      <c r="L700" s="1" t="s">
        <v>18</v>
      </c>
      <c r="M700">
        <v>0</v>
      </c>
      <c r="N700">
        <v>1</v>
      </c>
      <c r="O700">
        <v>0</v>
      </c>
      <c r="P700" t="s">
        <v>1741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f t="shared" si="30"/>
        <v>0</v>
      </c>
      <c r="W700">
        <f t="shared" si="31"/>
        <v>0.5</v>
      </c>
      <c r="X700">
        <f t="shared" si="32"/>
        <v>0.69314718055994529</v>
      </c>
    </row>
    <row r="701" spans="1:24" x14ac:dyDescent="0.25">
      <c r="A701">
        <v>700</v>
      </c>
      <c r="B701">
        <v>0</v>
      </c>
      <c r="C701">
        <v>3</v>
      </c>
      <c r="D701" s="1" t="s">
        <v>1391</v>
      </c>
      <c r="E701">
        <v>0</v>
      </c>
      <c r="F701">
        <v>42</v>
      </c>
      <c r="G701">
        <v>0</v>
      </c>
      <c r="H701">
        <v>0</v>
      </c>
      <c r="I701" s="1" t="s">
        <v>1392</v>
      </c>
      <c r="J701">
        <v>7.65</v>
      </c>
      <c r="K701" s="1" t="s">
        <v>1393</v>
      </c>
      <c r="L701" s="1" t="s">
        <v>14</v>
      </c>
      <c r="M701">
        <v>1</v>
      </c>
      <c r="N701">
        <v>0</v>
      </c>
      <c r="O701">
        <v>0</v>
      </c>
      <c r="P701" t="s">
        <v>1741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f t="shared" si="30"/>
        <v>0</v>
      </c>
      <c r="W701">
        <f t="shared" si="31"/>
        <v>0.5</v>
      </c>
      <c r="X701">
        <f t="shared" si="32"/>
        <v>0.69314718055994529</v>
      </c>
    </row>
    <row r="702" spans="1:24" x14ac:dyDescent="0.25">
      <c r="A702">
        <v>701</v>
      </c>
      <c r="B702">
        <v>1</v>
      </c>
      <c r="C702">
        <v>1</v>
      </c>
      <c r="D702" s="1" t="s">
        <v>1394</v>
      </c>
      <c r="E702">
        <v>1</v>
      </c>
      <c r="F702">
        <v>18</v>
      </c>
      <c r="G702">
        <v>1</v>
      </c>
      <c r="H702">
        <v>0</v>
      </c>
      <c r="I702" s="1" t="s">
        <v>796</v>
      </c>
      <c r="J702">
        <v>227.52500000000001</v>
      </c>
      <c r="K702" s="1" t="s">
        <v>1395</v>
      </c>
      <c r="L702" s="1" t="s">
        <v>18</v>
      </c>
      <c r="M702">
        <v>0</v>
      </c>
      <c r="N702">
        <v>1</v>
      </c>
      <c r="O702">
        <v>0</v>
      </c>
      <c r="P702" t="s">
        <v>1740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f t="shared" si="30"/>
        <v>1.3618761518134992</v>
      </c>
      <c r="W702">
        <f t="shared" si="31"/>
        <v>0.79606445234832413</v>
      </c>
      <c r="X702">
        <f t="shared" si="32"/>
        <v>0.22807512612883141</v>
      </c>
    </row>
    <row r="703" spans="1:24" x14ac:dyDescent="0.25">
      <c r="A703">
        <v>702</v>
      </c>
      <c r="B703">
        <v>1</v>
      </c>
      <c r="C703">
        <v>1</v>
      </c>
      <c r="D703" s="1" t="s">
        <v>1396</v>
      </c>
      <c r="E703">
        <v>0</v>
      </c>
      <c r="F703">
        <v>35</v>
      </c>
      <c r="G703">
        <v>0</v>
      </c>
      <c r="H703">
        <v>0</v>
      </c>
      <c r="I703" s="1" t="s">
        <v>1397</v>
      </c>
      <c r="J703">
        <v>26.287500000000001</v>
      </c>
      <c r="K703" s="1" t="s">
        <v>1398</v>
      </c>
      <c r="L703" s="1" t="s">
        <v>14</v>
      </c>
      <c r="M703">
        <v>1</v>
      </c>
      <c r="N703">
        <v>0</v>
      </c>
      <c r="O703">
        <v>0</v>
      </c>
      <c r="P703" t="s">
        <v>1741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f t="shared" si="30"/>
        <v>0</v>
      </c>
      <c r="W703">
        <f t="shared" si="31"/>
        <v>0.5</v>
      </c>
      <c r="X703">
        <f t="shared" si="32"/>
        <v>0.69314718055994529</v>
      </c>
    </row>
    <row r="704" spans="1:24" x14ac:dyDescent="0.25">
      <c r="A704">
        <v>703</v>
      </c>
      <c r="B704">
        <v>0</v>
      </c>
      <c r="C704">
        <v>3</v>
      </c>
      <c r="D704" s="1" t="s">
        <v>1399</v>
      </c>
      <c r="E704">
        <v>1</v>
      </c>
      <c r="F704">
        <v>18</v>
      </c>
      <c r="G704">
        <v>0</v>
      </c>
      <c r="H704">
        <v>1</v>
      </c>
      <c r="I704" s="1" t="s">
        <v>760</v>
      </c>
      <c r="J704">
        <v>14.4542</v>
      </c>
      <c r="K704" s="1" t="s">
        <v>48</v>
      </c>
      <c r="L704" s="1" t="s">
        <v>18</v>
      </c>
      <c r="M704">
        <v>0</v>
      </c>
      <c r="N704">
        <v>1</v>
      </c>
      <c r="O704">
        <v>0</v>
      </c>
      <c r="P704" t="s">
        <v>1739</v>
      </c>
      <c r="Q704">
        <v>1</v>
      </c>
      <c r="R704">
        <v>0</v>
      </c>
      <c r="S704">
        <v>0</v>
      </c>
      <c r="T704">
        <v>0</v>
      </c>
      <c r="U704">
        <v>0</v>
      </c>
      <c r="V704">
        <f t="shared" si="30"/>
        <v>0.87219584275330231</v>
      </c>
      <c r="W704">
        <f t="shared" si="31"/>
        <v>0.70520240168703408</v>
      </c>
      <c r="X704">
        <f t="shared" si="32"/>
        <v>1.2214662655353992</v>
      </c>
    </row>
    <row r="705" spans="1:24" x14ac:dyDescent="0.25">
      <c r="A705">
        <v>704</v>
      </c>
      <c r="B705">
        <v>0</v>
      </c>
      <c r="C705">
        <v>3</v>
      </c>
      <c r="D705" s="1" t="s">
        <v>1400</v>
      </c>
      <c r="E705">
        <v>0</v>
      </c>
      <c r="F705">
        <v>25</v>
      </c>
      <c r="G705">
        <v>0</v>
      </c>
      <c r="H705">
        <v>0</v>
      </c>
      <c r="I705" s="1" t="s">
        <v>1401</v>
      </c>
      <c r="J705">
        <v>7.7416999999999998</v>
      </c>
      <c r="K705" s="1" t="s">
        <v>48</v>
      </c>
      <c r="L705" s="1" t="s">
        <v>28</v>
      </c>
      <c r="M705">
        <v>0</v>
      </c>
      <c r="N705">
        <v>0</v>
      </c>
      <c r="O705">
        <v>1</v>
      </c>
      <c r="P705" t="s">
        <v>1741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f t="shared" si="30"/>
        <v>0</v>
      </c>
      <c r="W705">
        <f t="shared" si="31"/>
        <v>0.5</v>
      </c>
      <c r="X705">
        <f t="shared" si="32"/>
        <v>0.69314718055994529</v>
      </c>
    </row>
    <row r="706" spans="1:24" x14ac:dyDescent="0.25">
      <c r="A706">
        <v>705</v>
      </c>
      <c r="B706">
        <v>0</v>
      </c>
      <c r="C706">
        <v>3</v>
      </c>
      <c r="D706" s="1" t="s">
        <v>1402</v>
      </c>
      <c r="E706">
        <v>0</v>
      </c>
      <c r="F706">
        <v>26</v>
      </c>
      <c r="G706">
        <v>1</v>
      </c>
      <c r="H706">
        <v>0</v>
      </c>
      <c r="I706" s="1" t="s">
        <v>1403</v>
      </c>
      <c r="J706">
        <v>7.8541999999999996</v>
      </c>
      <c r="K706" s="1" t="s">
        <v>48</v>
      </c>
      <c r="L706" s="1" t="s">
        <v>14</v>
      </c>
      <c r="M706">
        <v>1</v>
      </c>
      <c r="N706">
        <v>0</v>
      </c>
      <c r="O706">
        <v>0</v>
      </c>
      <c r="P706" t="s">
        <v>1741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f t="shared" si="30"/>
        <v>0</v>
      </c>
      <c r="W706">
        <f t="shared" si="31"/>
        <v>0.5</v>
      </c>
      <c r="X706">
        <f t="shared" si="32"/>
        <v>0.69314718055994529</v>
      </c>
    </row>
    <row r="707" spans="1:24" x14ac:dyDescent="0.25">
      <c r="A707">
        <v>706</v>
      </c>
      <c r="B707">
        <v>0</v>
      </c>
      <c r="C707">
        <v>2</v>
      </c>
      <c r="D707" s="1" t="s">
        <v>1404</v>
      </c>
      <c r="E707">
        <v>0</v>
      </c>
      <c r="F707">
        <v>39</v>
      </c>
      <c r="G707">
        <v>0</v>
      </c>
      <c r="H707">
        <v>0</v>
      </c>
      <c r="I707" s="1" t="s">
        <v>881</v>
      </c>
      <c r="J707">
        <v>26</v>
      </c>
      <c r="K707" s="1" t="s">
        <v>48</v>
      </c>
      <c r="L707" s="1" t="s">
        <v>14</v>
      </c>
      <c r="M707">
        <v>1</v>
      </c>
      <c r="N707">
        <v>0</v>
      </c>
      <c r="O707">
        <v>0</v>
      </c>
      <c r="P707" t="s">
        <v>1741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f t="shared" ref="V707:V770" si="33">$AB$1+C707*$AB$2+E707*$AB$3+F707*$AB$4+G707*$AB$5+H707*$AB$6+J707*$AB$7+M707*$AB$8+N707*$AB$9+O707*$AB$10+Q707*$AB$11+R707*$AB$12+S707*$AB$13+T707*$AB$14+U707*$AB$15</f>
        <v>0</v>
      </c>
      <c r="W707">
        <f t="shared" ref="W707:W770" si="34">1/(1+EXP(-V707))</f>
        <v>0.5</v>
      </c>
      <c r="X707">
        <f t="shared" ref="X707:X770" si="35">-(B707*LN(MAX(0.000001,MIN(0.999999,W707))) +(1-B707)*LN(MAX(0.000001,MIN(0.999999,1-W707))))</f>
        <v>0.69314718055994529</v>
      </c>
    </row>
    <row r="708" spans="1:24" x14ac:dyDescent="0.25">
      <c r="A708">
        <v>707</v>
      </c>
      <c r="B708">
        <v>1</v>
      </c>
      <c r="C708">
        <v>2</v>
      </c>
      <c r="D708" s="1" t="s">
        <v>1405</v>
      </c>
      <c r="E708">
        <v>1</v>
      </c>
      <c r="F708">
        <v>45</v>
      </c>
      <c r="G708">
        <v>0</v>
      </c>
      <c r="H708">
        <v>0</v>
      </c>
      <c r="I708" s="1" t="s">
        <v>1406</v>
      </c>
      <c r="J708">
        <v>13.5</v>
      </c>
      <c r="K708" s="1" t="s">
        <v>48</v>
      </c>
      <c r="L708" s="1" t="s">
        <v>14</v>
      </c>
      <c r="M708">
        <v>1</v>
      </c>
      <c r="N708">
        <v>0</v>
      </c>
      <c r="O708">
        <v>0</v>
      </c>
      <c r="P708" t="s">
        <v>1740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f t="shared" si="33"/>
        <v>1.3618761518134992</v>
      </c>
      <c r="W708">
        <f t="shared" si="34"/>
        <v>0.79606445234832413</v>
      </c>
      <c r="X708">
        <f t="shared" si="35"/>
        <v>0.22807512612883141</v>
      </c>
    </row>
    <row r="709" spans="1:24" x14ac:dyDescent="0.25">
      <c r="A709">
        <v>708</v>
      </c>
      <c r="B709">
        <v>1</v>
      </c>
      <c r="C709">
        <v>1</v>
      </c>
      <c r="D709" s="1" t="s">
        <v>1407</v>
      </c>
      <c r="E709">
        <v>0</v>
      </c>
      <c r="F709">
        <v>42</v>
      </c>
      <c r="G709">
        <v>0</v>
      </c>
      <c r="H709">
        <v>0</v>
      </c>
      <c r="I709" s="1" t="s">
        <v>1408</v>
      </c>
      <c r="J709">
        <v>26.287500000000001</v>
      </c>
      <c r="K709" s="1" t="s">
        <v>1398</v>
      </c>
      <c r="L709" s="1" t="s">
        <v>14</v>
      </c>
      <c r="M709">
        <v>1</v>
      </c>
      <c r="N709">
        <v>0</v>
      </c>
      <c r="O709">
        <v>0</v>
      </c>
      <c r="P709" t="s">
        <v>1741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f t="shared" si="33"/>
        <v>0</v>
      </c>
      <c r="W709">
        <f t="shared" si="34"/>
        <v>0.5</v>
      </c>
      <c r="X709">
        <f t="shared" si="35"/>
        <v>0.69314718055994529</v>
      </c>
    </row>
    <row r="710" spans="1:24" x14ac:dyDescent="0.25">
      <c r="A710">
        <v>709</v>
      </c>
      <c r="B710">
        <v>1</v>
      </c>
      <c r="C710">
        <v>1</v>
      </c>
      <c r="D710" s="1" t="s">
        <v>1409</v>
      </c>
      <c r="E710">
        <v>1</v>
      </c>
      <c r="F710">
        <v>22</v>
      </c>
      <c r="G710">
        <v>0</v>
      </c>
      <c r="H710">
        <v>0</v>
      </c>
      <c r="I710" s="1" t="s">
        <v>633</v>
      </c>
      <c r="J710">
        <v>151.55000000000001</v>
      </c>
      <c r="K710" s="1" t="s">
        <v>48</v>
      </c>
      <c r="L710" s="1" t="s">
        <v>14</v>
      </c>
      <c r="M710">
        <v>1</v>
      </c>
      <c r="N710">
        <v>0</v>
      </c>
      <c r="O710">
        <v>0</v>
      </c>
      <c r="P710" t="s">
        <v>1739</v>
      </c>
      <c r="Q710">
        <v>1</v>
      </c>
      <c r="R710">
        <v>0</v>
      </c>
      <c r="S710">
        <v>0</v>
      </c>
      <c r="T710">
        <v>0</v>
      </c>
      <c r="U710">
        <v>0</v>
      </c>
      <c r="V710">
        <f t="shared" si="33"/>
        <v>0.87219584275330231</v>
      </c>
      <c r="W710">
        <f t="shared" si="34"/>
        <v>0.70520240168703408</v>
      </c>
      <c r="X710">
        <f t="shared" si="35"/>
        <v>0.34927042278209691</v>
      </c>
    </row>
    <row r="711" spans="1:24" x14ac:dyDescent="0.25">
      <c r="A711">
        <v>710</v>
      </c>
      <c r="B711">
        <v>1</v>
      </c>
      <c r="C711">
        <v>3</v>
      </c>
      <c r="D711" s="1" t="s">
        <v>1410</v>
      </c>
      <c r="E711">
        <v>0</v>
      </c>
      <c r="F711" s="1">
        <v>5.193548387096774</v>
      </c>
      <c r="G711">
        <v>1</v>
      </c>
      <c r="H711">
        <v>1</v>
      </c>
      <c r="I711" s="1" t="s">
        <v>160</v>
      </c>
      <c r="J711">
        <v>15.245799999999999</v>
      </c>
      <c r="K711" s="1" t="s">
        <v>48</v>
      </c>
      <c r="L711" s="1" t="s">
        <v>18</v>
      </c>
      <c r="M711">
        <v>0</v>
      </c>
      <c r="N711">
        <v>1</v>
      </c>
      <c r="O711">
        <v>0</v>
      </c>
      <c r="P711" t="s">
        <v>1742</v>
      </c>
      <c r="Q711">
        <v>0</v>
      </c>
      <c r="R711">
        <v>0</v>
      </c>
      <c r="S711">
        <v>0</v>
      </c>
      <c r="T711">
        <v>1</v>
      </c>
      <c r="U711">
        <v>0</v>
      </c>
      <c r="V711">
        <f t="shared" si="33"/>
        <v>0.21766252466937555</v>
      </c>
      <c r="W711">
        <f t="shared" si="34"/>
        <v>0.55420180681382414</v>
      </c>
      <c r="X711">
        <f t="shared" si="35"/>
        <v>0.59022638633875368</v>
      </c>
    </row>
    <row r="712" spans="1:24" x14ac:dyDescent="0.25">
      <c r="A712">
        <v>711</v>
      </c>
      <c r="B712">
        <v>1</v>
      </c>
      <c r="C712">
        <v>1</v>
      </c>
      <c r="D712" s="1" t="s">
        <v>1411</v>
      </c>
      <c r="E712">
        <v>1</v>
      </c>
      <c r="F712">
        <v>24</v>
      </c>
      <c r="G712">
        <v>0</v>
      </c>
      <c r="H712">
        <v>0</v>
      </c>
      <c r="I712" s="1" t="s">
        <v>1412</v>
      </c>
      <c r="J712">
        <v>49.504199999999997</v>
      </c>
      <c r="K712" s="1" t="s">
        <v>1413</v>
      </c>
      <c r="L712" s="1" t="s">
        <v>18</v>
      </c>
      <c r="M712">
        <v>0</v>
      </c>
      <c r="N712">
        <v>1</v>
      </c>
      <c r="O712">
        <v>0</v>
      </c>
      <c r="P712" t="s">
        <v>1752</v>
      </c>
      <c r="Q712">
        <v>1</v>
      </c>
      <c r="R712">
        <v>0</v>
      </c>
      <c r="S712">
        <v>0</v>
      </c>
      <c r="T712">
        <v>0</v>
      </c>
      <c r="U712">
        <v>0</v>
      </c>
      <c r="V712">
        <f t="shared" si="33"/>
        <v>0.87219584275330231</v>
      </c>
      <c r="W712">
        <f t="shared" si="34"/>
        <v>0.70520240168703408</v>
      </c>
      <c r="X712">
        <f t="shared" si="35"/>
        <v>0.34927042278209691</v>
      </c>
    </row>
    <row r="713" spans="1:24" x14ac:dyDescent="0.25">
      <c r="A713">
        <v>712</v>
      </c>
      <c r="B713">
        <v>0</v>
      </c>
      <c r="C713">
        <v>1</v>
      </c>
      <c r="D713" s="1" t="s">
        <v>1414</v>
      </c>
      <c r="E713">
        <v>0</v>
      </c>
      <c r="F713" s="1">
        <v>32.180156657963444</v>
      </c>
      <c r="G713">
        <v>0</v>
      </c>
      <c r="H713">
        <v>0</v>
      </c>
      <c r="I713" s="1" t="s">
        <v>1415</v>
      </c>
      <c r="J713">
        <v>26.55</v>
      </c>
      <c r="K713" s="1" t="s">
        <v>703</v>
      </c>
      <c r="L713" s="1" t="s">
        <v>14</v>
      </c>
      <c r="M713">
        <v>1</v>
      </c>
      <c r="N713">
        <v>0</v>
      </c>
      <c r="O713">
        <v>0</v>
      </c>
      <c r="P713" t="s">
        <v>1741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f t="shared" si="33"/>
        <v>0</v>
      </c>
      <c r="W713">
        <f t="shared" si="34"/>
        <v>0.5</v>
      </c>
      <c r="X713">
        <f t="shared" si="35"/>
        <v>0.69314718055994529</v>
      </c>
    </row>
    <row r="714" spans="1:24" x14ac:dyDescent="0.25">
      <c r="A714">
        <v>713</v>
      </c>
      <c r="B714">
        <v>1</v>
      </c>
      <c r="C714">
        <v>1</v>
      </c>
      <c r="D714" s="1" t="s">
        <v>1416</v>
      </c>
      <c r="E714">
        <v>0</v>
      </c>
      <c r="F714">
        <v>48</v>
      </c>
      <c r="G714">
        <v>1</v>
      </c>
      <c r="H714">
        <v>0</v>
      </c>
      <c r="I714" s="1" t="s">
        <v>1335</v>
      </c>
      <c r="J714">
        <v>52</v>
      </c>
      <c r="K714" s="1" t="s">
        <v>1336</v>
      </c>
      <c r="L714" s="1" t="s">
        <v>14</v>
      </c>
      <c r="M714">
        <v>1</v>
      </c>
      <c r="N714">
        <v>0</v>
      </c>
      <c r="O714">
        <v>0</v>
      </c>
      <c r="P714" t="s">
        <v>1741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f t="shared" si="33"/>
        <v>0</v>
      </c>
      <c r="W714">
        <f t="shared" si="34"/>
        <v>0.5</v>
      </c>
      <c r="X714">
        <f t="shared" si="35"/>
        <v>0.69314718055994529</v>
      </c>
    </row>
    <row r="715" spans="1:24" x14ac:dyDescent="0.25">
      <c r="A715">
        <v>714</v>
      </c>
      <c r="B715">
        <v>0</v>
      </c>
      <c r="C715">
        <v>3</v>
      </c>
      <c r="D715" s="1" t="s">
        <v>1417</v>
      </c>
      <c r="E715">
        <v>0</v>
      </c>
      <c r="F715">
        <v>29</v>
      </c>
      <c r="G715">
        <v>0</v>
      </c>
      <c r="H715">
        <v>0</v>
      </c>
      <c r="I715" s="1" t="s">
        <v>1418</v>
      </c>
      <c r="J715">
        <v>9.4832999999999998</v>
      </c>
      <c r="K715" s="1" t="s">
        <v>48</v>
      </c>
      <c r="L715" s="1" t="s">
        <v>14</v>
      </c>
      <c r="M715">
        <v>1</v>
      </c>
      <c r="N715">
        <v>0</v>
      </c>
      <c r="O715">
        <v>0</v>
      </c>
      <c r="P715" t="s">
        <v>1741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f t="shared" si="33"/>
        <v>0</v>
      </c>
      <c r="W715">
        <f t="shared" si="34"/>
        <v>0.5</v>
      </c>
      <c r="X715">
        <f t="shared" si="35"/>
        <v>0.69314718055994529</v>
      </c>
    </row>
    <row r="716" spans="1:24" x14ac:dyDescent="0.25">
      <c r="A716">
        <v>715</v>
      </c>
      <c r="B716">
        <v>0</v>
      </c>
      <c r="C716">
        <v>2</v>
      </c>
      <c r="D716" s="1" t="s">
        <v>1419</v>
      </c>
      <c r="E716">
        <v>0</v>
      </c>
      <c r="F716">
        <v>52</v>
      </c>
      <c r="G716">
        <v>0</v>
      </c>
      <c r="H716">
        <v>0</v>
      </c>
      <c r="I716" s="1" t="s">
        <v>1420</v>
      </c>
      <c r="J716">
        <v>13</v>
      </c>
      <c r="K716" s="1" t="s">
        <v>48</v>
      </c>
      <c r="L716" s="1" t="s">
        <v>14</v>
      </c>
      <c r="M716">
        <v>1</v>
      </c>
      <c r="N716">
        <v>0</v>
      </c>
      <c r="O716">
        <v>0</v>
      </c>
      <c r="P716" t="s">
        <v>1741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f t="shared" si="33"/>
        <v>0</v>
      </c>
      <c r="W716">
        <f t="shared" si="34"/>
        <v>0.5</v>
      </c>
      <c r="X716">
        <f t="shared" si="35"/>
        <v>0.69314718055994529</v>
      </c>
    </row>
    <row r="717" spans="1:24" x14ac:dyDescent="0.25">
      <c r="A717">
        <v>716</v>
      </c>
      <c r="B717">
        <v>0</v>
      </c>
      <c r="C717">
        <v>3</v>
      </c>
      <c r="D717" s="1" t="s">
        <v>1421</v>
      </c>
      <c r="E717">
        <v>0</v>
      </c>
      <c r="F717">
        <v>19</v>
      </c>
      <c r="G717">
        <v>0</v>
      </c>
      <c r="H717">
        <v>0</v>
      </c>
      <c r="I717" s="1" t="s">
        <v>1422</v>
      </c>
      <c r="J717">
        <v>7.65</v>
      </c>
      <c r="K717" s="1" t="s">
        <v>181</v>
      </c>
      <c r="L717" s="1" t="s">
        <v>14</v>
      </c>
      <c r="M717">
        <v>1</v>
      </c>
      <c r="N717">
        <v>0</v>
      </c>
      <c r="O717">
        <v>0</v>
      </c>
      <c r="P717" t="s">
        <v>1741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f t="shared" si="33"/>
        <v>0</v>
      </c>
      <c r="W717">
        <f t="shared" si="34"/>
        <v>0.5</v>
      </c>
      <c r="X717">
        <f t="shared" si="35"/>
        <v>0.69314718055994529</v>
      </c>
    </row>
    <row r="718" spans="1:24" x14ac:dyDescent="0.25">
      <c r="A718">
        <v>717</v>
      </c>
      <c r="B718">
        <v>1</v>
      </c>
      <c r="C718">
        <v>1</v>
      </c>
      <c r="D718" s="1" t="s">
        <v>1423</v>
      </c>
      <c r="E718">
        <v>1</v>
      </c>
      <c r="F718">
        <v>38</v>
      </c>
      <c r="G718">
        <v>0</v>
      </c>
      <c r="H718">
        <v>0</v>
      </c>
      <c r="I718" s="1" t="s">
        <v>796</v>
      </c>
      <c r="J718">
        <v>227.52500000000001</v>
      </c>
      <c r="K718" s="1" t="s">
        <v>1424</v>
      </c>
      <c r="L718" s="1" t="s">
        <v>18</v>
      </c>
      <c r="M718">
        <v>0</v>
      </c>
      <c r="N718">
        <v>1</v>
      </c>
      <c r="O718">
        <v>0</v>
      </c>
      <c r="P718" t="s">
        <v>1739</v>
      </c>
      <c r="Q718">
        <v>1</v>
      </c>
      <c r="R718">
        <v>0</v>
      </c>
      <c r="S718">
        <v>0</v>
      </c>
      <c r="T718">
        <v>0</v>
      </c>
      <c r="U718">
        <v>0</v>
      </c>
      <c r="V718">
        <f t="shared" si="33"/>
        <v>0.87219584275330231</v>
      </c>
      <c r="W718">
        <f t="shared" si="34"/>
        <v>0.70520240168703408</v>
      </c>
      <c r="X718">
        <f t="shared" si="35"/>
        <v>0.34927042278209691</v>
      </c>
    </row>
    <row r="719" spans="1:24" x14ac:dyDescent="0.25">
      <c r="A719">
        <v>718</v>
      </c>
      <c r="B719">
        <v>1</v>
      </c>
      <c r="C719">
        <v>2</v>
      </c>
      <c r="D719" s="1" t="s">
        <v>1425</v>
      </c>
      <c r="E719">
        <v>1</v>
      </c>
      <c r="F719">
        <v>27</v>
      </c>
      <c r="G719">
        <v>0</v>
      </c>
      <c r="H719">
        <v>0</v>
      </c>
      <c r="I719" s="1" t="s">
        <v>1426</v>
      </c>
      <c r="J719">
        <v>10.5</v>
      </c>
      <c r="K719" s="1" t="s">
        <v>279</v>
      </c>
      <c r="L719" s="1" t="s">
        <v>14</v>
      </c>
      <c r="M719">
        <v>1</v>
      </c>
      <c r="N719">
        <v>0</v>
      </c>
      <c r="O719">
        <v>0</v>
      </c>
      <c r="P719" t="s">
        <v>1739</v>
      </c>
      <c r="Q719">
        <v>1</v>
      </c>
      <c r="R719">
        <v>0</v>
      </c>
      <c r="S719">
        <v>0</v>
      </c>
      <c r="T719">
        <v>0</v>
      </c>
      <c r="U719">
        <v>0</v>
      </c>
      <c r="V719">
        <f t="shared" si="33"/>
        <v>0.87219584275330231</v>
      </c>
      <c r="W719">
        <f t="shared" si="34"/>
        <v>0.70520240168703408</v>
      </c>
      <c r="X719">
        <f t="shared" si="35"/>
        <v>0.34927042278209691</v>
      </c>
    </row>
    <row r="720" spans="1:24" x14ac:dyDescent="0.25">
      <c r="A720">
        <v>719</v>
      </c>
      <c r="B720">
        <v>0</v>
      </c>
      <c r="C720">
        <v>3</v>
      </c>
      <c r="D720" s="1" t="s">
        <v>1427</v>
      </c>
      <c r="E720">
        <v>0</v>
      </c>
      <c r="F720" s="1">
        <v>32.180156657963444</v>
      </c>
      <c r="G720">
        <v>0</v>
      </c>
      <c r="H720">
        <v>0</v>
      </c>
      <c r="I720" s="1" t="s">
        <v>1428</v>
      </c>
      <c r="J720">
        <v>15.5</v>
      </c>
      <c r="K720" s="1" t="s">
        <v>48</v>
      </c>
      <c r="L720" s="1" t="s">
        <v>28</v>
      </c>
      <c r="M720">
        <v>0</v>
      </c>
      <c r="N720">
        <v>0</v>
      </c>
      <c r="O720">
        <v>1</v>
      </c>
      <c r="P720" t="s">
        <v>1741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f t="shared" si="33"/>
        <v>0</v>
      </c>
      <c r="W720">
        <f t="shared" si="34"/>
        <v>0.5</v>
      </c>
      <c r="X720">
        <f t="shared" si="35"/>
        <v>0.69314718055994529</v>
      </c>
    </row>
    <row r="721" spans="1:24" x14ac:dyDescent="0.25">
      <c r="A721">
        <v>720</v>
      </c>
      <c r="B721">
        <v>0</v>
      </c>
      <c r="C721">
        <v>3</v>
      </c>
      <c r="D721" s="1" t="s">
        <v>1429</v>
      </c>
      <c r="E721">
        <v>0</v>
      </c>
      <c r="F721">
        <v>33</v>
      </c>
      <c r="G721">
        <v>0</v>
      </c>
      <c r="H721">
        <v>0</v>
      </c>
      <c r="I721" s="1" t="s">
        <v>1430</v>
      </c>
      <c r="J721">
        <v>7.7750000000000004</v>
      </c>
      <c r="K721" s="1" t="s">
        <v>48</v>
      </c>
      <c r="L721" s="1" t="s">
        <v>14</v>
      </c>
      <c r="M721">
        <v>1</v>
      </c>
      <c r="N721">
        <v>0</v>
      </c>
      <c r="O721">
        <v>0</v>
      </c>
      <c r="P721" t="s">
        <v>1741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f t="shared" si="33"/>
        <v>0</v>
      </c>
      <c r="W721">
        <f t="shared" si="34"/>
        <v>0.5</v>
      </c>
      <c r="X721">
        <f t="shared" si="35"/>
        <v>0.69314718055994529</v>
      </c>
    </row>
    <row r="722" spans="1:24" x14ac:dyDescent="0.25">
      <c r="A722">
        <v>721</v>
      </c>
      <c r="B722">
        <v>1</v>
      </c>
      <c r="C722">
        <v>2</v>
      </c>
      <c r="D722" s="1" t="s">
        <v>1431</v>
      </c>
      <c r="E722">
        <v>1</v>
      </c>
      <c r="F722">
        <v>6</v>
      </c>
      <c r="G722">
        <v>0</v>
      </c>
      <c r="H722">
        <v>1</v>
      </c>
      <c r="I722" s="1" t="s">
        <v>1207</v>
      </c>
      <c r="J722">
        <v>33</v>
      </c>
      <c r="K722" s="1" t="s">
        <v>48</v>
      </c>
      <c r="L722" s="1" t="s">
        <v>14</v>
      </c>
      <c r="M722">
        <v>1</v>
      </c>
      <c r="N722">
        <v>0</v>
      </c>
      <c r="O722">
        <v>0</v>
      </c>
      <c r="P722" t="s">
        <v>1739</v>
      </c>
      <c r="Q722">
        <v>1</v>
      </c>
      <c r="R722">
        <v>0</v>
      </c>
      <c r="S722">
        <v>0</v>
      </c>
      <c r="T722">
        <v>0</v>
      </c>
      <c r="U722">
        <v>0</v>
      </c>
      <c r="V722">
        <f t="shared" si="33"/>
        <v>0.87219584275330231</v>
      </c>
      <c r="W722">
        <f t="shared" si="34"/>
        <v>0.70520240168703408</v>
      </c>
      <c r="X722">
        <f t="shared" si="35"/>
        <v>0.34927042278209691</v>
      </c>
    </row>
    <row r="723" spans="1:24" x14ac:dyDescent="0.25">
      <c r="A723">
        <v>722</v>
      </c>
      <c r="B723">
        <v>0</v>
      </c>
      <c r="C723">
        <v>3</v>
      </c>
      <c r="D723" s="1" t="s">
        <v>1432</v>
      </c>
      <c r="E723">
        <v>0</v>
      </c>
      <c r="F723">
        <v>17</v>
      </c>
      <c r="G723">
        <v>1</v>
      </c>
      <c r="H723">
        <v>0</v>
      </c>
      <c r="I723" s="1" t="s">
        <v>1433</v>
      </c>
      <c r="J723">
        <v>7.0541999999999998</v>
      </c>
      <c r="K723" s="1" t="s">
        <v>48</v>
      </c>
      <c r="L723" s="1" t="s">
        <v>14</v>
      </c>
      <c r="M723">
        <v>1</v>
      </c>
      <c r="N723">
        <v>0</v>
      </c>
      <c r="O723">
        <v>0</v>
      </c>
      <c r="P723" t="s">
        <v>1741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f t="shared" si="33"/>
        <v>0</v>
      </c>
      <c r="W723">
        <f t="shared" si="34"/>
        <v>0.5</v>
      </c>
      <c r="X723">
        <f t="shared" si="35"/>
        <v>0.69314718055994529</v>
      </c>
    </row>
    <row r="724" spans="1:24" x14ac:dyDescent="0.25">
      <c r="A724">
        <v>723</v>
      </c>
      <c r="B724">
        <v>0</v>
      </c>
      <c r="C724">
        <v>2</v>
      </c>
      <c r="D724" s="1" t="s">
        <v>1434</v>
      </c>
      <c r="E724">
        <v>0</v>
      </c>
      <c r="F724">
        <v>34</v>
      </c>
      <c r="G724">
        <v>0</v>
      </c>
      <c r="H724">
        <v>0</v>
      </c>
      <c r="I724" s="1" t="s">
        <v>1435</v>
      </c>
      <c r="J724">
        <v>13</v>
      </c>
      <c r="K724" s="1" t="s">
        <v>48</v>
      </c>
      <c r="L724" s="1" t="s">
        <v>14</v>
      </c>
      <c r="M724">
        <v>1</v>
      </c>
      <c r="N724">
        <v>0</v>
      </c>
      <c r="O724">
        <v>0</v>
      </c>
      <c r="P724" t="s">
        <v>1741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f t="shared" si="33"/>
        <v>0</v>
      </c>
      <c r="W724">
        <f t="shared" si="34"/>
        <v>0.5</v>
      </c>
      <c r="X724">
        <f t="shared" si="35"/>
        <v>0.69314718055994529</v>
      </c>
    </row>
    <row r="725" spans="1:24" x14ac:dyDescent="0.25">
      <c r="A725">
        <v>724</v>
      </c>
      <c r="B725">
        <v>0</v>
      </c>
      <c r="C725">
        <v>2</v>
      </c>
      <c r="D725" s="1" t="s">
        <v>1436</v>
      </c>
      <c r="E725">
        <v>0</v>
      </c>
      <c r="F725">
        <v>50</v>
      </c>
      <c r="G725">
        <v>0</v>
      </c>
      <c r="H725">
        <v>0</v>
      </c>
      <c r="I725" s="1" t="s">
        <v>1437</v>
      </c>
      <c r="J725">
        <v>13</v>
      </c>
      <c r="K725" s="1" t="s">
        <v>48</v>
      </c>
      <c r="L725" s="1" t="s">
        <v>14</v>
      </c>
      <c r="M725">
        <v>1</v>
      </c>
      <c r="N725">
        <v>0</v>
      </c>
      <c r="O725">
        <v>0</v>
      </c>
      <c r="P725" t="s">
        <v>1741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f t="shared" si="33"/>
        <v>0</v>
      </c>
      <c r="W725">
        <f t="shared" si="34"/>
        <v>0.5</v>
      </c>
      <c r="X725">
        <f t="shared" si="35"/>
        <v>0.69314718055994529</v>
      </c>
    </row>
    <row r="726" spans="1:24" x14ac:dyDescent="0.25">
      <c r="A726">
        <v>725</v>
      </c>
      <c r="B726">
        <v>1</v>
      </c>
      <c r="C726">
        <v>1</v>
      </c>
      <c r="D726" s="1" t="s">
        <v>1438</v>
      </c>
      <c r="E726">
        <v>0</v>
      </c>
      <c r="F726">
        <v>27</v>
      </c>
      <c r="G726">
        <v>1</v>
      </c>
      <c r="H726">
        <v>0</v>
      </c>
      <c r="I726" s="1" t="s">
        <v>1439</v>
      </c>
      <c r="J726">
        <v>53.1</v>
      </c>
      <c r="K726" s="1" t="s">
        <v>1440</v>
      </c>
      <c r="L726" s="1" t="s">
        <v>14</v>
      </c>
      <c r="M726">
        <v>1</v>
      </c>
      <c r="N726">
        <v>0</v>
      </c>
      <c r="O726">
        <v>0</v>
      </c>
      <c r="P726" t="s">
        <v>1741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f t="shared" si="33"/>
        <v>0</v>
      </c>
      <c r="W726">
        <f t="shared" si="34"/>
        <v>0.5</v>
      </c>
      <c r="X726">
        <f t="shared" si="35"/>
        <v>0.69314718055994529</v>
      </c>
    </row>
    <row r="727" spans="1:24" x14ac:dyDescent="0.25">
      <c r="A727">
        <v>726</v>
      </c>
      <c r="B727">
        <v>0</v>
      </c>
      <c r="C727">
        <v>3</v>
      </c>
      <c r="D727" s="1" t="s">
        <v>1441</v>
      </c>
      <c r="E727">
        <v>0</v>
      </c>
      <c r="F727">
        <v>20</v>
      </c>
      <c r="G727">
        <v>0</v>
      </c>
      <c r="H727">
        <v>0</v>
      </c>
      <c r="I727" s="1" t="s">
        <v>1442</v>
      </c>
      <c r="J727">
        <v>8.6624999999999996</v>
      </c>
      <c r="K727" s="1" t="s">
        <v>48</v>
      </c>
      <c r="L727" s="1" t="s">
        <v>14</v>
      </c>
      <c r="M727">
        <v>1</v>
      </c>
      <c r="N727">
        <v>0</v>
      </c>
      <c r="O727">
        <v>0</v>
      </c>
      <c r="P727" t="s">
        <v>1741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f t="shared" si="33"/>
        <v>0</v>
      </c>
      <c r="W727">
        <f t="shared" si="34"/>
        <v>0.5</v>
      </c>
      <c r="X727">
        <f t="shared" si="35"/>
        <v>0.69314718055994529</v>
      </c>
    </row>
    <row r="728" spans="1:24" x14ac:dyDescent="0.25">
      <c r="A728">
        <v>727</v>
      </c>
      <c r="B728">
        <v>1</v>
      </c>
      <c r="C728">
        <v>2</v>
      </c>
      <c r="D728" s="1" t="s">
        <v>1443</v>
      </c>
      <c r="E728">
        <v>1</v>
      </c>
      <c r="F728">
        <v>30</v>
      </c>
      <c r="G728">
        <v>3</v>
      </c>
      <c r="H728">
        <v>0</v>
      </c>
      <c r="I728" s="1" t="s">
        <v>979</v>
      </c>
      <c r="J728">
        <v>21</v>
      </c>
      <c r="K728" s="1" t="s">
        <v>48</v>
      </c>
      <c r="L728" s="1" t="s">
        <v>14</v>
      </c>
      <c r="M728">
        <v>1</v>
      </c>
      <c r="N728">
        <v>0</v>
      </c>
      <c r="O728">
        <v>0</v>
      </c>
      <c r="P728" t="s">
        <v>1740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f t="shared" si="33"/>
        <v>1.3618761518134992</v>
      </c>
      <c r="W728">
        <f t="shared" si="34"/>
        <v>0.79606445234832413</v>
      </c>
      <c r="X728">
        <f t="shared" si="35"/>
        <v>0.22807512612883141</v>
      </c>
    </row>
    <row r="729" spans="1:24" x14ac:dyDescent="0.25">
      <c r="A729">
        <v>728</v>
      </c>
      <c r="B729">
        <v>1</v>
      </c>
      <c r="C729">
        <v>3</v>
      </c>
      <c r="D729" s="1" t="s">
        <v>1444</v>
      </c>
      <c r="E729">
        <v>1</v>
      </c>
      <c r="F729" s="1">
        <v>21.98581560283688</v>
      </c>
      <c r="G729">
        <v>0</v>
      </c>
      <c r="H729">
        <v>0</v>
      </c>
      <c r="I729" s="1" t="s">
        <v>1445</v>
      </c>
      <c r="J729">
        <v>7.7374999999999998</v>
      </c>
      <c r="K729" s="1" t="s">
        <v>48</v>
      </c>
      <c r="L729" s="1" t="s">
        <v>28</v>
      </c>
      <c r="M729">
        <v>0</v>
      </c>
      <c r="N729">
        <v>0</v>
      </c>
      <c r="O729">
        <v>1</v>
      </c>
      <c r="P729" t="s">
        <v>1739</v>
      </c>
      <c r="Q729">
        <v>1</v>
      </c>
      <c r="R729">
        <v>0</v>
      </c>
      <c r="S729">
        <v>0</v>
      </c>
      <c r="T729">
        <v>0</v>
      </c>
      <c r="U729">
        <v>0</v>
      </c>
      <c r="V729">
        <f t="shared" si="33"/>
        <v>0.87219584275330231</v>
      </c>
      <c r="W729">
        <f t="shared" si="34"/>
        <v>0.70520240168703408</v>
      </c>
      <c r="X729">
        <f t="shared" si="35"/>
        <v>0.34927042278209691</v>
      </c>
    </row>
    <row r="730" spans="1:24" x14ac:dyDescent="0.25">
      <c r="A730">
        <v>729</v>
      </c>
      <c r="B730">
        <v>0</v>
      </c>
      <c r="C730">
        <v>2</v>
      </c>
      <c r="D730" s="1" t="s">
        <v>1446</v>
      </c>
      <c r="E730">
        <v>0</v>
      </c>
      <c r="F730">
        <v>25</v>
      </c>
      <c r="G730">
        <v>1</v>
      </c>
      <c r="H730">
        <v>0</v>
      </c>
      <c r="I730" s="1" t="s">
        <v>1447</v>
      </c>
      <c r="J730">
        <v>26</v>
      </c>
      <c r="K730" s="1" t="s">
        <v>48</v>
      </c>
      <c r="L730" s="1" t="s">
        <v>14</v>
      </c>
      <c r="M730">
        <v>1</v>
      </c>
      <c r="N730">
        <v>0</v>
      </c>
      <c r="O730">
        <v>0</v>
      </c>
      <c r="P730" t="s">
        <v>1741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f t="shared" si="33"/>
        <v>0</v>
      </c>
      <c r="W730">
        <f t="shared" si="34"/>
        <v>0.5</v>
      </c>
      <c r="X730">
        <f t="shared" si="35"/>
        <v>0.69314718055994529</v>
      </c>
    </row>
    <row r="731" spans="1:24" x14ac:dyDescent="0.25">
      <c r="A731">
        <v>730</v>
      </c>
      <c r="B731">
        <v>0</v>
      </c>
      <c r="C731">
        <v>3</v>
      </c>
      <c r="D731" s="1" t="s">
        <v>1448</v>
      </c>
      <c r="E731">
        <v>1</v>
      </c>
      <c r="F731">
        <v>25</v>
      </c>
      <c r="G731">
        <v>1</v>
      </c>
      <c r="H731">
        <v>0</v>
      </c>
      <c r="I731" s="1" t="s">
        <v>1449</v>
      </c>
      <c r="J731">
        <v>7.9249999999999998</v>
      </c>
      <c r="K731" s="1" t="s">
        <v>48</v>
      </c>
      <c r="L731" s="1" t="s">
        <v>14</v>
      </c>
      <c r="M731">
        <v>1</v>
      </c>
      <c r="N731">
        <v>0</v>
      </c>
      <c r="O731">
        <v>0</v>
      </c>
      <c r="P731" t="s">
        <v>1739</v>
      </c>
      <c r="Q731">
        <v>1</v>
      </c>
      <c r="R731">
        <v>0</v>
      </c>
      <c r="S731">
        <v>0</v>
      </c>
      <c r="T731">
        <v>0</v>
      </c>
      <c r="U731">
        <v>0</v>
      </c>
      <c r="V731">
        <f t="shared" si="33"/>
        <v>0.87219584275330231</v>
      </c>
      <c r="W731">
        <f t="shared" si="34"/>
        <v>0.70520240168703408</v>
      </c>
      <c r="X731">
        <f t="shared" si="35"/>
        <v>1.2214662655353992</v>
      </c>
    </row>
    <row r="732" spans="1:24" x14ac:dyDescent="0.25">
      <c r="A732">
        <v>731</v>
      </c>
      <c r="B732">
        <v>1</v>
      </c>
      <c r="C732">
        <v>1</v>
      </c>
      <c r="D732" s="1" t="s">
        <v>1450</v>
      </c>
      <c r="E732">
        <v>1</v>
      </c>
      <c r="F732">
        <v>29</v>
      </c>
      <c r="G732">
        <v>0</v>
      </c>
      <c r="H732">
        <v>0</v>
      </c>
      <c r="I732" s="1" t="s">
        <v>1372</v>
      </c>
      <c r="J732">
        <v>211.33750000000001</v>
      </c>
      <c r="K732" s="1" t="s">
        <v>1373</v>
      </c>
      <c r="L732" s="1" t="s">
        <v>14</v>
      </c>
      <c r="M732">
        <v>1</v>
      </c>
      <c r="N732">
        <v>0</v>
      </c>
      <c r="O732">
        <v>0</v>
      </c>
      <c r="P732" t="s">
        <v>1739</v>
      </c>
      <c r="Q732">
        <v>1</v>
      </c>
      <c r="R732">
        <v>0</v>
      </c>
      <c r="S732">
        <v>0</v>
      </c>
      <c r="T732">
        <v>0</v>
      </c>
      <c r="U732">
        <v>0</v>
      </c>
      <c r="V732">
        <f t="shared" si="33"/>
        <v>0.87219584275330231</v>
      </c>
      <c r="W732">
        <f t="shared" si="34"/>
        <v>0.70520240168703408</v>
      </c>
      <c r="X732">
        <f t="shared" si="35"/>
        <v>0.34927042278209691</v>
      </c>
    </row>
    <row r="733" spans="1:24" x14ac:dyDescent="0.25">
      <c r="A733">
        <v>732</v>
      </c>
      <c r="B733">
        <v>0</v>
      </c>
      <c r="C733">
        <v>3</v>
      </c>
      <c r="D733" s="1" t="s">
        <v>1451</v>
      </c>
      <c r="E733">
        <v>0</v>
      </c>
      <c r="F733">
        <v>11</v>
      </c>
      <c r="G733">
        <v>0</v>
      </c>
      <c r="H733">
        <v>0</v>
      </c>
      <c r="I733" s="1" t="s">
        <v>445</v>
      </c>
      <c r="J733">
        <v>18.787500000000001</v>
      </c>
      <c r="K733" s="1" t="s">
        <v>48</v>
      </c>
      <c r="L733" s="1" t="s">
        <v>18</v>
      </c>
      <c r="M733">
        <v>0</v>
      </c>
      <c r="N733">
        <v>1</v>
      </c>
      <c r="O733">
        <v>0</v>
      </c>
      <c r="P733" t="s">
        <v>1741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f t="shared" si="33"/>
        <v>0</v>
      </c>
      <c r="W733">
        <f t="shared" si="34"/>
        <v>0.5</v>
      </c>
      <c r="X733">
        <f t="shared" si="35"/>
        <v>0.69314718055994529</v>
      </c>
    </row>
    <row r="734" spans="1:24" x14ac:dyDescent="0.25">
      <c r="A734">
        <v>733</v>
      </c>
      <c r="B734">
        <v>0</v>
      </c>
      <c r="C734">
        <v>2</v>
      </c>
      <c r="D734" s="1" t="s">
        <v>1452</v>
      </c>
      <c r="E734">
        <v>0</v>
      </c>
      <c r="F734" s="1">
        <v>32.180156657963444</v>
      </c>
      <c r="G734">
        <v>0</v>
      </c>
      <c r="H734">
        <v>0</v>
      </c>
      <c r="I734" s="1" t="s">
        <v>1453</v>
      </c>
      <c r="J734">
        <v>0</v>
      </c>
      <c r="K734" s="1" t="s">
        <v>48</v>
      </c>
      <c r="L734" s="1" t="s">
        <v>14</v>
      </c>
      <c r="M734">
        <v>1</v>
      </c>
      <c r="N734">
        <v>0</v>
      </c>
      <c r="O734">
        <v>0</v>
      </c>
      <c r="P734" t="s">
        <v>1741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f t="shared" si="33"/>
        <v>0</v>
      </c>
      <c r="W734">
        <f t="shared" si="34"/>
        <v>0.5</v>
      </c>
      <c r="X734">
        <f t="shared" si="35"/>
        <v>0.69314718055994529</v>
      </c>
    </row>
    <row r="735" spans="1:24" x14ac:dyDescent="0.25">
      <c r="A735">
        <v>734</v>
      </c>
      <c r="B735">
        <v>0</v>
      </c>
      <c r="C735">
        <v>2</v>
      </c>
      <c r="D735" s="1" t="s">
        <v>1454</v>
      </c>
      <c r="E735">
        <v>0</v>
      </c>
      <c r="F735">
        <v>23</v>
      </c>
      <c r="G735">
        <v>0</v>
      </c>
      <c r="H735">
        <v>0</v>
      </c>
      <c r="I735" s="1" t="s">
        <v>1455</v>
      </c>
      <c r="J735">
        <v>13</v>
      </c>
      <c r="K735" s="1" t="s">
        <v>48</v>
      </c>
      <c r="L735" s="1" t="s">
        <v>14</v>
      </c>
      <c r="M735">
        <v>1</v>
      </c>
      <c r="N735">
        <v>0</v>
      </c>
      <c r="O735">
        <v>0</v>
      </c>
      <c r="P735" t="s">
        <v>1741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f t="shared" si="33"/>
        <v>0</v>
      </c>
      <c r="W735">
        <f t="shared" si="34"/>
        <v>0.5</v>
      </c>
      <c r="X735">
        <f t="shared" si="35"/>
        <v>0.69314718055994529</v>
      </c>
    </row>
    <row r="736" spans="1:24" x14ac:dyDescent="0.25">
      <c r="A736">
        <v>735</v>
      </c>
      <c r="B736">
        <v>0</v>
      </c>
      <c r="C736">
        <v>2</v>
      </c>
      <c r="D736" s="1" t="s">
        <v>1456</v>
      </c>
      <c r="E736">
        <v>0</v>
      </c>
      <c r="F736">
        <v>23</v>
      </c>
      <c r="G736">
        <v>0</v>
      </c>
      <c r="H736">
        <v>0</v>
      </c>
      <c r="I736" s="1" t="s">
        <v>1457</v>
      </c>
      <c r="J736">
        <v>13</v>
      </c>
      <c r="K736" s="1" t="s">
        <v>48</v>
      </c>
      <c r="L736" s="1" t="s">
        <v>14</v>
      </c>
      <c r="M736">
        <v>1</v>
      </c>
      <c r="N736">
        <v>0</v>
      </c>
      <c r="O736">
        <v>0</v>
      </c>
      <c r="P736" t="s">
        <v>1741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f t="shared" si="33"/>
        <v>0</v>
      </c>
      <c r="W736">
        <f t="shared" si="34"/>
        <v>0.5</v>
      </c>
      <c r="X736">
        <f t="shared" si="35"/>
        <v>0.69314718055994529</v>
      </c>
    </row>
    <row r="737" spans="1:24" x14ac:dyDescent="0.25">
      <c r="A737">
        <v>736</v>
      </c>
      <c r="B737">
        <v>0</v>
      </c>
      <c r="C737">
        <v>3</v>
      </c>
      <c r="D737" s="1" t="s">
        <v>1458</v>
      </c>
      <c r="E737">
        <v>0</v>
      </c>
      <c r="F737" s="1">
        <v>32.180156657963444</v>
      </c>
      <c r="G737">
        <v>0</v>
      </c>
      <c r="H737">
        <v>0</v>
      </c>
      <c r="I737" s="1" t="s">
        <v>1254</v>
      </c>
      <c r="J737">
        <v>16.100000000000001</v>
      </c>
      <c r="K737" s="1" t="s">
        <v>48</v>
      </c>
      <c r="L737" s="1" t="s">
        <v>14</v>
      </c>
      <c r="M737">
        <v>1</v>
      </c>
      <c r="N737">
        <v>0</v>
      </c>
      <c r="O737">
        <v>0</v>
      </c>
      <c r="P737" t="s">
        <v>1741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f t="shared" si="33"/>
        <v>0</v>
      </c>
      <c r="W737">
        <f t="shared" si="34"/>
        <v>0.5</v>
      </c>
      <c r="X737">
        <f t="shared" si="35"/>
        <v>0.69314718055994529</v>
      </c>
    </row>
    <row r="738" spans="1:24" x14ac:dyDescent="0.25">
      <c r="A738">
        <v>737</v>
      </c>
      <c r="B738">
        <v>0</v>
      </c>
      <c r="C738">
        <v>3</v>
      </c>
      <c r="D738" s="1" t="s">
        <v>1459</v>
      </c>
      <c r="E738">
        <v>1</v>
      </c>
      <c r="F738">
        <v>48</v>
      </c>
      <c r="G738">
        <v>1</v>
      </c>
      <c r="H738">
        <v>3</v>
      </c>
      <c r="I738" s="1" t="s">
        <v>203</v>
      </c>
      <c r="J738">
        <v>34.375</v>
      </c>
      <c r="K738" s="1" t="s">
        <v>48</v>
      </c>
      <c r="L738" s="1" t="s">
        <v>14</v>
      </c>
      <c r="M738">
        <v>1</v>
      </c>
      <c r="N738">
        <v>0</v>
      </c>
      <c r="O738">
        <v>0</v>
      </c>
      <c r="P738" t="s">
        <v>1740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f t="shared" si="33"/>
        <v>1.3618761518134992</v>
      </c>
      <c r="W738">
        <f t="shared" si="34"/>
        <v>0.79606445234832413</v>
      </c>
      <c r="X738">
        <f t="shared" si="35"/>
        <v>1.5899512779423304</v>
      </c>
    </row>
    <row r="739" spans="1:24" x14ac:dyDescent="0.25">
      <c r="A739">
        <v>738</v>
      </c>
      <c r="B739">
        <v>1</v>
      </c>
      <c r="C739">
        <v>1</v>
      </c>
      <c r="D739" s="1" t="s">
        <v>1460</v>
      </c>
      <c r="E739">
        <v>0</v>
      </c>
      <c r="F739">
        <v>35</v>
      </c>
      <c r="G739">
        <v>0</v>
      </c>
      <c r="H739">
        <v>0</v>
      </c>
      <c r="I739" s="1" t="s">
        <v>550</v>
      </c>
      <c r="J739">
        <v>512.32920000000001</v>
      </c>
      <c r="K739" s="1" t="s">
        <v>1461</v>
      </c>
      <c r="L739" s="1" t="s">
        <v>18</v>
      </c>
      <c r="M739">
        <v>0</v>
      </c>
      <c r="N739">
        <v>1</v>
      </c>
      <c r="O739">
        <v>0</v>
      </c>
      <c r="P739" t="s">
        <v>1741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f t="shared" si="33"/>
        <v>0</v>
      </c>
      <c r="W739">
        <f t="shared" si="34"/>
        <v>0.5</v>
      </c>
      <c r="X739">
        <f t="shared" si="35"/>
        <v>0.69314718055994529</v>
      </c>
    </row>
    <row r="740" spans="1:24" x14ac:dyDescent="0.25">
      <c r="A740">
        <v>739</v>
      </c>
      <c r="B740">
        <v>0</v>
      </c>
      <c r="C740">
        <v>3</v>
      </c>
      <c r="D740" s="1" t="s">
        <v>1462</v>
      </c>
      <c r="E740">
        <v>0</v>
      </c>
      <c r="F740" s="1">
        <v>32.180156657963444</v>
      </c>
      <c r="G740">
        <v>0</v>
      </c>
      <c r="H740">
        <v>0</v>
      </c>
      <c r="I740" s="1" t="s">
        <v>1463</v>
      </c>
      <c r="J740">
        <v>7.8958000000000004</v>
      </c>
      <c r="K740" s="1" t="s">
        <v>48</v>
      </c>
      <c r="L740" s="1" t="s">
        <v>14</v>
      </c>
      <c r="M740">
        <v>1</v>
      </c>
      <c r="N740">
        <v>0</v>
      </c>
      <c r="O740">
        <v>0</v>
      </c>
      <c r="P740" t="s">
        <v>1741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f t="shared" si="33"/>
        <v>0</v>
      </c>
      <c r="W740">
        <f t="shared" si="34"/>
        <v>0.5</v>
      </c>
      <c r="X740">
        <f t="shared" si="35"/>
        <v>0.69314718055994529</v>
      </c>
    </row>
    <row r="741" spans="1:24" x14ac:dyDescent="0.25">
      <c r="A741">
        <v>740</v>
      </c>
      <c r="B741">
        <v>0</v>
      </c>
      <c r="C741">
        <v>3</v>
      </c>
      <c r="D741" s="1" t="s">
        <v>1464</v>
      </c>
      <c r="E741">
        <v>0</v>
      </c>
      <c r="F741" s="1">
        <v>32.180156657963444</v>
      </c>
      <c r="G741">
        <v>0</v>
      </c>
      <c r="H741">
        <v>0</v>
      </c>
      <c r="I741" s="1" t="s">
        <v>1465</v>
      </c>
      <c r="J741">
        <v>7.8958000000000004</v>
      </c>
      <c r="K741" s="1" t="s">
        <v>48</v>
      </c>
      <c r="L741" s="1" t="s">
        <v>14</v>
      </c>
      <c r="M741">
        <v>1</v>
      </c>
      <c r="N741">
        <v>0</v>
      </c>
      <c r="O741">
        <v>0</v>
      </c>
      <c r="P741" t="s">
        <v>1741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f t="shared" si="33"/>
        <v>0</v>
      </c>
      <c r="W741">
        <f t="shared" si="34"/>
        <v>0.5</v>
      </c>
      <c r="X741">
        <f t="shared" si="35"/>
        <v>0.69314718055994529</v>
      </c>
    </row>
    <row r="742" spans="1:24" x14ac:dyDescent="0.25">
      <c r="A742">
        <v>741</v>
      </c>
      <c r="B742">
        <v>1</v>
      </c>
      <c r="C742">
        <v>1</v>
      </c>
      <c r="D742" s="1" t="s">
        <v>1466</v>
      </c>
      <c r="E742">
        <v>0</v>
      </c>
      <c r="F742" s="1">
        <v>32.180156657963444</v>
      </c>
      <c r="G742">
        <v>0</v>
      </c>
      <c r="H742">
        <v>0</v>
      </c>
      <c r="I742" s="1" t="s">
        <v>1467</v>
      </c>
      <c r="J742">
        <v>30</v>
      </c>
      <c r="K742" s="1" t="s">
        <v>1468</v>
      </c>
      <c r="L742" s="1" t="s">
        <v>14</v>
      </c>
      <c r="M742">
        <v>1</v>
      </c>
      <c r="N742">
        <v>0</v>
      </c>
      <c r="O742">
        <v>0</v>
      </c>
      <c r="P742" t="s">
        <v>1741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f t="shared" si="33"/>
        <v>0</v>
      </c>
      <c r="W742">
        <f t="shared" si="34"/>
        <v>0.5</v>
      </c>
      <c r="X742">
        <f t="shared" si="35"/>
        <v>0.69314718055994529</v>
      </c>
    </row>
    <row r="743" spans="1:24" x14ac:dyDescent="0.25">
      <c r="A743">
        <v>742</v>
      </c>
      <c r="B743">
        <v>0</v>
      </c>
      <c r="C743">
        <v>1</v>
      </c>
      <c r="D743" s="1" t="s">
        <v>1469</v>
      </c>
      <c r="E743">
        <v>0</v>
      </c>
      <c r="F743">
        <v>36</v>
      </c>
      <c r="G743">
        <v>1</v>
      </c>
      <c r="H743">
        <v>0</v>
      </c>
      <c r="I743" s="1" t="s">
        <v>617</v>
      </c>
      <c r="J743">
        <v>78.849999999999994</v>
      </c>
      <c r="K743" s="1" t="s">
        <v>1470</v>
      </c>
      <c r="L743" s="1" t="s">
        <v>14</v>
      </c>
      <c r="M743">
        <v>1</v>
      </c>
      <c r="N743">
        <v>0</v>
      </c>
      <c r="O743">
        <v>0</v>
      </c>
      <c r="P743" t="s">
        <v>1741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f t="shared" si="33"/>
        <v>0</v>
      </c>
      <c r="W743">
        <f t="shared" si="34"/>
        <v>0.5</v>
      </c>
      <c r="X743">
        <f t="shared" si="35"/>
        <v>0.69314718055994529</v>
      </c>
    </row>
    <row r="744" spans="1:24" x14ac:dyDescent="0.25">
      <c r="A744">
        <v>743</v>
      </c>
      <c r="B744">
        <v>1</v>
      </c>
      <c r="C744">
        <v>1</v>
      </c>
      <c r="D744" s="1" t="s">
        <v>1471</v>
      </c>
      <c r="E744">
        <v>1</v>
      </c>
      <c r="F744">
        <v>21</v>
      </c>
      <c r="G744">
        <v>2</v>
      </c>
      <c r="H744">
        <v>2</v>
      </c>
      <c r="I744" s="1" t="s">
        <v>663</v>
      </c>
      <c r="J744">
        <v>262.375</v>
      </c>
      <c r="K744" s="1" t="s">
        <v>664</v>
      </c>
      <c r="L744" s="1" t="s">
        <v>18</v>
      </c>
      <c r="M744">
        <v>0</v>
      </c>
      <c r="N744">
        <v>1</v>
      </c>
      <c r="O744">
        <v>0</v>
      </c>
      <c r="P744" t="s">
        <v>1739</v>
      </c>
      <c r="Q744">
        <v>1</v>
      </c>
      <c r="R744">
        <v>0</v>
      </c>
      <c r="S744">
        <v>0</v>
      </c>
      <c r="T744">
        <v>0</v>
      </c>
      <c r="U744">
        <v>0</v>
      </c>
      <c r="V744">
        <f t="shared" si="33"/>
        <v>0.87219584275330231</v>
      </c>
      <c r="W744">
        <f t="shared" si="34"/>
        <v>0.70520240168703408</v>
      </c>
      <c r="X744">
        <f t="shared" si="35"/>
        <v>0.34927042278209691</v>
      </c>
    </row>
    <row r="745" spans="1:24" x14ac:dyDescent="0.25">
      <c r="A745">
        <v>744</v>
      </c>
      <c r="B745">
        <v>0</v>
      </c>
      <c r="C745">
        <v>3</v>
      </c>
      <c r="D745" s="1" t="s">
        <v>1472</v>
      </c>
      <c r="E745">
        <v>0</v>
      </c>
      <c r="F745">
        <v>24</v>
      </c>
      <c r="G745">
        <v>1</v>
      </c>
      <c r="H745">
        <v>0</v>
      </c>
      <c r="I745" s="1" t="s">
        <v>1473</v>
      </c>
      <c r="J745">
        <v>16.100000000000001</v>
      </c>
      <c r="K745" s="1" t="s">
        <v>48</v>
      </c>
      <c r="L745" s="1" t="s">
        <v>14</v>
      </c>
      <c r="M745">
        <v>1</v>
      </c>
      <c r="N745">
        <v>0</v>
      </c>
      <c r="O745">
        <v>0</v>
      </c>
      <c r="P745" t="s">
        <v>1741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f t="shared" si="33"/>
        <v>0</v>
      </c>
      <c r="W745">
        <f t="shared" si="34"/>
        <v>0.5</v>
      </c>
      <c r="X745">
        <f t="shared" si="35"/>
        <v>0.69314718055994529</v>
      </c>
    </row>
    <row r="746" spans="1:24" x14ac:dyDescent="0.25">
      <c r="A746">
        <v>745</v>
      </c>
      <c r="B746">
        <v>1</v>
      </c>
      <c r="C746">
        <v>3</v>
      </c>
      <c r="D746" s="1" t="s">
        <v>1474</v>
      </c>
      <c r="E746">
        <v>0</v>
      </c>
      <c r="F746">
        <v>31</v>
      </c>
      <c r="G746">
        <v>0</v>
      </c>
      <c r="H746">
        <v>0</v>
      </c>
      <c r="I746" s="1" t="s">
        <v>1475</v>
      </c>
      <c r="J746">
        <v>7.9249999999999998</v>
      </c>
      <c r="K746" s="1" t="s">
        <v>48</v>
      </c>
      <c r="L746" s="1" t="s">
        <v>14</v>
      </c>
      <c r="M746">
        <v>1</v>
      </c>
      <c r="N746">
        <v>0</v>
      </c>
      <c r="O746">
        <v>0</v>
      </c>
      <c r="P746" t="s">
        <v>1741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f t="shared" si="33"/>
        <v>0</v>
      </c>
      <c r="W746">
        <f t="shared" si="34"/>
        <v>0.5</v>
      </c>
      <c r="X746">
        <f t="shared" si="35"/>
        <v>0.69314718055994529</v>
      </c>
    </row>
    <row r="747" spans="1:24" x14ac:dyDescent="0.25">
      <c r="A747">
        <v>746</v>
      </c>
      <c r="B747">
        <v>0</v>
      </c>
      <c r="C747">
        <v>1</v>
      </c>
      <c r="D747" s="1" t="s">
        <v>1476</v>
      </c>
      <c r="E747">
        <v>0</v>
      </c>
      <c r="F747">
        <v>70</v>
      </c>
      <c r="G747">
        <v>1</v>
      </c>
      <c r="H747">
        <v>1</v>
      </c>
      <c r="I747" s="1" t="s">
        <v>1102</v>
      </c>
      <c r="J747">
        <v>71</v>
      </c>
      <c r="K747" s="1" t="s">
        <v>1103</v>
      </c>
      <c r="L747" s="1" t="s">
        <v>14</v>
      </c>
      <c r="M747">
        <v>1</v>
      </c>
      <c r="N747">
        <v>0</v>
      </c>
      <c r="O747">
        <v>0</v>
      </c>
      <c r="P747" t="s">
        <v>1754</v>
      </c>
      <c r="Q747">
        <v>0</v>
      </c>
      <c r="R747">
        <v>0</v>
      </c>
      <c r="S747">
        <v>0</v>
      </c>
      <c r="T747">
        <v>0</v>
      </c>
      <c r="U747">
        <v>1</v>
      </c>
      <c r="V747">
        <f t="shared" si="33"/>
        <v>0</v>
      </c>
      <c r="W747">
        <f t="shared" si="34"/>
        <v>0.5</v>
      </c>
      <c r="X747">
        <f t="shared" si="35"/>
        <v>0.69314718055994529</v>
      </c>
    </row>
    <row r="748" spans="1:24" x14ac:dyDescent="0.25">
      <c r="A748">
        <v>747</v>
      </c>
      <c r="B748">
        <v>0</v>
      </c>
      <c r="C748">
        <v>3</v>
      </c>
      <c r="D748" s="1" t="s">
        <v>1477</v>
      </c>
      <c r="E748">
        <v>0</v>
      </c>
      <c r="F748">
        <v>16</v>
      </c>
      <c r="G748">
        <v>1</v>
      </c>
      <c r="H748">
        <v>1</v>
      </c>
      <c r="I748" s="1" t="s">
        <v>594</v>
      </c>
      <c r="J748">
        <v>20.25</v>
      </c>
      <c r="K748" s="1" t="s">
        <v>48</v>
      </c>
      <c r="L748" s="1" t="s">
        <v>14</v>
      </c>
      <c r="M748">
        <v>1</v>
      </c>
      <c r="N748">
        <v>0</v>
      </c>
      <c r="O748">
        <v>0</v>
      </c>
      <c r="P748" t="s">
        <v>1741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f t="shared" si="33"/>
        <v>0</v>
      </c>
      <c r="W748">
        <f t="shared" si="34"/>
        <v>0.5</v>
      </c>
      <c r="X748">
        <f t="shared" si="35"/>
        <v>0.69314718055994529</v>
      </c>
    </row>
    <row r="749" spans="1:24" x14ac:dyDescent="0.25">
      <c r="A749">
        <v>748</v>
      </c>
      <c r="B749">
        <v>1</v>
      </c>
      <c r="C749">
        <v>2</v>
      </c>
      <c r="D749" s="1" t="s">
        <v>1478</v>
      </c>
      <c r="E749">
        <v>1</v>
      </c>
      <c r="F749">
        <v>30</v>
      </c>
      <c r="G749">
        <v>0</v>
      </c>
      <c r="H749">
        <v>0</v>
      </c>
      <c r="I749" s="1" t="s">
        <v>1479</v>
      </c>
      <c r="J749">
        <v>13</v>
      </c>
      <c r="K749" s="1" t="s">
        <v>48</v>
      </c>
      <c r="L749" s="1" t="s">
        <v>14</v>
      </c>
      <c r="M749">
        <v>1</v>
      </c>
      <c r="N749">
        <v>0</v>
      </c>
      <c r="O749">
        <v>0</v>
      </c>
      <c r="P749" t="s">
        <v>1739</v>
      </c>
      <c r="Q749">
        <v>1</v>
      </c>
      <c r="R749">
        <v>0</v>
      </c>
      <c r="S749">
        <v>0</v>
      </c>
      <c r="T749">
        <v>0</v>
      </c>
      <c r="U749">
        <v>0</v>
      </c>
      <c r="V749">
        <f t="shared" si="33"/>
        <v>0.87219584275330231</v>
      </c>
      <c r="W749">
        <f t="shared" si="34"/>
        <v>0.70520240168703408</v>
      </c>
      <c r="X749">
        <f t="shared" si="35"/>
        <v>0.34927042278209691</v>
      </c>
    </row>
    <row r="750" spans="1:24" x14ac:dyDescent="0.25">
      <c r="A750">
        <v>749</v>
      </c>
      <c r="B750">
        <v>0</v>
      </c>
      <c r="C750">
        <v>1</v>
      </c>
      <c r="D750" s="1" t="s">
        <v>1480</v>
      </c>
      <c r="E750">
        <v>0</v>
      </c>
      <c r="F750">
        <v>19</v>
      </c>
      <c r="G750">
        <v>1</v>
      </c>
      <c r="H750">
        <v>0</v>
      </c>
      <c r="I750" s="1" t="s">
        <v>1481</v>
      </c>
      <c r="J750">
        <v>53.1</v>
      </c>
      <c r="K750" s="1" t="s">
        <v>1482</v>
      </c>
      <c r="L750" s="1" t="s">
        <v>14</v>
      </c>
      <c r="M750">
        <v>1</v>
      </c>
      <c r="N750">
        <v>0</v>
      </c>
      <c r="O750">
        <v>0</v>
      </c>
      <c r="P750" t="s">
        <v>1741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f t="shared" si="33"/>
        <v>0</v>
      </c>
      <c r="W750">
        <f t="shared" si="34"/>
        <v>0.5</v>
      </c>
      <c r="X750">
        <f t="shared" si="35"/>
        <v>0.69314718055994529</v>
      </c>
    </row>
    <row r="751" spans="1:24" x14ac:dyDescent="0.25">
      <c r="A751">
        <v>750</v>
      </c>
      <c r="B751">
        <v>0</v>
      </c>
      <c r="C751">
        <v>3</v>
      </c>
      <c r="D751" s="1" t="s">
        <v>1483</v>
      </c>
      <c r="E751">
        <v>0</v>
      </c>
      <c r="F751">
        <v>31</v>
      </c>
      <c r="G751">
        <v>0</v>
      </c>
      <c r="H751">
        <v>0</v>
      </c>
      <c r="I751" s="1" t="s">
        <v>1484</v>
      </c>
      <c r="J751">
        <v>7.75</v>
      </c>
      <c r="K751" s="1" t="s">
        <v>48</v>
      </c>
      <c r="L751" s="1" t="s">
        <v>28</v>
      </c>
      <c r="M751">
        <v>0</v>
      </c>
      <c r="N751">
        <v>0</v>
      </c>
      <c r="O751">
        <v>1</v>
      </c>
      <c r="P751" t="s">
        <v>1741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f t="shared" si="33"/>
        <v>0</v>
      </c>
      <c r="W751">
        <f t="shared" si="34"/>
        <v>0.5</v>
      </c>
      <c r="X751">
        <f t="shared" si="35"/>
        <v>0.69314718055994529</v>
      </c>
    </row>
    <row r="752" spans="1:24" x14ac:dyDescent="0.25">
      <c r="A752">
        <v>751</v>
      </c>
      <c r="B752">
        <v>1</v>
      </c>
      <c r="C752">
        <v>2</v>
      </c>
      <c r="D752" s="1" t="s">
        <v>1485</v>
      </c>
      <c r="E752">
        <v>1</v>
      </c>
      <c r="F752">
        <v>4</v>
      </c>
      <c r="G752">
        <v>1</v>
      </c>
      <c r="H752">
        <v>1</v>
      </c>
      <c r="I752" s="1" t="s">
        <v>1486</v>
      </c>
      <c r="J752">
        <v>23</v>
      </c>
      <c r="K752" s="1" t="s">
        <v>48</v>
      </c>
      <c r="L752" s="1" t="s">
        <v>14</v>
      </c>
      <c r="M752">
        <v>1</v>
      </c>
      <c r="N752">
        <v>0</v>
      </c>
      <c r="O752">
        <v>0</v>
      </c>
      <c r="P752" t="s">
        <v>1739</v>
      </c>
      <c r="Q752">
        <v>1</v>
      </c>
      <c r="R752">
        <v>0</v>
      </c>
      <c r="S752">
        <v>0</v>
      </c>
      <c r="T752">
        <v>0</v>
      </c>
      <c r="U752">
        <v>0</v>
      </c>
      <c r="V752">
        <f t="shared" si="33"/>
        <v>0.87219584275330231</v>
      </c>
      <c r="W752">
        <f t="shared" si="34"/>
        <v>0.70520240168703408</v>
      </c>
      <c r="X752">
        <f t="shared" si="35"/>
        <v>0.34927042278209691</v>
      </c>
    </row>
    <row r="753" spans="1:24" x14ac:dyDescent="0.25">
      <c r="A753">
        <v>752</v>
      </c>
      <c r="B753">
        <v>1</v>
      </c>
      <c r="C753">
        <v>3</v>
      </c>
      <c r="D753" s="1" t="s">
        <v>1487</v>
      </c>
      <c r="E753">
        <v>0</v>
      </c>
      <c r="F753">
        <v>6</v>
      </c>
      <c r="G753">
        <v>0</v>
      </c>
      <c r="H753">
        <v>1</v>
      </c>
      <c r="I753" s="1" t="s">
        <v>1488</v>
      </c>
      <c r="J753">
        <v>12.475</v>
      </c>
      <c r="K753" s="1" t="s">
        <v>1489</v>
      </c>
      <c r="L753" s="1" t="s">
        <v>14</v>
      </c>
      <c r="M753">
        <v>1</v>
      </c>
      <c r="N753">
        <v>0</v>
      </c>
      <c r="O753">
        <v>0</v>
      </c>
      <c r="P753" t="s">
        <v>1742</v>
      </c>
      <c r="Q753">
        <v>0</v>
      </c>
      <c r="R753">
        <v>0</v>
      </c>
      <c r="S753">
        <v>0</v>
      </c>
      <c r="T753">
        <v>1</v>
      </c>
      <c r="U753">
        <v>0</v>
      </c>
      <c r="V753">
        <f t="shared" si="33"/>
        <v>0.21766252466937555</v>
      </c>
      <c r="W753">
        <f t="shared" si="34"/>
        <v>0.55420180681382414</v>
      </c>
      <c r="X753">
        <f t="shared" si="35"/>
        <v>0.59022638633875368</v>
      </c>
    </row>
    <row r="754" spans="1:24" x14ac:dyDescent="0.25">
      <c r="A754">
        <v>753</v>
      </c>
      <c r="B754">
        <v>0</v>
      </c>
      <c r="C754">
        <v>3</v>
      </c>
      <c r="D754" s="1" t="s">
        <v>1490</v>
      </c>
      <c r="E754">
        <v>0</v>
      </c>
      <c r="F754">
        <v>33</v>
      </c>
      <c r="G754">
        <v>0</v>
      </c>
      <c r="H754">
        <v>0</v>
      </c>
      <c r="I754" s="1" t="s">
        <v>1491</v>
      </c>
      <c r="J754">
        <v>9.5</v>
      </c>
      <c r="K754" s="1" t="s">
        <v>48</v>
      </c>
      <c r="L754" s="1" t="s">
        <v>14</v>
      </c>
      <c r="M754">
        <v>1</v>
      </c>
      <c r="N754">
        <v>0</v>
      </c>
      <c r="O754">
        <v>0</v>
      </c>
      <c r="P754" t="s">
        <v>1741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f t="shared" si="33"/>
        <v>0</v>
      </c>
      <c r="W754">
        <f t="shared" si="34"/>
        <v>0.5</v>
      </c>
      <c r="X754">
        <f t="shared" si="35"/>
        <v>0.69314718055994529</v>
      </c>
    </row>
    <row r="755" spans="1:24" x14ac:dyDescent="0.25">
      <c r="A755">
        <v>754</v>
      </c>
      <c r="B755">
        <v>0</v>
      </c>
      <c r="C755">
        <v>3</v>
      </c>
      <c r="D755" s="1" t="s">
        <v>1492</v>
      </c>
      <c r="E755">
        <v>0</v>
      </c>
      <c r="F755">
        <v>23</v>
      </c>
      <c r="G755">
        <v>0</v>
      </c>
      <c r="H755">
        <v>0</v>
      </c>
      <c r="I755" s="1" t="s">
        <v>1493</v>
      </c>
      <c r="J755">
        <v>7.8958000000000004</v>
      </c>
      <c r="K755" s="1" t="s">
        <v>48</v>
      </c>
      <c r="L755" s="1" t="s">
        <v>14</v>
      </c>
      <c r="M755">
        <v>1</v>
      </c>
      <c r="N755">
        <v>0</v>
      </c>
      <c r="O755">
        <v>0</v>
      </c>
      <c r="P755" t="s">
        <v>1741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f t="shared" si="33"/>
        <v>0</v>
      </c>
      <c r="W755">
        <f t="shared" si="34"/>
        <v>0.5</v>
      </c>
      <c r="X755">
        <f t="shared" si="35"/>
        <v>0.69314718055994529</v>
      </c>
    </row>
    <row r="756" spans="1:24" x14ac:dyDescent="0.25">
      <c r="A756">
        <v>755</v>
      </c>
      <c r="B756">
        <v>1</v>
      </c>
      <c r="C756">
        <v>2</v>
      </c>
      <c r="D756" s="1" t="s">
        <v>1494</v>
      </c>
      <c r="E756">
        <v>1</v>
      </c>
      <c r="F756">
        <v>48</v>
      </c>
      <c r="G756">
        <v>1</v>
      </c>
      <c r="H756">
        <v>2</v>
      </c>
      <c r="I756" s="1" t="s">
        <v>1239</v>
      </c>
      <c r="J756">
        <v>65</v>
      </c>
      <c r="K756" s="1" t="s">
        <v>48</v>
      </c>
      <c r="L756" s="1" t="s">
        <v>14</v>
      </c>
      <c r="M756">
        <v>1</v>
      </c>
      <c r="N756">
        <v>0</v>
      </c>
      <c r="O756">
        <v>0</v>
      </c>
      <c r="P756" t="s">
        <v>1740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f t="shared" si="33"/>
        <v>1.3618761518134992</v>
      </c>
      <c r="W756">
        <f t="shared" si="34"/>
        <v>0.79606445234832413</v>
      </c>
      <c r="X756">
        <f t="shared" si="35"/>
        <v>0.22807512612883141</v>
      </c>
    </row>
    <row r="757" spans="1:24" x14ac:dyDescent="0.25">
      <c r="A757">
        <v>756</v>
      </c>
      <c r="B757">
        <v>1</v>
      </c>
      <c r="C757">
        <v>2</v>
      </c>
      <c r="D757" s="1" t="s">
        <v>1495</v>
      </c>
      <c r="E757">
        <v>0</v>
      </c>
      <c r="F757" s="1">
        <v>5.193548387096774</v>
      </c>
      <c r="G757">
        <v>1</v>
      </c>
      <c r="H757">
        <v>1</v>
      </c>
      <c r="I757" s="1" t="s">
        <v>526</v>
      </c>
      <c r="J757">
        <v>14.5</v>
      </c>
      <c r="K757" s="1" t="s">
        <v>48</v>
      </c>
      <c r="L757" s="1" t="s">
        <v>14</v>
      </c>
      <c r="M757">
        <v>1</v>
      </c>
      <c r="N757">
        <v>0</v>
      </c>
      <c r="O757">
        <v>0</v>
      </c>
      <c r="P757" t="s">
        <v>1742</v>
      </c>
      <c r="Q757">
        <v>0</v>
      </c>
      <c r="R757">
        <v>0</v>
      </c>
      <c r="S757">
        <v>0</v>
      </c>
      <c r="T757">
        <v>1</v>
      </c>
      <c r="U757">
        <v>0</v>
      </c>
      <c r="V757">
        <f t="shared" si="33"/>
        <v>0.21766252466937555</v>
      </c>
      <c r="W757">
        <f t="shared" si="34"/>
        <v>0.55420180681382414</v>
      </c>
      <c r="X757">
        <f t="shared" si="35"/>
        <v>0.59022638633875368</v>
      </c>
    </row>
    <row r="758" spans="1:24" x14ac:dyDescent="0.25">
      <c r="A758">
        <v>757</v>
      </c>
      <c r="B758">
        <v>0</v>
      </c>
      <c r="C758">
        <v>3</v>
      </c>
      <c r="D758" s="1" t="s">
        <v>1496</v>
      </c>
      <c r="E758">
        <v>0</v>
      </c>
      <c r="F758">
        <v>28</v>
      </c>
      <c r="G758">
        <v>0</v>
      </c>
      <c r="H758">
        <v>0</v>
      </c>
      <c r="I758" s="1" t="s">
        <v>1497</v>
      </c>
      <c r="J758">
        <v>7.7957999999999998</v>
      </c>
      <c r="K758" s="1" t="s">
        <v>48</v>
      </c>
      <c r="L758" s="1" t="s">
        <v>14</v>
      </c>
      <c r="M758">
        <v>1</v>
      </c>
      <c r="N758">
        <v>0</v>
      </c>
      <c r="O758">
        <v>0</v>
      </c>
      <c r="P758" t="s">
        <v>1741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f t="shared" si="33"/>
        <v>0</v>
      </c>
      <c r="W758">
        <f t="shared" si="34"/>
        <v>0.5</v>
      </c>
      <c r="X758">
        <f t="shared" si="35"/>
        <v>0.69314718055994529</v>
      </c>
    </row>
    <row r="759" spans="1:24" x14ac:dyDescent="0.25">
      <c r="A759">
        <v>758</v>
      </c>
      <c r="B759">
        <v>0</v>
      </c>
      <c r="C759">
        <v>2</v>
      </c>
      <c r="D759" s="1" t="s">
        <v>1498</v>
      </c>
      <c r="E759">
        <v>0</v>
      </c>
      <c r="F759">
        <v>18</v>
      </c>
      <c r="G759">
        <v>0</v>
      </c>
      <c r="H759">
        <v>0</v>
      </c>
      <c r="I759" s="1" t="s">
        <v>1499</v>
      </c>
      <c r="J759">
        <v>11.5</v>
      </c>
      <c r="K759" s="1" t="s">
        <v>48</v>
      </c>
      <c r="L759" s="1" t="s">
        <v>14</v>
      </c>
      <c r="M759">
        <v>1</v>
      </c>
      <c r="N759">
        <v>0</v>
      </c>
      <c r="O759">
        <v>0</v>
      </c>
      <c r="P759" t="s">
        <v>1741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f t="shared" si="33"/>
        <v>0</v>
      </c>
      <c r="W759">
        <f t="shared" si="34"/>
        <v>0.5</v>
      </c>
      <c r="X759">
        <f t="shared" si="35"/>
        <v>0.69314718055994529</v>
      </c>
    </row>
    <row r="760" spans="1:24" x14ac:dyDescent="0.25">
      <c r="A760">
        <v>759</v>
      </c>
      <c r="B760">
        <v>0</v>
      </c>
      <c r="C760">
        <v>3</v>
      </c>
      <c r="D760" s="1" t="s">
        <v>1500</v>
      </c>
      <c r="E760">
        <v>0</v>
      </c>
      <c r="F760">
        <v>34</v>
      </c>
      <c r="G760">
        <v>0</v>
      </c>
      <c r="H760">
        <v>0</v>
      </c>
      <c r="I760" s="1" t="s">
        <v>1501</v>
      </c>
      <c r="J760">
        <v>8.0500000000000007</v>
      </c>
      <c r="K760" s="1" t="s">
        <v>48</v>
      </c>
      <c r="L760" s="1" t="s">
        <v>14</v>
      </c>
      <c r="M760">
        <v>1</v>
      </c>
      <c r="N760">
        <v>0</v>
      </c>
      <c r="O760">
        <v>0</v>
      </c>
      <c r="P760" t="s">
        <v>1741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f t="shared" si="33"/>
        <v>0</v>
      </c>
      <c r="W760">
        <f t="shared" si="34"/>
        <v>0.5</v>
      </c>
      <c r="X760">
        <f t="shared" si="35"/>
        <v>0.69314718055994529</v>
      </c>
    </row>
    <row r="761" spans="1:24" x14ac:dyDescent="0.25">
      <c r="A761">
        <v>760</v>
      </c>
      <c r="B761">
        <v>1</v>
      </c>
      <c r="C761">
        <v>1</v>
      </c>
      <c r="D761" s="1" t="s">
        <v>1502</v>
      </c>
      <c r="E761">
        <v>1</v>
      </c>
      <c r="F761">
        <v>33</v>
      </c>
      <c r="G761">
        <v>0</v>
      </c>
      <c r="H761">
        <v>0</v>
      </c>
      <c r="I761" s="1" t="s">
        <v>547</v>
      </c>
      <c r="J761">
        <v>86.5</v>
      </c>
      <c r="K761" s="1" t="s">
        <v>548</v>
      </c>
      <c r="L761" s="1" t="s">
        <v>14</v>
      </c>
      <c r="M761">
        <v>1</v>
      </c>
      <c r="N761">
        <v>0</v>
      </c>
      <c r="O761">
        <v>0</v>
      </c>
      <c r="P761" t="s">
        <v>1755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33"/>
        <v>0.71606068106693632</v>
      </c>
      <c r="W761">
        <f t="shared" si="34"/>
        <v>0.67173896306745373</v>
      </c>
      <c r="X761">
        <f t="shared" si="35"/>
        <v>0.39788546174067313</v>
      </c>
    </row>
    <row r="762" spans="1:24" x14ac:dyDescent="0.25">
      <c r="A762">
        <v>761</v>
      </c>
      <c r="B762">
        <v>0</v>
      </c>
      <c r="C762">
        <v>3</v>
      </c>
      <c r="D762" s="1" t="s">
        <v>1503</v>
      </c>
      <c r="E762">
        <v>0</v>
      </c>
      <c r="F762" s="1">
        <v>32.180156657963444</v>
      </c>
      <c r="G762">
        <v>0</v>
      </c>
      <c r="H762">
        <v>0</v>
      </c>
      <c r="I762" s="1" t="s">
        <v>1167</v>
      </c>
      <c r="J762">
        <v>14.5</v>
      </c>
      <c r="K762" s="1" t="s">
        <v>48</v>
      </c>
      <c r="L762" s="1" t="s">
        <v>14</v>
      </c>
      <c r="M762">
        <v>1</v>
      </c>
      <c r="N762">
        <v>0</v>
      </c>
      <c r="O762">
        <v>0</v>
      </c>
      <c r="P762" t="s">
        <v>1741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f t="shared" si="33"/>
        <v>0</v>
      </c>
      <c r="W762">
        <f t="shared" si="34"/>
        <v>0.5</v>
      </c>
      <c r="X762">
        <f t="shared" si="35"/>
        <v>0.69314718055994529</v>
      </c>
    </row>
    <row r="763" spans="1:24" x14ac:dyDescent="0.25">
      <c r="A763">
        <v>762</v>
      </c>
      <c r="B763">
        <v>0</v>
      </c>
      <c r="C763">
        <v>3</v>
      </c>
      <c r="D763" s="1" t="s">
        <v>1504</v>
      </c>
      <c r="E763">
        <v>0</v>
      </c>
      <c r="F763">
        <v>41</v>
      </c>
      <c r="G763">
        <v>0</v>
      </c>
      <c r="H763">
        <v>0</v>
      </c>
      <c r="I763" s="1" t="s">
        <v>1505</v>
      </c>
      <c r="J763">
        <v>7.125</v>
      </c>
      <c r="K763" s="1" t="s">
        <v>48</v>
      </c>
      <c r="L763" s="1" t="s">
        <v>14</v>
      </c>
      <c r="M763">
        <v>1</v>
      </c>
      <c r="N763">
        <v>0</v>
      </c>
      <c r="O763">
        <v>0</v>
      </c>
      <c r="P763" t="s">
        <v>1741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f t="shared" si="33"/>
        <v>0</v>
      </c>
      <c r="W763">
        <f t="shared" si="34"/>
        <v>0.5</v>
      </c>
      <c r="X763">
        <f t="shared" si="35"/>
        <v>0.69314718055994529</v>
      </c>
    </row>
    <row r="764" spans="1:24" x14ac:dyDescent="0.25">
      <c r="A764">
        <v>763</v>
      </c>
      <c r="B764">
        <v>1</v>
      </c>
      <c r="C764">
        <v>3</v>
      </c>
      <c r="D764" s="1" t="s">
        <v>1506</v>
      </c>
      <c r="E764">
        <v>0</v>
      </c>
      <c r="F764">
        <v>20</v>
      </c>
      <c r="G764">
        <v>0</v>
      </c>
      <c r="H764">
        <v>0</v>
      </c>
      <c r="I764" s="1" t="s">
        <v>1507</v>
      </c>
      <c r="J764">
        <v>7.2291999999999996</v>
      </c>
      <c r="K764" s="1" t="s">
        <v>48</v>
      </c>
      <c r="L764" s="1" t="s">
        <v>18</v>
      </c>
      <c r="M764">
        <v>0</v>
      </c>
      <c r="N764">
        <v>1</v>
      </c>
      <c r="O764">
        <v>0</v>
      </c>
      <c r="P764" t="s">
        <v>1741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f t="shared" si="33"/>
        <v>0</v>
      </c>
      <c r="W764">
        <f t="shared" si="34"/>
        <v>0.5</v>
      </c>
      <c r="X764">
        <f t="shared" si="35"/>
        <v>0.69314718055994529</v>
      </c>
    </row>
    <row r="765" spans="1:24" x14ac:dyDescent="0.25">
      <c r="A765">
        <v>764</v>
      </c>
      <c r="B765">
        <v>1</v>
      </c>
      <c r="C765">
        <v>1</v>
      </c>
      <c r="D765" s="1" t="s">
        <v>1508</v>
      </c>
      <c r="E765">
        <v>1</v>
      </c>
      <c r="F765">
        <v>36</v>
      </c>
      <c r="G765">
        <v>1</v>
      </c>
      <c r="H765">
        <v>2</v>
      </c>
      <c r="I765" s="1" t="s">
        <v>813</v>
      </c>
      <c r="J765">
        <v>120</v>
      </c>
      <c r="K765" s="1" t="s">
        <v>814</v>
      </c>
      <c r="L765" s="1" t="s">
        <v>14</v>
      </c>
      <c r="M765">
        <v>1</v>
      </c>
      <c r="N765">
        <v>0</v>
      </c>
      <c r="O765">
        <v>0</v>
      </c>
      <c r="P765" t="s">
        <v>1740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f t="shared" si="33"/>
        <v>1.3618761518134992</v>
      </c>
      <c r="W765">
        <f t="shared" si="34"/>
        <v>0.79606445234832413</v>
      </c>
      <c r="X765">
        <f t="shared" si="35"/>
        <v>0.22807512612883141</v>
      </c>
    </row>
    <row r="766" spans="1:24" x14ac:dyDescent="0.25">
      <c r="A766">
        <v>765</v>
      </c>
      <c r="B766">
        <v>0</v>
      </c>
      <c r="C766">
        <v>3</v>
      </c>
      <c r="D766" s="1" t="s">
        <v>1509</v>
      </c>
      <c r="E766">
        <v>0</v>
      </c>
      <c r="F766">
        <v>16</v>
      </c>
      <c r="G766">
        <v>0</v>
      </c>
      <c r="H766">
        <v>0</v>
      </c>
      <c r="I766" s="1" t="s">
        <v>1510</v>
      </c>
      <c r="J766">
        <v>7.7750000000000004</v>
      </c>
      <c r="K766" s="1" t="s">
        <v>48</v>
      </c>
      <c r="L766" s="1" t="s">
        <v>14</v>
      </c>
      <c r="M766">
        <v>1</v>
      </c>
      <c r="N766">
        <v>0</v>
      </c>
      <c r="O766">
        <v>0</v>
      </c>
      <c r="P766" t="s">
        <v>1741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f t="shared" si="33"/>
        <v>0</v>
      </c>
      <c r="W766">
        <f t="shared" si="34"/>
        <v>0.5</v>
      </c>
      <c r="X766">
        <f t="shared" si="35"/>
        <v>0.69314718055994529</v>
      </c>
    </row>
    <row r="767" spans="1:24" x14ac:dyDescent="0.25">
      <c r="A767">
        <v>766</v>
      </c>
      <c r="B767">
        <v>1</v>
      </c>
      <c r="C767">
        <v>1</v>
      </c>
      <c r="D767" s="1" t="s">
        <v>1511</v>
      </c>
      <c r="E767">
        <v>1</v>
      </c>
      <c r="F767">
        <v>51</v>
      </c>
      <c r="G767">
        <v>1</v>
      </c>
      <c r="H767">
        <v>0</v>
      </c>
      <c r="I767" s="1" t="s">
        <v>586</v>
      </c>
      <c r="J767">
        <v>77.958299999999994</v>
      </c>
      <c r="K767" s="1" t="s">
        <v>1512</v>
      </c>
      <c r="L767" s="1" t="s">
        <v>14</v>
      </c>
      <c r="M767">
        <v>1</v>
      </c>
      <c r="N767">
        <v>0</v>
      </c>
      <c r="O767">
        <v>0</v>
      </c>
      <c r="P767" t="s">
        <v>1740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f t="shared" si="33"/>
        <v>1.3618761518134992</v>
      </c>
      <c r="W767">
        <f t="shared" si="34"/>
        <v>0.79606445234832413</v>
      </c>
      <c r="X767">
        <f t="shared" si="35"/>
        <v>0.22807512612883141</v>
      </c>
    </row>
    <row r="768" spans="1:24" x14ac:dyDescent="0.25">
      <c r="A768">
        <v>767</v>
      </c>
      <c r="B768">
        <v>0</v>
      </c>
      <c r="C768">
        <v>1</v>
      </c>
      <c r="D768" s="1" t="s">
        <v>1513</v>
      </c>
      <c r="E768">
        <v>0</v>
      </c>
      <c r="F768" s="1">
        <v>42</v>
      </c>
      <c r="G768">
        <v>0</v>
      </c>
      <c r="H768">
        <v>0</v>
      </c>
      <c r="I768" s="1" t="s">
        <v>1514</v>
      </c>
      <c r="J768">
        <v>39.6</v>
      </c>
      <c r="K768" s="1" t="s">
        <v>48</v>
      </c>
      <c r="L768" s="1" t="s">
        <v>18</v>
      </c>
      <c r="M768">
        <v>0</v>
      </c>
      <c r="N768">
        <v>1</v>
      </c>
      <c r="O768">
        <v>0</v>
      </c>
      <c r="P768" t="s">
        <v>1746</v>
      </c>
      <c r="Q768">
        <v>0</v>
      </c>
      <c r="R768">
        <v>0</v>
      </c>
      <c r="S768">
        <v>0</v>
      </c>
      <c r="T768">
        <v>0</v>
      </c>
      <c r="U768">
        <v>1</v>
      </c>
      <c r="V768">
        <f t="shared" si="33"/>
        <v>0</v>
      </c>
      <c r="W768">
        <f t="shared" si="34"/>
        <v>0.5</v>
      </c>
      <c r="X768">
        <f t="shared" si="35"/>
        <v>0.69314718055994529</v>
      </c>
    </row>
    <row r="769" spans="1:24" x14ac:dyDescent="0.25">
      <c r="A769">
        <v>768</v>
      </c>
      <c r="B769">
        <v>0</v>
      </c>
      <c r="C769">
        <v>3</v>
      </c>
      <c r="D769" s="1" t="s">
        <v>1515</v>
      </c>
      <c r="E769">
        <v>1</v>
      </c>
      <c r="F769" s="1">
        <v>21.98581560283688</v>
      </c>
      <c r="G769">
        <v>0</v>
      </c>
      <c r="H769">
        <v>0</v>
      </c>
      <c r="I769" s="1" t="s">
        <v>1516</v>
      </c>
      <c r="J769">
        <v>7.75</v>
      </c>
      <c r="K769" s="1" t="s">
        <v>48</v>
      </c>
      <c r="L769" s="1" t="s">
        <v>28</v>
      </c>
      <c r="M769">
        <v>0</v>
      </c>
      <c r="N769">
        <v>0</v>
      </c>
      <c r="O769">
        <v>1</v>
      </c>
      <c r="P769" t="s">
        <v>1739</v>
      </c>
      <c r="Q769">
        <v>1</v>
      </c>
      <c r="R769">
        <v>0</v>
      </c>
      <c r="S769">
        <v>0</v>
      </c>
      <c r="T769">
        <v>0</v>
      </c>
      <c r="U769">
        <v>0</v>
      </c>
      <c r="V769">
        <f t="shared" si="33"/>
        <v>0.87219584275330231</v>
      </c>
      <c r="W769">
        <f t="shared" si="34"/>
        <v>0.70520240168703408</v>
      </c>
      <c r="X769">
        <f t="shared" si="35"/>
        <v>1.2214662655353992</v>
      </c>
    </row>
    <row r="770" spans="1:24" x14ac:dyDescent="0.25">
      <c r="A770">
        <v>769</v>
      </c>
      <c r="B770">
        <v>0</v>
      </c>
      <c r="C770">
        <v>3</v>
      </c>
      <c r="D770" s="1" t="s">
        <v>1517</v>
      </c>
      <c r="E770">
        <v>0</v>
      </c>
      <c r="F770" s="1">
        <v>32.180156657963444</v>
      </c>
      <c r="G770">
        <v>1</v>
      </c>
      <c r="H770">
        <v>0</v>
      </c>
      <c r="I770" s="1" t="s">
        <v>252</v>
      </c>
      <c r="J770">
        <v>24.15</v>
      </c>
      <c r="K770" s="1" t="s">
        <v>48</v>
      </c>
      <c r="L770" s="1" t="s">
        <v>28</v>
      </c>
      <c r="M770">
        <v>0</v>
      </c>
      <c r="N770">
        <v>0</v>
      </c>
      <c r="O770">
        <v>1</v>
      </c>
      <c r="P770" t="s">
        <v>1741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f t="shared" si="33"/>
        <v>0</v>
      </c>
      <c r="W770">
        <f t="shared" si="34"/>
        <v>0.5</v>
      </c>
      <c r="X770">
        <f t="shared" si="35"/>
        <v>0.69314718055994529</v>
      </c>
    </row>
    <row r="771" spans="1:24" x14ac:dyDescent="0.25">
      <c r="A771">
        <v>770</v>
      </c>
      <c r="B771">
        <v>0</v>
      </c>
      <c r="C771">
        <v>3</v>
      </c>
      <c r="D771" s="1" t="s">
        <v>1518</v>
      </c>
      <c r="E771">
        <v>0</v>
      </c>
      <c r="F771">
        <v>32</v>
      </c>
      <c r="G771">
        <v>0</v>
      </c>
      <c r="H771">
        <v>0</v>
      </c>
      <c r="I771" s="1" t="s">
        <v>1519</v>
      </c>
      <c r="J771">
        <v>8.3625000000000007</v>
      </c>
      <c r="K771" s="1" t="s">
        <v>48</v>
      </c>
      <c r="L771" s="1" t="s">
        <v>14</v>
      </c>
      <c r="M771">
        <v>1</v>
      </c>
      <c r="N771">
        <v>0</v>
      </c>
      <c r="O771">
        <v>0</v>
      </c>
      <c r="P771" t="s">
        <v>1741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f t="shared" ref="V771:V834" si="36">$AB$1+C771*$AB$2+E771*$AB$3+F771*$AB$4+G771*$AB$5+H771*$AB$6+J771*$AB$7+M771*$AB$8+N771*$AB$9+O771*$AB$10+Q771*$AB$11+R771*$AB$12+S771*$AB$13+T771*$AB$14+U771*$AB$15</f>
        <v>0</v>
      </c>
      <c r="W771">
        <f t="shared" ref="W771:W834" si="37">1/(1+EXP(-V771))</f>
        <v>0.5</v>
      </c>
      <c r="X771">
        <f t="shared" ref="X771:X834" si="38">-(B771*LN(MAX(0.000001,MIN(0.999999,W771))) +(1-B771)*LN(MAX(0.000001,MIN(0.999999,1-W771))))</f>
        <v>0.69314718055994529</v>
      </c>
    </row>
    <row r="772" spans="1:24" x14ac:dyDescent="0.25">
      <c r="A772">
        <v>771</v>
      </c>
      <c r="B772">
        <v>0</v>
      </c>
      <c r="C772">
        <v>3</v>
      </c>
      <c r="D772" s="1" t="s">
        <v>1520</v>
      </c>
      <c r="E772">
        <v>0</v>
      </c>
      <c r="F772">
        <v>24</v>
      </c>
      <c r="G772">
        <v>0</v>
      </c>
      <c r="H772">
        <v>0</v>
      </c>
      <c r="I772" s="1" t="s">
        <v>1521</v>
      </c>
      <c r="J772">
        <v>9.5</v>
      </c>
      <c r="K772" s="1" t="s">
        <v>48</v>
      </c>
      <c r="L772" s="1" t="s">
        <v>14</v>
      </c>
      <c r="M772">
        <v>1</v>
      </c>
      <c r="N772">
        <v>0</v>
      </c>
      <c r="O772">
        <v>0</v>
      </c>
      <c r="P772" t="s">
        <v>1741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f t="shared" si="36"/>
        <v>0</v>
      </c>
      <c r="W772">
        <f t="shared" si="37"/>
        <v>0.5</v>
      </c>
      <c r="X772">
        <f t="shared" si="38"/>
        <v>0.69314718055994529</v>
      </c>
    </row>
    <row r="773" spans="1:24" x14ac:dyDescent="0.25">
      <c r="A773">
        <v>772</v>
      </c>
      <c r="B773">
        <v>0</v>
      </c>
      <c r="C773">
        <v>3</v>
      </c>
      <c r="D773" s="1" t="s">
        <v>1522</v>
      </c>
      <c r="E773">
        <v>0</v>
      </c>
      <c r="F773">
        <v>48</v>
      </c>
      <c r="G773">
        <v>0</v>
      </c>
      <c r="H773">
        <v>0</v>
      </c>
      <c r="I773" s="1" t="s">
        <v>1523</v>
      </c>
      <c r="J773">
        <v>7.8541999999999996</v>
      </c>
      <c r="K773" s="1" t="s">
        <v>48</v>
      </c>
      <c r="L773" s="1" t="s">
        <v>14</v>
      </c>
      <c r="M773">
        <v>1</v>
      </c>
      <c r="N773">
        <v>0</v>
      </c>
      <c r="O773">
        <v>0</v>
      </c>
      <c r="P773" t="s">
        <v>1741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f t="shared" si="36"/>
        <v>0</v>
      </c>
      <c r="W773">
        <f t="shared" si="37"/>
        <v>0.5</v>
      </c>
      <c r="X773">
        <f t="shared" si="38"/>
        <v>0.69314718055994529</v>
      </c>
    </row>
    <row r="774" spans="1:24" x14ac:dyDescent="0.25">
      <c r="A774">
        <v>773</v>
      </c>
      <c r="B774">
        <v>0</v>
      </c>
      <c r="C774">
        <v>2</v>
      </c>
      <c r="D774" s="1" t="s">
        <v>1524</v>
      </c>
      <c r="E774">
        <v>1</v>
      </c>
      <c r="F774">
        <v>57</v>
      </c>
      <c r="G774">
        <v>0</v>
      </c>
      <c r="H774">
        <v>0</v>
      </c>
      <c r="I774" s="1" t="s">
        <v>1525</v>
      </c>
      <c r="J774">
        <v>10.5</v>
      </c>
      <c r="K774" s="1" t="s">
        <v>1526</v>
      </c>
      <c r="L774" s="1" t="s">
        <v>14</v>
      </c>
      <c r="M774">
        <v>1</v>
      </c>
      <c r="N774">
        <v>0</v>
      </c>
      <c r="O774">
        <v>0</v>
      </c>
      <c r="P774" t="s">
        <v>1740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f t="shared" si="36"/>
        <v>1.3618761518134992</v>
      </c>
      <c r="W774">
        <f t="shared" si="37"/>
        <v>0.79606445234832413</v>
      </c>
      <c r="X774">
        <f t="shared" si="38"/>
        <v>1.5899512779423304</v>
      </c>
    </row>
    <row r="775" spans="1:24" x14ac:dyDescent="0.25">
      <c r="A775">
        <v>774</v>
      </c>
      <c r="B775">
        <v>0</v>
      </c>
      <c r="C775">
        <v>3</v>
      </c>
      <c r="D775" s="1" t="s">
        <v>1527</v>
      </c>
      <c r="E775">
        <v>0</v>
      </c>
      <c r="F775" s="1">
        <v>32.180156657963444</v>
      </c>
      <c r="G775">
        <v>0</v>
      </c>
      <c r="H775">
        <v>0</v>
      </c>
      <c r="I775" s="1" t="s">
        <v>1528</v>
      </c>
      <c r="J775">
        <v>7.2249999999999996</v>
      </c>
      <c r="K775" s="1" t="s">
        <v>48</v>
      </c>
      <c r="L775" s="1" t="s">
        <v>18</v>
      </c>
      <c r="M775">
        <v>0</v>
      </c>
      <c r="N775">
        <v>1</v>
      </c>
      <c r="O775">
        <v>0</v>
      </c>
      <c r="P775" t="s">
        <v>1741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f t="shared" si="36"/>
        <v>0</v>
      </c>
      <c r="W775">
        <f t="shared" si="37"/>
        <v>0.5</v>
      </c>
      <c r="X775">
        <f t="shared" si="38"/>
        <v>0.69314718055994529</v>
      </c>
    </row>
    <row r="776" spans="1:24" x14ac:dyDescent="0.25">
      <c r="A776">
        <v>775</v>
      </c>
      <c r="B776">
        <v>1</v>
      </c>
      <c r="C776">
        <v>2</v>
      </c>
      <c r="D776" s="1" t="s">
        <v>1529</v>
      </c>
      <c r="E776">
        <v>1</v>
      </c>
      <c r="F776">
        <v>54</v>
      </c>
      <c r="G776">
        <v>1</v>
      </c>
      <c r="H776">
        <v>3</v>
      </c>
      <c r="I776" s="1" t="s">
        <v>1530</v>
      </c>
      <c r="J776">
        <v>23</v>
      </c>
      <c r="K776" s="1" t="s">
        <v>48</v>
      </c>
      <c r="L776" s="1" t="s">
        <v>14</v>
      </c>
      <c r="M776">
        <v>1</v>
      </c>
      <c r="N776">
        <v>0</v>
      </c>
      <c r="O776">
        <v>0</v>
      </c>
      <c r="P776" t="s">
        <v>1740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f t="shared" si="36"/>
        <v>1.3618761518134992</v>
      </c>
      <c r="W776">
        <f t="shared" si="37"/>
        <v>0.79606445234832413</v>
      </c>
      <c r="X776">
        <f t="shared" si="38"/>
        <v>0.22807512612883141</v>
      </c>
    </row>
    <row r="777" spans="1:24" x14ac:dyDescent="0.25">
      <c r="A777">
        <v>776</v>
      </c>
      <c r="B777">
        <v>0</v>
      </c>
      <c r="C777">
        <v>3</v>
      </c>
      <c r="D777" s="1" t="s">
        <v>1531</v>
      </c>
      <c r="E777">
        <v>0</v>
      </c>
      <c r="F777">
        <v>18</v>
      </c>
      <c r="G777">
        <v>0</v>
      </c>
      <c r="H777">
        <v>0</v>
      </c>
      <c r="I777" s="1" t="s">
        <v>1532</v>
      </c>
      <c r="J777">
        <v>7.75</v>
      </c>
      <c r="K777" s="1" t="s">
        <v>48</v>
      </c>
      <c r="L777" s="1" t="s">
        <v>14</v>
      </c>
      <c r="M777">
        <v>1</v>
      </c>
      <c r="N777">
        <v>0</v>
      </c>
      <c r="O777">
        <v>0</v>
      </c>
      <c r="P777" t="s">
        <v>1741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f t="shared" si="36"/>
        <v>0</v>
      </c>
      <c r="W777">
        <f t="shared" si="37"/>
        <v>0.5</v>
      </c>
      <c r="X777">
        <f t="shared" si="38"/>
        <v>0.69314718055994529</v>
      </c>
    </row>
    <row r="778" spans="1:24" x14ac:dyDescent="0.25">
      <c r="A778">
        <v>777</v>
      </c>
      <c r="B778">
        <v>0</v>
      </c>
      <c r="C778">
        <v>3</v>
      </c>
      <c r="D778" s="1" t="s">
        <v>1533</v>
      </c>
      <c r="E778">
        <v>0</v>
      </c>
      <c r="F778" s="1">
        <v>32.180156657963444</v>
      </c>
      <c r="G778">
        <v>0</v>
      </c>
      <c r="H778">
        <v>0</v>
      </c>
      <c r="I778" s="1" t="s">
        <v>1534</v>
      </c>
      <c r="J778">
        <v>7.75</v>
      </c>
      <c r="K778" s="1" t="s">
        <v>1535</v>
      </c>
      <c r="L778" s="1" t="s">
        <v>28</v>
      </c>
      <c r="M778">
        <v>0</v>
      </c>
      <c r="N778">
        <v>0</v>
      </c>
      <c r="O778">
        <v>1</v>
      </c>
      <c r="P778" t="s">
        <v>1741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f t="shared" si="36"/>
        <v>0</v>
      </c>
      <c r="W778">
        <f t="shared" si="37"/>
        <v>0.5</v>
      </c>
      <c r="X778">
        <f t="shared" si="38"/>
        <v>0.69314718055994529</v>
      </c>
    </row>
    <row r="779" spans="1:24" x14ac:dyDescent="0.25">
      <c r="A779">
        <v>778</v>
      </c>
      <c r="B779">
        <v>1</v>
      </c>
      <c r="C779">
        <v>3</v>
      </c>
      <c r="D779" s="1" t="s">
        <v>1536</v>
      </c>
      <c r="E779">
        <v>1</v>
      </c>
      <c r="F779">
        <v>5</v>
      </c>
      <c r="G779">
        <v>0</v>
      </c>
      <c r="H779">
        <v>0</v>
      </c>
      <c r="I779" s="1" t="s">
        <v>189</v>
      </c>
      <c r="J779">
        <v>12.475</v>
      </c>
      <c r="K779" s="1" t="s">
        <v>48</v>
      </c>
      <c r="L779" s="1" t="s">
        <v>14</v>
      </c>
      <c r="M779">
        <v>1</v>
      </c>
      <c r="N779">
        <v>0</v>
      </c>
      <c r="O779">
        <v>0</v>
      </c>
      <c r="P779" t="s">
        <v>1739</v>
      </c>
      <c r="Q779">
        <v>1</v>
      </c>
      <c r="R779">
        <v>0</v>
      </c>
      <c r="S779">
        <v>0</v>
      </c>
      <c r="T779">
        <v>0</v>
      </c>
      <c r="U779">
        <v>0</v>
      </c>
      <c r="V779">
        <f t="shared" si="36"/>
        <v>0.87219584275330231</v>
      </c>
      <c r="W779">
        <f t="shared" si="37"/>
        <v>0.70520240168703408</v>
      </c>
      <c r="X779">
        <f t="shared" si="38"/>
        <v>0.34927042278209691</v>
      </c>
    </row>
    <row r="780" spans="1:24" x14ac:dyDescent="0.25">
      <c r="A780">
        <v>779</v>
      </c>
      <c r="B780">
        <v>0</v>
      </c>
      <c r="C780">
        <v>3</v>
      </c>
      <c r="D780" s="1" t="s">
        <v>1537</v>
      </c>
      <c r="E780">
        <v>0</v>
      </c>
      <c r="F780" s="1">
        <v>32.180156657963444</v>
      </c>
      <c r="G780">
        <v>0</v>
      </c>
      <c r="H780">
        <v>0</v>
      </c>
      <c r="I780" s="1" t="s">
        <v>1538</v>
      </c>
      <c r="J780">
        <v>7.7374999999999998</v>
      </c>
      <c r="K780" s="1" t="s">
        <v>48</v>
      </c>
      <c r="L780" s="1" t="s">
        <v>28</v>
      </c>
      <c r="M780">
        <v>0</v>
      </c>
      <c r="N780">
        <v>0</v>
      </c>
      <c r="O780">
        <v>1</v>
      </c>
      <c r="P780" t="s">
        <v>1741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f t="shared" si="36"/>
        <v>0</v>
      </c>
      <c r="W780">
        <f t="shared" si="37"/>
        <v>0.5</v>
      </c>
      <c r="X780">
        <f t="shared" si="38"/>
        <v>0.69314718055994529</v>
      </c>
    </row>
    <row r="781" spans="1:24" x14ac:dyDescent="0.25">
      <c r="A781">
        <v>780</v>
      </c>
      <c r="B781">
        <v>1</v>
      </c>
      <c r="C781">
        <v>1</v>
      </c>
      <c r="D781" s="1" t="s">
        <v>1539</v>
      </c>
      <c r="E781">
        <v>1</v>
      </c>
      <c r="F781">
        <v>43</v>
      </c>
      <c r="G781">
        <v>0</v>
      </c>
      <c r="H781">
        <v>1</v>
      </c>
      <c r="I781" s="1" t="s">
        <v>1372</v>
      </c>
      <c r="J781">
        <v>211.33750000000001</v>
      </c>
      <c r="K781" s="1" t="s">
        <v>1540</v>
      </c>
      <c r="L781" s="1" t="s">
        <v>14</v>
      </c>
      <c r="M781">
        <v>1</v>
      </c>
      <c r="N781">
        <v>0</v>
      </c>
      <c r="O781">
        <v>0</v>
      </c>
      <c r="P781" t="s">
        <v>1740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f t="shared" si="36"/>
        <v>1.3618761518134992</v>
      </c>
      <c r="W781">
        <f t="shared" si="37"/>
        <v>0.79606445234832413</v>
      </c>
      <c r="X781">
        <f t="shared" si="38"/>
        <v>0.22807512612883141</v>
      </c>
    </row>
    <row r="782" spans="1:24" x14ac:dyDescent="0.25">
      <c r="A782">
        <v>781</v>
      </c>
      <c r="B782">
        <v>1</v>
      </c>
      <c r="C782">
        <v>3</v>
      </c>
      <c r="D782" s="1" t="s">
        <v>1541</v>
      </c>
      <c r="E782">
        <v>1</v>
      </c>
      <c r="F782">
        <v>13</v>
      </c>
      <c r="G782">
        <v>0</v>
      </c>
      <c r="H782">
        <v>0</v>
      </c>
      <c r="I782" s="1" t="s">
        <v>1542</v>
      </c>
      <c r="J782">
        <v>7.2291999999999996</v>
      </c>
      <c r="K782" s="1" t="s">
        <v>48</v>
      </c>
      <c r="L782" s="1" t="s">
        <v>18</v>
      </c>
      <c r="M782">
        <v>0</v>
      </c>
      <c r="N782">
        <v>1</v>
      </c>
      <c r="O782">
        <v>0</v>
      </c>
      <c r="P782" t="s">
        <v>1739</v>
      </c>
      <c r="Q782">
        <v>1</v>
      </c>
      <c r="R782">
        <v>0</v>
      </c>
      <c r="S782">
        <v>0</v>
      </c>
      <c r="T782">
        <v>0</v>
      </c>
      <c r="U782">
        <v>0</v>
      </c>
      <c r="V782">
        <f t="shared" si="36"/>
        <v>0.87219584275330231</v>
      </c>
      <c r="W782">
        <f t="shared" si="37"/>
        <v>0.70520240168703408</v>
      </c>
      <c r="X782">
        <f t="shared" si="38"/>
        <v>0.34927042278209691</v>
      </c>
    </row>
    <row r="783" spans="1:24" x14ac:dyDescent="0.25">
      <c r="A783">
        <v>782</v>
      </c>
      <c r="B783">
        <v>1</v>
      </c>
      <c r="C783">
        <v>1</v>
      </c>
      <c r="D783" s="1" t="s">
        <v>1543</v>
      </c>
      <c r="E783">
        <v>1</v>
      </c>
      <c r="F783">
        <v>17</v>
      </c>
      <c r="G783">
        <v>1</v>
      </c>
      <c r="H783">
        <v>0</v>
      </c>
      <c r="I783" s="1" t="s">
        <v>1375</v>
      </c>
      <c r="J783">
        <v>57</v>
      </c>
      <c r="K783" s="1" t="s">
        <v>1376</v>
      </c>
      <c r="L783" s="1" t="s">
        <v>14</v>
      </c>
      <c r="M783">
        <v>1</v>
      </c>
      <c r="N783">
        <v>0</v>
      </c>
      <c r="O783">
        <v>0</v>
      </c>
      <c r="P783" t="s">
        <v>1740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f t="shared" si="36"/>
        <v>1.3618761518134992</v>
      </c>
      <c r="W783">
        <f t="shared" si="37"/>
        <v>0.79606445234832413</v>
      </c>
      <c r="X783">
        <f t="shared" si="38"/>
        <v>0.22807512612883141</v>
      </c>
    </row>
    <row r="784" spans="1:24" x14ac:dyDescent="0.25">
      <c r="A784">
        <v>783</v>
      </c>
      <c r="B784">
        <v>0</v>
      </c>
      <c r="C784">
        <v>1</v>
      </c>
      <c r="D784" s="1" t="s">
        <v>1544</v>
      </c>
      <c r="E784">
        <v>0</v>
      </c>
      <c r="F784">
        <v>29</v>
      </c>
      <c r="G784">
        <v>0</v>
      </c>
      <c r="H784">
        <v>0</v>
      </c>
      <c r="I784" s="1" t="s">
        <v>1545</v>
      </c>
      <c r="J784">
        <v>30</v>
      </c>
      <c r="K784" s="1" t="s">
        <v>1546</v>
      </c>
      <c r="L784" s="1" t="s">
        <v>14</v>
      </c>
      <c r="M784">
        <v>1</v>
      </c>
      <c r="N784">
        <v>0</v>
      </c>
      <c r="O784">
        <v>0</v>
      </c>
      <c r="P784" t="s">
        <v>1741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f t="shared" si="36"/>
        <v>0</v>
      </c>
      <c r="W784">
        <f t="shared" si="37"/>
        <v>0.5</v>
      </c>
      <c r="X784">
        <f t="shared" si="38"/>
        <v>0.69314718055994529</v>
      </c>
    </row>
    <row r="785" spans="1:24" x14ac:dyDescent="0.25">
      <c r="A785">
        <v>784</v>
      </c>
      <c r="B785">
        <v>0</v>
      </c>
      <c r="C785">
        <v>3</v>
      </c>
      <c r="D785" s="1" t="s">
        <v>1547</v>
      </c>
      <c r="E785">
        <v>0</v>
      </c>
      <c r="F785" s="1">
        <v>32.180156657963444</v>
      </c>
      <c r="G785">
        <v>1</v>
      </c>
      <c r="H785">
        <v>2</v>
      </c>
      <c r="I785" s="1" t="s">
        <v>1548</v>
      </c>
      <c r="J785">
        <v>23.45</v>
      </c>
      <c r="K785" s="1" t="s">
        <v>48</v>
      </c>
      <c r="L785" s="1" t="s">
        <v>14</v>
      </c>
      <c r="M785">
        <v>1</v>
      </c>
      <c r="N785">
        <v>0</v>
      </c>
      <c r="O785">
        <v>0</v>
      </c>
      <c r="P785" t="s">
        <v>1741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f t="shared" si="36"/>
        <v>0</v>
      </c>
      <c r="W785">
        <f t="shared" si="37"/>
        <v>0.5</v>
      </c>
      <c r="X785">
        <f t="shared" si="38"/>
        <v>0.69314718055994529</v>
      </c>
    </row>
    <row r="786" spans="1:24" x14ac:dyDescent="0.25">
      <c r="A786">
        <v>785</v>
      </c>
      <c r="B786">
        <v>0</v>
      </c>
      <c r="C786">
        <v>3</v>
      </c>
      <c r="D786" s="1" t="s">
        <v>1549</v>
      </c>
      <c r="E786">
        <v>0</v>
      </c>
      <c r="F786">
        <v>25</v>
      </c>
      <c r="G786">
        <v>0</v>
      </c>
      <c r="H786">
        <v>0</v>
      </c>
      <c r="I786" s="1" t="s">
        <v>1550</v>
      </c>
      <c r="J786">
        <v>7.05</v>
      </c>
      <c r="K786" s="1" t="s">
        <v>48</v>
      </c>
      <c r="L786" s="1" t="s">
        <v>14</v>
      </c>
      <c r="M786">
        <v>1</v>
      </c>
      <c r="N786">
        <v>0</v>
      </c>
      <c r="O786">
        <v>0</v>
      </c>
      <c r="P786" t="s">
        <v>1741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f t="shared" si="36"/>
        <v>0</v>
      </c>
      <c r="W786">
        <f t="shared" si="37"/>
        <v>0.5</v>
      </c>
      <c r="X786">
        <f t="shared" si="38"/>
        <v>0.69314718055994529</v>
      </c>
    </row>
    <row r="787" spans="1:24" x14ac:dyDescent="0.25">
      <c r="A787">
        <v>786</v>
      </c>
      <c r="B787">
        <v>0</v>
      </c>
      <c r="C787">
        <v>3</v>
      </c>
      <c r="D787" s="1" t="s">
        <v>1551</v>
      </c>
      <c r="E787">
        <v>0</v>
      </c>
      <c r="F787">
        <v>25</v>
      </c>
      <c r="G787">
        <v>0</v>
      </c>
      <c r="H787">
        <v>0</v>
      </c>
      <c r="I787" s="1" t="s">
        <v>1552</v>
      </c>
      <c r="J787">
        <v>7.25</v>
      </c>
      <c r="K787" s="1" t="s">
        <v>48</v>
      </c>
      <c r="L787" s="1" t="s">
        <v>14</v>
      </c>
      <c r="M787">
        <v>1</v>
      </c>
      <c r="N787">
        <v>0</v>
      </c>
      <c r="O787">
        <v>0</v>
      </c>
      <c r="P787" t="s">
        <v>1741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f t="shared" si="36"/>
        <v>0</v>
      </c>
      <c r="W787">
        <f t="shared" si="37"/>
        <v>0.5</v>
      </c>
      <c r="X787">
        <f t="shared" si="38"/>
        <v>0.69314718055994529</v>
      </c>
    </row>
    <row r="788" spans="1:24" x14ac:dyDescent="0.25">
      <c r="A788">
        <v>787</v>
      </c>
      <c r="B788">
        <v>1</v>
      </c>
      <c r="C788">
        <v>3</v>
      </c>
      <c r="D788" s="1" t="s">
        <v>1553</v>
      </c>
      <c r="E788">
        <v>1</v>
      </c>
      <c r="F788">
        <v>18</v>
      </c>
      <c r="G788">
        <v>0</v>
      </c>
      <c r="H788">
        <v>0</v>
      </c>
      <c r="I788" s="1" t="s">
        <v>1554</v>
      </c>
      <c r="J788">
        <v>7.4958</v>
      </c>
      <c r="K788" s="1" t="s">
        <v>48</v>
      </c>
      <c r="L788" s="1" t="s">
        <v>14</v>
      </c>
      <c r="M788">
        <v>1</v>
      </c>
      <c r="N788">
        <v>0</v>
      </c>
      <c r="O788">
        <v>0</v>
      </c>
      <c r="P788" t="s">
        <v>1739</v>
      </c>
      <c r="Q788">
        <v>1</v>
      </c>
      <c r="R788">
        <v>0</v>
      </c>
      <c r="S788">
        <v>0</v>
      </c>
      <c r="T788">
        <v>0</v>
      </c>
      <c r="U788">
        <v>0</v>
      </c>
      <c r="V788">
        <f t="shared" si="36"/>
        <v>0.87219584275330231</v>
      </c>
      <c r="W788">
        <f t="shared" si="37"/>
        <v>0.70520240168703408</v>
      </c>
      <c r="X788">
        <f t="shared" si="38"/>
        <v>0.34927042278209691</v>
      </c>
    </row>
    <row r="789" spans="1:24" x14ac:dyDescent="0.25">
      <c r="A789">
        <v>788</v>
      </c>
      <c r="B789">
        <v>0</v>
      </c>
      <c r="C789">
        <v>3</v>
      </c>
      <c r="D789" s="1" t="s">
        <v>1555</v>
      </c>
      <c r="E789">
        <v>0</v>
      </c>
      <c r="F789">
        <v>8</v>
      </c>
      <c r="G789">
        <v>4</v>
      </c>
      <c r="H789">
        <v>1</v>
      </c>
      <c r="I789" s="1" t="s">
        <v>54</v>
      </c>
      <c r="J789">
        <v>29.125</v>
      </c>
      <c r="K789" s="1" t="s">
        <v>48</v>
      </c>
      <c r="L789" s="1" t="s">
        <v>28</v>
      </c>
      <c r="M789">
        <v>0</v>
      </c>
      <c r="N789">
        <v>0</v>
      </c>
      <c r="O789">
        <v>1</v>
      </c>
      <c r="P789" t="s">
        <v>1742</v>
      </c>
      <c r="Q789">
        <v>0</v>
      </c>
      <c r="R789">
        <v>0</v>
      </c>
      <c r="S789">
        <v>0</v>
      </c>
      <c r="T789">
        <v>1</v>
      </c>
      <c r="U789">
        <v>0</v>
      </c>
      <c r="V789">
        <f t="shared" si="36"/>
        <v>0.21766252466937555</v>
      </c>
      <c r="W789">
        <f t="shared" si="37"/>
        <v>0.55420180681382414</v>
      </c>
      <c r="X789">
        <f t="shared" si="38"/>
        <v>0.8078889110081291</v>
      </c>
    </row>
    <row r="790" spans="1:24" x14ac:dyDescent="0.25">
      <c r="A790">
        <v>789</v>
      </c>
      <c r="B790">
        <v>1</v>
      </c>
      <c r="C790">
        <v>3</v>
      </c>
      <c r="D790" s="1" t="s">
        <v>1556</v>
      </c>
      <c r="E790">
        <v>0</v>
      </c>
      <c r="F790">
        <v>1</v>
      </c>
      <c r="G790">
        <v>1</v>
      </c>
      <c r="H790">
        <v>2</v>
      </c>
      <c r="I790" s="1" t="s">
        <v>217</v>
      </c>
      <c r="J790">
        <v>20.574999999999999</v>
      </c>
      <c r="K790" s="1" t="s">
        <v>48</v>
      </c>
      <c r="L790" s="1" t="s">
        <v>14</v>
      </c>
      <c r="M790">
        <v>1</v>
      </c>
      <c r="N790">
        <v>0</v>
      </c>
      <c r="O790">
        <v>0</v>
      </c>
      <c r="P790" t="s">
        <v>1742</v>
      </c>
      <c r="Q790">
        <v>0</v>
      </c>
      <c r="R790">
        <v>0</v>
      </c>
      <c r="S790">
        <v>0</v>
      </c>
      <c r="T790">
        <v>1</v>
      </c>
      <c r="U790">
        <v>0</v>
      </c>
      <c r="V790">
        <f t="shared" si="36"/>
        <v>0.21766252466937555</v>
      </c>
      <c r="W790">
        <f t="shared" si="37"/>
        <v>0.55420180681382414</v>
      </c>
      <c r="X790">
        <f t="shared" si="38"/>
        <v>0.59022638633875368</v>
      </c>
    </row>
    <row r="791" spans="1:24" x14ac:dyDescent="0.25">
      <c r="A791">
        <v>790</v>
      </c>
      <c r="B791">
        <v>0</v>
      </c>
      <c r="C791">
        <v>1</v>
      </c>
      <c r="D791" s="1" t="s">
        <v>1557</v>
      </c>
      <c r="E791">
        <v>0</v>
      </c>
      <c r="F791">
        <v>46</v>
      </c>
      <c r="G791">
        <v>0</v>
      </c>
      <c r="H791">
        <v>0</v>
      </c>
      <c r="I791" s="1" t="s">
        <v>310</v>
      </c>
      <c r="J791">
        <v>79.2</v>
      </c>
      <c r="K791" s="1" t="s">
        <v>1558</v>
      </c>
      <c r="L791" s="1" t="s">
        <v>18</v>
      </c>
      <c r="M791">
        <v>0</v>
      </c>
      <c r="N791">
        <v>1</v>
      </c>
      <c r="O791">
        <v>0</v>
      </c>
      <c r="P791" t="s">
        <v>1741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f t="shared" si="36"/>
        <v>0</v>
      </c>
      <c r="W791">
        <f t="shared" si="37"/>
        <v>0.5</v>
      </c>
      <c r="X791">
        <f t="shared" si="38"/>
        <v>0.69314718055994529</v>
      </c>
    </row>
    <row r="792" spans="1:24" x14ac:dyDescent="0.25">
      <c r="A792">
        <v>791</v>
      </c>
      <c r="B792">
        <v>0</v>
      </c>
      <c r="C792">
        <v>3</v>
      </c>
      <c r="D792" s="1" t="s">
        <v>1559</v>
      </c>
      <c r="E792">
        <v>0</v>
      </c>
      <c r="F792" s="1">
        <v>32.180156657963444</v>
      </c>
      <c r="G792">
        <v>0</v>
      </c>
      <c r="H792">
        <v>0</v>
      </c>
      <c r="I792" s="1" t="s">
        <v>1560</v>
      </c>
      <c r="J792">
        <v>7.75</v>
      </c>
      <c r="K792" s="1" t="s">
        <v>48</v>
      </c>
      <c r="L792" s="1" t="s">
        <v>28</v>
      </c>
      <c r="M792">
        <v>0</v>
      </c>
      <c r="N792">
        <v>0</v>
      </c>
      <c r="O792">
        <v>1</v>
      </c>
      <c r="P792" t="s">
        <v>1741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f t="shared" si="36"/>
        <v>0</v>
      </c>
      <c r="W792">
        <f t="shared" si="37"/>
        <v>0.5</v>
      </c>
      <c r="X792">
        <f t="shared" si="38"/>
        <v>0.69314718055994529</v>
      </c>
    </row>
    <row r="793" spans="1:24" x14ac:dyDescent="0.25">
      <c r="A793">
        <v>792</v>
      </c>
      <c r="B793">
        <v>0</v>
      </c>
      <c r="C793">
        <v>2</v>
      </c>
      <c r="D793" s="1" t="s">
        <v>1561</v>
      </c>
      <c r="E793">
        <v>0</v>
      </c>
      <c r="F793">
        <v>16</v>
      </c>
      <c r="G793">
        <v>0</v>
      </c>
      <c r="H793">
        <v>0</v>
      </c>
      <c r="I793" s="1" t="s">
        <v>62</v>
      </c>
      <c r="J793">
        <v>26</v>
      </c>
      <c r="K793" s="1" t="s">
        <v>48</v>
      </c>
      <c r="L793" s="1" t="s">
        <v>14</v>
      </c>
      <c r="M793">
        <v>1</v>
      </c>
      <c r="N793">
        <v>0</v>
      </c>
      <c r="O793">
        <v>0</v>
      </c>
      <c r="P793" t="s">
        <v>1741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f t="shared" si="36"/>
        <v>0</v>
      </c>
      <c r="W793">
        <f t="shared" si="37"/>
        <v>0.5</v>
      </c>
      <c r="X793">
        <f t="shared" si="38"/>
        <v>0.69314718055994529</v>
      </c>
    </row>
    <row r="794" spans="1:24" x14ac:dyDescent="0.25">
      <c r="A794">
        <v>793</v>
      </c>
      <c r="B794">
        <v>0</v>
      </c>
      <c r="C794">
        <v>3</v>
      </c>
      <c r="D794" s="1" t="s">
        <v>1562</v>
      </c>
      <c r="E794">
        <v>1</v>
      </c>
      <c r="F794" s="1">
        <v>21.98581560283688</v>
      </c>
      <c r="G794">
        <v>8</v>
      </c>
      <c r="H794">
        <v>2</v>
      </c>
      <c r="I794" s="1" t="s">
        <v>352</v>
      </c>
      <c r="J794">
        <v>69.55</v>
      </c>
      <c r="K794" s="1" t="s">
        <v>48</v>
      </c>
      <c r="L794" s="1" t="s">
        <v>14</v>
      </c>
      <c r="M794">
        <v>1</v>
      </c>
      <c r="N794">
        <v>0</v>
      </c>
      <c r="O794">
        <v>0</v>
      </c>
      <c r="P794" t="s">
        <v>1739</v>
      </c>
      <c r="Q794">
        <v>1</v>
      </c>
      <c r="R794">
        <v>0</v>
      </c>
      <c r="S794">
        <v>0</v>
      </c>
      <c r="T794">
        <v>0</v>
      </c>
      <c r="U794">
        <v>0</v>
      </c>
      <c r="V794">
        <f t="shared" si="36"/>
        <v>0.87219584275330231</v>
      </c>
      <c r="W794">
        <f t="shared" si="37"/>
        <v>0.70520240168703408</v>
      </c>
      <c r="X794">
        <f t="shared" si="38"/>
        <v>1.2214662655353992</v>
      </c>
    </row>
    <row r="795" spans="1:24" x14ac:dyDescent="0.25">
      <c r="A795">
        <v>794</v>
      </c>
      <c r="B795">
        <v>0</v>
      </c>
      <c r="C795">
        <v>1</v>
      </c>
      <c r="D795" s="1" t="s">
        <v>1563</v>
      </c>
      <c r="E795">
        <v>0</v>
      </c>
      <c r="F795" s="1">
        <v>32.180156657963444</v>
      </c>
      <c r="G795">
        <v>0</v>
      </c>
      <c r="H795">
        <v>0</v>
      </c>
      <c r="I795" s="1" t="s">
        <v>1564</v>
      </c>
      <c r="J795">
        <v>30.695799999999998</v>
      </c>
      <c r="K795" s="1" t="s">
        <v>48</v>
      </c>
      <c r="L795" s="1" t="s">
        <v>18</v>
      </c>
      <c r="M795">
        <v>0</v>
      </c>
      <c r="N795">
        <v>1</v>
      </c>
      <c r="O795">
        <v>0</v>
      </c>
      <c r="P795" t="s">
        <v>1741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f t="shared" si="36"/>
        <v>0</v>
      </c>
      <c r="W795">
        <f t="shared" si="37"/>
        <v>0.5</v>
      </c>
      <c r="X795">
        <f t="shared" si="38"/>
        <v>0.69314718055994529</v>
      </c>
    </row>
    <row r="796" spans="1:24" x14ac:dyDescent="0.25">
      <c r="A796">
        <v>795</v>
      </c>
      <c r="B796">
        <v>0</v>
      </c>
      <c r="C796">
        <v>3</v>
      </c>
      <c r="D796" s="1" t="s">
        <v>1565</v>
      </c>
      <c r="E796">
        <v>0</v>
      </c>
      <c r="F796">
        <v>25</v>
      </c>
      <c r="G796">
        <v>0</v>
      </c>
      <c r="H796">
        <v>0</v>
      </c>
      <c r="I796" s="1" t="s">
        <v>1566</v>
      </c>
      <c r="J796">
        <v>7.8958000000000004</v>
      </c>
      <c r="K796" s="1" t="s">
        <v>48</v>
      </c>
      <c r="L796" s="1" t="s">
        <v>14</v>
      </c>
      <c r="M796">
        <v>1</v>
      </c>
      <c r="N796">
        <v>0</v>
      </c>
      <c r="O796">
        <v>0</v>
      </c>
      <c r="P796" t="s">
        <v>1741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f t="shared" si="36"/>
        <v>0</v>
      </c>
      <c r="W796">
        <f t="shared" si="37"/>
        <v>0.5</v>
      </c>
      <c r="X796">
        <f t="shared" si="38"/>
        <v>0.69314718055994529</v>
      </c>
    </row>
    <row r="797" spans="1:24" x14ac:dyDescent="0.25">
      <c r="A797">
        <v>796</v>
      </c>
      <c r="B797">
        <v>0</v>
      </c>
      <c r="C797">
        <v>2</v>
      </c>
      <c r="D797" s="1" t="s">
        <v>1567</v>
      </c>
      <c r="E797">
        <v>0</v>
      </c>
      <c r="F797">
        <v>39</v>
      </c>
      <c r="G797">
        <v>0</v>
      </c>
      <c r="H797">
        <v>0</v>
      </c>
      <c r="I797" s="1" t="s">
        <v>1568</v>
      </c>
      <c r="J797">
        <v>13</v>
      </c>
      <c r="K797" s="1" t="s">
        <v>48</v>
      </c>
      <c r="L797" s="1" t="s">
        <v>14</v>
      </c>
      <c r="M797">
        <v>1</v>
      </c>
      <c r="N797">
        <v>0</v>
      </c>
      <c r="O797">
        <v>0</v>
      </c>
      <c r="P797" t="s">
        <v>1741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f t="shared" si="36"/>
        <v>0</v>
      </c>
      <c r="W797">
        <f t="shared" si="37"/>
        <v>0.5</v>
      </c>
      <c r="X797">
        <f t="shared" si="38"/>
        <v>0.69314718055994529</v>
      </c>
    </row>
    <row r="798" spans="1:24" x14ac:dyDescent="0.25">
      <c r="A798">
        <v>797</v>
      </c>
      <c r="B798">
        <v>1</v>
      </c>
      <c r="C798">
        <v>1</v>
      </c>
      <c r="D798" s="1" t="s">
        <v>1569</v>
      </c>
      <c r="E798">
        <v>1</v>
      </c>
      <c r="F798">
        <v>49</v>
      </c>
      <c r="G798">
        <v>0</v>
      </c>
      <c r="H798">
        <v>0</v>
      </c>
      <c r="I798" s="1" t="s">
        <v>1570</v>
      </c>
      <c r="J798">
        <v>25.929200000000002</v>
      </c>
      <c r="K798" s="1" t="s">
        <v>1571</v>
      </c>
      <c r="L798" s="1" t="s">
        <v>14</v>
      </c>
      <c r="M798">
        <v>1</v>
      </c>
      <c r="N798">
        <v>0</v>
      </c>
      <c r="O798">
        <v>0</v>
      </c>
      <c r="P798" t="s">
        <v>1746</v>
      </c>
      <c r="Q798">
        <v>0</v>
      </c>
      <c r="R798">
        <v>0</v>
      </c>
      <c r="S798">
        <v>0</v>
      </c>
      <c r="T798">
        <v>0</v>
      </c>
      <c r="U798">
        <v>1</v>
      </c>
      <c r="V798">
        <f t="shared" si="36"/>
        <v>0.71606068106693632</v>
      </c>
      <c r="W798">
        <f t="shared" si="37"/>
        <v>0.67173896306745373</v>
      </c>
      <c r="X798">
        <f t="shared" si="38"/>
        <v>0.39788546174067313</v>
      </c>
    </row>
    <row r="799" spans="1:24" x14ac:dyDescent="0.25">
      <c r="A799">
        <v>798</v>
      </c>
      <c r="B799">
        <v>1</v>
      </c>
      <c r="C799">
        <v>3</v>
      </c>
      <c r="D799" s="1" t="s">
        <v>1572</v>
      </c>
      <c r="E799">
        <v>1</v>
      </c>
      <c r="F799">
        <v>31</v>
      </c>
      <c r="G799">
        <v>0</v>
      </c>
      <c r="H799">
        <v>0</v>
      </c>
      <c r="I799" s="1" t="s">
        <v>1573</v>
      </c>
      <c r="J799">
        <v>8.6832999999999991</v>
      </c>
      <c r="K799" s="1" t="s">
        <v>48</v>
      </c>
      <c r="L799" s="1" t="s">
        <v>14</v>
      </c>
      <c r="M799">
        <v>1</v>
      </c>
      <c r="N799">
        <v>0</v>
      </c>
      <c r="O799">
        <v>0</v>
      </c>
      <c r="P799" t="s">
        <v>1740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f t="shared" si="36"/>
        <v>1.3618761518134992</v>
      </c>
      <c r="W799">
        <f t="shared" si="37"/>
        <v>0.79606445234832413</v>
      </c>
      <c r="X799">
        <f t="shared" si="38"/>
        <v>0.22807512612883141</v>
      </c>
    </row>
    <row r="800" spans="1:24" x14ac:dyDescent="0.25">
      <c r="A800">
        <v>799</v>
      </c>
      <c r="B800">
        <v>0</v>
      </c>
      <c r="C800">
        <v>3</v>
      </c>
      <c r="D800" s="1" t="s">
        <v>1574</v>
      </c>
      <c r="E800">
        <v>0</v>
      </c>
      <c r="F800">
        <v>30</v>
      </c>
      <c r="G800">
        <v>0</v>
      </c>
      <c r="H800">
        <v>0</v>
      </c>
      <c r="I800" s="1" t="s">
        <v>1575</v>
      </c>
      <c r="J800">
        <v>7.2291999999999996</v>
      </c>
      <c r="K800" s="1" t="s">
        <v>48</v>
      </c>
      <c r="L800" s="1" t="s">
        <v>18</v>
      </c>
      <c r="M800">
        <v>0</v>
      </c>
      <c r="N800">
        <v>1</v>
      </c>
      <c r="O800">
        <v>0</v>
      </c>
      <c r="P800" t="s">
        <v>1741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f t="shared" si="36"/>
        <v>0</v>
      </c>
      <c r="W800">
        <f t="shared" si="37"/>
        <v>0.5</v>
      </c>
      <c r="X800">
        <f t="shared" si="38"/>
        <v>0.69314718055994529</v>
      </c>
    </row>
    <row r="801" spans="1:24" x14ac:dyDescent="0.25">
      <c r="A801">
        <v>800</v>
      </c>
      <c r="B801">
        <v>0</v>
      </c>
      <c r="C801">
        <v>3</v>
      </c>
      <c r="D801" s="1" t="s">
        <v>1576</v>
      </c>
      <c r="E801">
        <v>1</v>
      </c>
      <c r="F801">
        <v>30</v>
      </c>
      <c r="G801">
        <v>1</v>
      </c>
      <c r="H801">
        <v>1</v>
      </c>
      <c r="I801" s="1" t="s">
        <v>866</v>
      </c>
      <c r="J801">
        <v>24.15</v>
      </c>
      <c r="K801" s="1" t="s">
        <v>48</v>
      </c>
      <c r="L801" s="1" t="s">
        <v>14</v>
      </c>
      <c r="M801">
        <v>1</v>
      </c>
      <c r="N801">
        <v>0</v>
      </c>
      <c r="O801">
        <v>0</v>
      </c>
      <c r="P801" t="s">
        <v>1740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f t="shared" si="36"/>
        <v>1.3618761518134992</v>
      </c>
      <c r="W801">
        <f t="shared" si="37"/>
        <v>0.79606445234832413</v>
      </c>
      <c r="X801">
        <f t="shared" si="38"/>
        <v>1.5899512779423304</v>
      </c>
    </row>
    <row r="802" spans="1:24" x14ac:dyDescent="0.25">
      <c r="A802">
        <v>801</v>
      </c>
      <c r="B802">
        <v>0</v>
      </c>
      <c r="C802">
        <v>2</v>
      </c>
      <c r="D802" s="1" t="s">
        <v>1577</v>
      </c>
      <c r="E802">
        <v>0</v>
      </c>
      <c r="F802">
        <v>34</v>
      </c>
      <c r="G802">
        <v>0</v>
      </c>
      <c r="H802">
        <v>0</v>
      </c>
      <c r="I802" s="1" t="s">
        <v>1420</v>
      </c>
      <c r="J802">
        <v>13</v>
      </c>
      <c r="K802" s="1" t="s">
        <v>48</v>
      </c>
      <c r="L802" s="1" t="s">
        <v>14</v>
      </c>
      <c r="M802">
        <v>1</v>
      </c>
      <c r="N802">
        <v>0</v>
      </c>
      <c r="O802">
        <v>0</v>
      </c>
      <c r="P802" t="s">
        <v>1741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f t="shared" si="36"/>
        <v>0</v>
      </c>
      <c r="W802">
        <f t="shared" si="37"/>
        <v>0.5</v>
      </c>
      <c r="X802">
        <f t="shared" si="38"/>
        <v>0.69314718055994529</v>
      </c>
    </row>
    <row r="803" spans="1:24" x14ac:dyDescent="0.25">
      <c r="A803">
        <v>802</v>
      </c>
      <c r="B803">
        <v>1</v>
      </c>
      <c r="C803">
        <v>2</v>
      </c>
      <c r="D803" s="1" t="s">
        <v>1578</v>
      </c>
      <c r="E803">
        <v>1</v>
      </c>
      <c r="F803">
        <v>31</v>
      </c>
      <c r="G803">
        <v>1</v>
      </c>
      <c r="H803">
        <v>1</v>
      </c>
      <c r="I803" s="1" t="s">
        <v>506</v>
      </c>
      <c r="J803">
        <v>26.25</v>
      </c>
      <c r="K803" s="1" t="s">
        <v>48</v>
      </c>
      <c r="L803" s="1" t="s">
        <v>14</v>
      </c>
      <c r="M803">
        <v>1</v>
      </c>
      <c r="N803">
        <v>0</v>
      </c>
      <c r="O803">
        <v>0</v>
      </c>
      <c r="P803" t="s">
        <v>1740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f t="shared" si="36"/>
        <v>1.3618761518134992</v>
      </c>
      <c r="W803">
        <f t="shared" si="37"/>
        <v>0.79606445234832413</v>
      </c>
      <c r="X803">
        <f t="shared" si="38"/>
        <v>0.22807512612883141</v>
      </c>
    </row>
    <row r="804" spans="1:24" x14ac:dyDescent="0.25">
      <c r="A804">
        <v>803</v>
      </c>
      <c r="B804">
        <v>1</v>
      </c>
      <c r="C804">
        <v>1</v>
      </c>
      <c r="D804" s="1" t="s">
        <v>1579</v>
      </c>
      <c r="E804">
        <v>0</v>
      </c>
      <c r="F804">
        <v>11</v>
      </c>
      <c r="G804">
        <v>1</v>
      </c>
      <c r="H804">
        <v>2</v>
      </c>
      <c r="I804" s="1" t="s">
        <v>813</v>
      </c>
      <c r="J804">
        <v>120</v>
      </c>
      <c r="K804" s="1" t="s">
        <v>814</v>
      </c>
      <c r="L804" s="1" t="s">
        <v>14</v>
      </c>
      <c r="M804">
        <v>1</v>
      </c>
      <c r="N804">
        <v>0</v>
      </c>
      <c r="O804">
        <v>0</v>
      </c>
      <c r="P804" t="s">
        <v>1742</v>
      </c>
      <c r="Q804">
        <v>0</v>
      </c>
      <c r="R804">
        <v>0</v>
      </c>
      <c r="S804">
        <v>0</v>
      </c>
      <c r="T804">
        <v>1</v>
      </c>
      <c r="U804">
        <v>0</v>
      </c>
      <c r="V804">
        <f t="shared" si="36"/>
        <v>0.21766252466937555</v>
      </c>
      <c r="W804">
        <f t="shared" si="37"/>
        <v>0.55420180681382414</v>
      </c>
      <c r="X804">
        <f t="shared" si="38"/>
        <v>0.59022638633875368</v>
      </c>
    </row>
    <row r="805" spans="1:24" x14ac:dyDescent="0.25">
      <c r="A805">
        <v>804</v>
      </c>
      <c r="B805">
        <v>1</v>
      </c>
      <c r="C805">
        <v>3</v>
      </c>
      <c r="D805" s="1" t="s">
        <v>1580</v>
      </c>
      <c r="E805">
        <v>0</v>
      </c>
      <c r="F805" s="1">
        <v>5.193548387096774</v>
      </c>
      <c r="G805">
        <v>0</v>
      </c>
      <c r="H805">
        <v>1</v>
      </c>
      <c r="I805" s="1" t="s">
        <v>1581</v>
      </c>
      <c r="J805">
        <v>8.5167000000000002</v>
      </c>
      <c r="K805" s="1" t="s">
        <v>48</v>
      </c>
      <c r="L805" s="1" t="s">
        <v>18</v>
      </c>
      <c r="M805">
        <v>0</v>
      </c>
      <c r="N805">
        <v>1</v>
      </c>
      <c r="O805">
        <v>0</v>
      </c>
      <c r="P805" t="s">
        <v>1742</v>
      </c>
      <c r="Q805">
        <v>0</v>
      </c>
      <c r="R805">
        <v>0</v>
      </c>
      <c r="S805">
        <v>0</v>
      </c>
      <c r="T805">
        <v>1</v>
      </c>
      <c r="U805">
        <v>0</v>
      </c>
      <c r="V805">
        <f t="shared" si="36"/>
        <v>0.21766252466937555</v>
      </c>
      <c r="W805">
        <f t="shared" si="37"/>
        <v>0.55420180681382414</v>
      </c>
      <c r="X805">
        <f t="shared" si="38"/>
        <v>0.59022638633875368</v>
      </c>
    </row>
    <row r="806" spans="1:24" x14ac:dyDescent="0.25">
      <c r="A806">
        <v>805</v>
      </c>
      <c r="B806">
        <v>1</v>
      </c>
      <c r="C806">
        <v>3</v>
      </c>
      <c r="D806" s="1" t="s">
        <v>1582</v>
      </c>
      <c r="E806">
        <v>0</v>
      </c>
      <c r="F806">
        <v>27</v>
      </c>
      <c r="G806">
        <v>0</v>
      </c>
      <c r="H806">
        <v>0</v>
      </c>
      <c r="I806" s="1" t="s">
        <v>1583</v>
      </c>
      <c r="J806">
        <v>6.9749999999999996</v>
      </c>
      <c r="K806" s="1" t="s">
        <v>48</v>
      </c>
      <c r="L806" s="1" t="s">
        <v>14</v>
      </c>
      <c r="M806">
        <v>1</v>
      </c>
      <c r="N806">
        <v>0</v>
      </c>
      <c r="O806">
        <v>0</v>
      </c>
      <c r="P806" t="s">
        <v>1741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f t="shared" si="36"/>
        <v>0</v>
      </c>
      <c r="W806">
        <f t="shared" si="37"/>
        <v>0.5</v>
      </c>
      <c r="X806">
        <f t="shared" si="38"/>
        <v>0.69314718055994529</v>
      </c>
    </row>
    <row r="807" spans="1:24" x14ac:dyDescent="0.25">
      <c r="A807">
        <v>806</v>
      </c>
      <c r="B807">
        <v>0</v>
      </c>
      <c r="C807">
        <v>3</v>
      </c>
      <c r="D807" s="1" t="s">
        <v>1584</v>
      </c>
      <c r="E807">
        <v>0</v>
      </c>
      <c r="F807">
        <v>31</v>
      </c>
      <c r="G807">
        <v>0</v>
      </c>
      <c r="H807">
        <v>0</v>
      </c>
      <c r="I807" s="1" t="s">
        <v>1585</v>
      </c>
      <c r="J807">
        <v>7.7750000000000004</v>
      </c>
      <c r="K807" s="1" t="s">
        <v>48</v>
      </c>
      <c r="L807" s="1" t="s">
        <v>14</v>
      </c>
      <c r="M807">
        <v>1</v>
      </c>
      <c r="N807">
        <v>0</v>
      </c>
      <c r="O807">
        <v>0</v>
      </c>
      <c r="P807" t="s">
        <v>1741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f t="shared" si="36"/>
        <v>0</v>
      </c>
      <c r="W807">
        <f t="shared" si="37"/>
        <v>0.5</v>
      </c>
      <c r="X807">
        <f t="shared" si="38"/>
        <v>0.69314718055994529</v>
      </c>
    </row>
    <row r="808" spans="1:24" x14ac:dyDescent="0.25">
      <c r="A808">
        <v>807</v>
      </c>
      <c r="B808">
        <v>0</v>
      </c>
      <c r="C808">
        <v>1</v>
      </c>
      <c r="D808" s="1" t="s">
        <v>1586</v>
      </c>
      <c r="E808">
        <v>0</v>
      </c>
      <c r="F808">
        <v>39</v>
      </c>
      <c r="G808">
        <v>0</v>
      </c>
      <c r="H808">
        <v>0</v>
      </c>
      <c r="I808" s="1" t="s">
        <v>1587</v>
      </c>
      <c r="J808">
        <v>0</v>
      </c>
      <c r="K808" s="1" t="s">
        <v>1588</v>
      </c>
      <c r="L808" s="1" t="s">
        <v>14</v>
      </c>
      <c r="M808">
        <v>1</v>
      </c>
      <c r="N808">
        <v>0</v>
      </c>
      <c r="O808">
        <v>0</v>
      </c>
      <c r="P808" t="s">
        <v>1741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f t="shared" si="36"/>
        <v>0</v>
      </c>
      <c r="W808">
        <f t="shared" si="37"/>
        <v>0.5</v>
      </c>
      <c r="X808">
        <f t="shared" si="38"/>
        <v>0.69314718055994529</v>
      </c>
    </row>
    <row r="809" spans="1:24" x14ac:dyDescent="0.25">
      <c r="A809">
        <v>808</v>
      </c>
      <c r="B809">
        <v>0</v>
      </c>
      <c r="C809">
        <v>3</v>
      </c>
      <c r="D809" s="1" t="s">
        <v>1589</v>
      </c>
      <c r="E809">
        <v>1</v>
      </c>
      <c r="F809">
        <v>18</v>
      </c>
      <c r="G809">
        <v>0</v>
      </c>
      <c r="H809">
        <v>0</v>
      </c>
      <c r="I809" s="1" t="s">
        <v>1590</v>
      </c>
      <c r="J809">
        <v>7.7750000000000004</v>
      </c>
      <c r="K809" s="1" t="s">
        <v>48</v>
      </c>
      <c r="L809" s="1" t="s">
        <v>14</v>
      </c>
      <c r="M809">
        <v>1</v>
      </c>
      <c r="N809">
        <v>0</v>
      </c>
      <c r="O809">
        <v>0</v>
      </c>
      <c r="P809" t="s">
        <v>1739</v>
      </c>
      <c r="Q809">
        <v>1</v>
      </c>
      <c r="R809">
        <v>0</v>
      </c>
      <c r="S809">
        <v>0</v>
      </c>
      <c r="T809">
        <v>0</v>
      </c>
      <c r="U809">
        <v>0</v>
      </c>
      <c r="V809">
        <f t="shared" si="36"/>
        <v>0.87219584275330231</v>
      </c>
      <c r="W809">
        <f t="shared" si="37"/>
        <v>0.70520240168703408</v>
      </c>
      <c r="X809">
        <f t="shared" si="38"/>
        <v>1.2214662655353992</v>
      </c>
    </row>
    <row r="810" spans="1:24" x14ac:dyDescent="0.25">
      <c r="A810">
        <v>809</v>
      </c>
      <c r="B810">
        <v>0</v>
      </c>
      <c r="C810">
        <v>2</v>
      </c>
      <c r="D810" s="1" t="s">
        <v>1591</v>
      </c>
      <c r="E810">
        <v>0</v>
      </c>
      <c r="F810">
        <v>39</v>
      </c>
      <c r="G810">
        <v>0</v>
      </c>
      <c r="H810">
        <v>0</v>
      </c>
      <c r="I810" s="1" t="s">
        <v>1592</v>
      </c>
      <c r="J810">
        <v>13</v>
      </c>
      <c r="K810" s="1" t="s">
        <v>48</v>
      </c>
      <c r="L810" s="1" t="s">
        <v>14</v>
      </c>
      <c r="M810">
        <v>1</v>
      </c>
      <c r="N810">
        <v>0</v>
      </c>
      <c r="O810">
        <v>0</v>
      </c>
      <c r="P810" t="s">
        <v>1741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f t="shared" si="36"/>
        <v>0</v>
      </c>
      <c r="W810">
        <f t="shared" si="37"/>
        <v>0.5</v>
      </c>
      <c r="X810">
        <f t="shared" si="38"/>
        <v>0.69314718055994529</v>
      </c>
    </row>
    <row r="811" spans="1:24" x14ac:dyDescent="0.25">
      <c r="A811">
        <v>810</v>
      </c>
      <c r="B811">
        <v>1</v>
      </c>
      <c r="C811">
        <v>1</v>
      </c>
      <c r="D811" s="1" t="s">
        <v>1593</v>
      </c>
      <c r="E811">
        <v>1</v>
      </c>
      <c r="F811">
        <v>33</v>
      </c>
      <c r="G811">
        <v>1</v>
      </c>
      <c r="H811">
        <v>0</v>
      </c>
      <c r="I811" s="1" t="s">
        <v>1439</v>
      </c>
      <c r="J811">
        <v>53.1</v>
      </c>
      <c r="K811" s="1" t="s">
        <v>1440</v>
      </c>
      <c r="L811" s="1" t="s">
        <v>14</v>
      </c>
      <c r="M811">
        <v>1</v>
      </c>
      <c r="N811">
        <v>0</v>
      </c>
      <c r="O811">
        <v>0</v>
      </c>
      <c r="P811" t="s">
        <v>1740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f t="shared" si="36"/>
        <v>1.3618761518134992</v>
      </c>
      <c r="W811">
        <f t="shared" si="37"/>
        <v>0.79606445234832413</v>
      </c>
      <c r="X811">
        <f t="shared" si="38"/>
        <v>0.22807512612883141</v>
      </c>
    </row>
    <row r="812" spans="1:24" x14ac:dyDescent="0.25">
      <c r="A812">
        <v>811</v>
      </c>
      <c r="B812">
        <v>0</v>
      </c>
      <c r="C812">
        <v>3</v>
      </c>
      <c r="D812" s="1" t="s">
        <v>1594</v>
      </c>
      <c r="E812">
        <v>0</v>
      </c>
      <c r="F812">
        <v>26</v>
      </c>
      <c r="G812">
        <v>0</v>
      </c>
      <c r="H812">
        <v>0</v>
      </c>
      <c r="I812" s="1" t="s">
        <v>1595</v>
      </c>
      <c r="J812">
        <v>7.8875000000000002</v>
      </c>
      <c r="K812" s="1" t="s">
        <v>48</v>
      </c>
      <c r="L812" s="1" t="s">
        <v>14</v>
      </c>
      <c r="M812">
        <v>1</v>
      </c>
      <c r="N812">
        <v>0</v>
      </c>
      <c r="O812">
        <v>0</v>
      </c>
      <c r="P812" t="s">
        <v>1741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f t="shared" si="36"/>
        <v>0</v>
      </c>
      <c r="W812">
        <f t="shared" si="37"/>
        <v>0.5</v>
      </c>
      <c r="X812">
        <f t="shared" si="38"/>
        <v>0.69314718055994529</v>
      </c>
    </row>
    <row r="813" spans="1:24" x14ac:dyDescent="0.25">
      <c r="A813">
        <v>812</v>
      </c>
      <c r="B813">
        <v>0</v>
      </c>
      <c r="C813">
        <v>3</v>
      </c>
      <c r="D813" s="1" t="s">
        <v>1596</v>
      </c>
      <c r="E813">
        <v>0</v>
      </c>
      <c r="F813">
        <v>39</v>
      </c>
      <c r="G813">
        <v>0</v>
      </c>
      <c r="H813">
        <v>0</v>
      </c>
      <c r="I813" s="1" t="s">
        <v>1147</v>
      </c>
      <c r="J813">
        <v>24.15</v>
      </c>
      <c r="K813" s="1" t="s">
        <v>48</v>
      </c>
      <c r="L813" s="1" t="s">
        <v>14</v>
      </c>
      <c r="M813">
        <v>1</v>
      </c>
      <c r="N813">
        <v>0</v>
      </c>
      <c r="O813">
        <v>0</v>
      </c>
      <c r="P813" t="s">
        <v>1741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f t="shared" si="36"/>
        <v>0</v>
      </c>
      <c r="W813">
        <f t="shared" si="37"/>
        <v>0.5</v>
      </c>
      <c r="X813">
        <f t="shared" si="38"/>
        <v>0.69314718055994529</v>
      </c>
    </row>
    <row r="814" spans="1:24" x14ac:dyDescent="0.25">
      <c r="A814">
        <v>813</v>
      </c>
      <c r="B814">
        <v>0</v>
      </c>
      <c r="C814">
        <v>2</v>
      </c>
      <c r="D814" s="1" t="s">
        <v>1597</v>
      </c>
      <c r="E814">
        <v>0</v>
      </c>
      <c r="F814">
        <v>35</v>
      </c>
      <c r="G814">
        <v>0</v>
      </c>
      <c r="H814">
        <v>0</v>
      </c>
      <c r="I814" s="1" t="s">
        <v>1598</v>
      </c>
      <c r="J814">
        <v>10.5</v>
      </c>
      <c r="K814" s="1" t="s">
        <v>48</v>
      </c>
      <c r="L814" s="1" t="s">
        <v>14</v>
      </c>
      <c r="M814">
        <v>1</v>
      </c>
      <c r="N814">
        <v>0</v>
      </c>
      <c r="O814">
        <v>0</v>
      </c>
      <c r="P814" t="s">
        <v>1741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f t="shared" si="36"/>
        <v>0</v>
      </c>
      <c r="W814">
        <f t="shared" si="37"/>
        <v>0.5</v>
      </c>
      <c r="X814">
        <f t="shared" si="38"/>
        <v>0.69314718055994529</v>
      </c>
    </row>
    <row r="815" spans="1:24" x14ac:dyDescent="0.25">
      <c r="A815">
        <v>814</v>
      </c>
      <c r="B815">
        <v>0</v>
      </c>
      <c r="C815">
        <v>3</v>
      </c>
      <c r="D815" s="1" t="s">
        <v>1599</v>
      </c>
      <c r="E815">
        <v>1</v>
      </c>
      <c r="F815">
        <v>6</v>
      </c>
      <c r="G815">
        <v>4</v>
      </c>
      <c r="H815">
        <v>2</v>
      </c>
      <c r="I815" s="1" t="s">
        <v>47</v>
      </c>
      <c r="J815">
        <v>31.274999999999999</v>
      </c>
      <c r="K815" s="1" t="s">
        <v>48</v>
      </c>
      <c r="L815" s="1" t="s">
        <v>14</v>
      </c>
      <c r="M815">
        <v>1</v>
      </c>
      <c r="N815">
        <v>0</v>
      </c>
      <c r="O815">
        <v>0</v>
      </c>
      <c r="P815" t="s">
        <v>1739</v>
      </c>
      <c r="Q815">
        <v>1</v>
      </c>
      <c r="R815">
        <v>0</v>
      </c>
      <c r="S815">
        <v>0</v>
      </c>
      <c r="T815">
        <v>0</v>
      </c>
      <c r="U815">
        <v>0</v>
      </c>
      <c r="V815">
        <f t="shared" si="36"/>
        <v>0.87219584275330231</v>
      </c>
      <c r="W815">
        <f t="shared" si="37"/>
        <v>0.70520240168703408</v>
      </c>
      <c r="X815">
        <f t="shared" si="38"/>
        <v>1.2214662655353992</v>
      </c>
    </row>
    <row r="816" spans="1:24" x14ac:dyDescent="0.25">
      <c r="A816">
        <v>815</v>
      </c>
      <c r="B816">
        <v>0</v>
      </c>
      <c r="C816">
        <v>3</v>
      </c>
      <c r="D816" s="1" t="s">
        <v>1600</v>
      </c>
      <c r="E816">
        <v>0</v>
      </c>
      <c r="F816" s="1">
        <v>32.180156657963444</v>
      </c>
      <c r="G816">
        <v>0</v>
      </c>
      <c r="H816">
        <v>0</v>
      </c>
      <c r="I816" s="1" t="s">
        <v>1601</v>
      </c>
      <c r="J816">
        <v>8.0500000000000007</v>
      </c>
      <c r="K816" s="1" t="s">
        <v>48</v>
      </c>
      <c r="L816" s="1" t="s">
        <v>14</v>
      </c>
      <c r="M816">
        <v>1</v>
      </c>
      <c r="N816">
        <v>0</v>
      </c>
      <c r="O816">
        <v>0</v>
      </c>
      <c r="P816" t="s">
        <v>1741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f t="shared" si="36"/>
        <v>0</v>
      </c>
      <c r="W816">
        <f t="shared" si="37"/>
        <v>0.5</v>
      </c>
      <c r="X816">
        <f t="shared" si="38"/>
        <v>0.69314718055994529</v>
      </c>
    </row>
    <row r="817" spans="1:24" x14ac:dyDescent="0.25">
      <c r="A817">
        <v>816</v>
      </c>
      <c r="B817">
        <v>0</v>
      </c>
      <c r="C817">
        <v>1</v>
      </c>
      <c r="D817" s="1" t="s">
        <v>1602</v>
      </c>
      <c r="E817">
        <v>0</v>
      </c>
      <c r="F817" s="1">
        <v>32.180156657963444</v>
      </c>
      <c r="G817">
        <v>0</v>
      </c>
      <c r="H817">
        <v>0</v>
      </c>
      <c r="I817" s="1" t="s">
        <v>1603</v>
      </c>
      <c r="J817">
        <v>0</v>
      </c>
      <c r="K817" s="1" t="s">
        <v>1604</v>
      </c>
      <c r="L817" s="1" t="s">
        <v>14</v>
      </c>
      <c r="M817">
        <v>1</v>
      </c>
      <c r="N817">
        <v>0</v>
      </c>
      <c r="O817">
        <v>0</v>
      </c>
      <c r="P817" t="s">
        <v>1741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f t="shared" si="36"/>
        <v>0</v>
      </c>
      <c r="W817">
        <f t="shared" si="37"/>
        <v>0.5</v>
      </c>
      <c r="X817">
        <f t="shared" si="38"/>
        <v>0.69314718055994529</v>
      </c>
    </row>
    <row r="818" spans="1:24" x14ac:dyDescent="0.25">
      <c r="A818">
        <v>817</v>
      </c>
      <c r="B818">
        <v>0</v>
      </c>
      <c r="C818">
        <v>3</v>
      </c>
      <c r="D818" s="1" t="s">
        <v>1605</v>
      </c>
      <c r="E818">
        <v>1</v>
      </c>
      <c r="F818">
        <v>23</v>
      </c>
      <c r="G818">
        <v>0</v>
      </c>
      <c r="H818">
        <v>0</v>
      </c>
      <c r="I818" s="1" t="s">
        <v>1606</v>
      </c>
      <c r="J818">
        <v>7.9249999999999998</v>
      </c>
      <c r="K818" s="1" t="s">
        <v>48</v>
      </c>
      <c r="L818" s="1" t="s">
        <v>14</v>
      </c>
      <c r="M818">
        <v>1</v>
      </c>
      <c r="N818">
        <v>0</v>
      </c>
      <c r="O818">
        <v>0</v>
      </c>
      <c r="P818" t="s">
        <v>1739</v>
      </c>
      <c r="Q818">
        <v>1</v>
      </c>
      <c r="R818">
        <v>0</v>
      </c>
      <c r="S818">
        <v>0</v>
      </c>
      <c r="T818">
        <v>0</v>
      </c>
      <c r="U818">
        <v>0</v>
      </c>
      <c r="V818">
        <f t="shared" si="36"/>
        <v>0.87219584275330231</v>
      </c>
      <c r="W818">
        <f t="shared" si="37"/>
        <v>0.70520240168703408</v>
      </c>
      <c r="X818">
        <f t="shared" si="38"/>
        <v>1.2214662655353992</v>
      </c>
    </row>
    <row r="819" spans="1:24" x14ac:dyDescent="0.25">
      <c r="A819">
        <v>818</v>
      </c>
      <c r="B819">
        <v>0</v>
      </c>
      <c r="C819">
        <v>2</v>
      </c>
      <c r="D819" s="1" t="s">
        <v>1607</v>
      </c>
      <c r="E819">
        <v>0</v>
      </c>
      <c r="F819">
        <v>31</v>
      </c>
      <c r="G819">
        <v>1</v>
      </c>
      <c r="H819">
        <v>1</v>
      </c>
      <c r="I819" s="1" t="s">
        <v>1608</v>
      </c>
      <c r="J819">
        <v>37.004199999999997</v>
      </c>
      <c r="K819" s="1" t="s">
        <v>48</v>
      </c>
      <c r="L819" s="1" t="s">
        <v>18</v>
      </c>
      <c r="M819">
        <v>0</v>
      </c>
      <c r="N819">
        <v>1</v>
      </c>
      <c r="O819">
        <v>0</v>
      </c>
      <c r="P819" t="s">
        <v>1741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f t="shared" si="36"/>
        <v>0</v>
      </c>
      <c r="W819">
        <f t="shared" si="37"/>
        <v>0.5</v>
      </c>
      <c r="X819">
        <f t="shared" si="38"/>
        <v>0.69314718055994529</v>
      </c>
    </row>
    <row r="820" spans="1:24" x14ac:dyDescent="0.25">
      <c r="A820">
        <v>819</v>
      </c>
      <c r="B820">
        <v>0</v>
      </c>
      <c r="C820">
        <v>3</v>
      </c>
      <c r="D820" s="1" t="s">
        <v>1609</v>
      </c>
      <c r="E820">
        <v>0</v>
      </c>
      <c r="F820">
        <v>43</v>
      </c>
      <c r="G820">
        <v>0</v>
      </c>
      <c r="H820">
        <v>0</v>
      </c>
      <c r="I820" s="1" t="s">
        <v>1610</v>
      </c>
      <c r="J820">
        <v>6.45</v>
      </c>
      <c r="K820" s="1" t="s">
        <v>48</v>
      </c>
      <c r="L820" s="1" t="s">
        <v>14</v>
      </c>
      <c r="M820">
        <v>1</v>
      </c>
      <c r="N820">
        <v>0</v>
      </c>
      <c r="O820">
        <v>0</v>
      </c>
      <c r="P820" t="s">
        <v>1741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f t="shared" si="36"/>
        <v>0</v>
      </c>
      <c r="W820">
        <f t="shared" si="37"/>
        <v>0.5</v>
      </c>
      <c r="X820">
        <f t="shared" si="38"/>
        <v>0.69314718055994529</v>
      </c>
    </row>
    <row r="821" spans="1:24" x14ac:dyDescent="0.25">
      <c r="A821">
        <v>820</v>
      </c>
      <c r="B821">
        <v>0</v>
      </c>
      <c r="C821">
        <v>3</v>
      </c>
      <c r="D821" s="1" t="s">
        <v>1611</v>
      </c>
      <c r="E821">
        <v>0</v>
      </c>
      <c r="F821">
        <v>10</v>
      </c>
      <c r="G821">
        <v>3</v>
      </c>
      <c r="H821">
        <v>2</v>
      </c>
      <c r="I821" s="1" t="s">
        <v>156</v>
      </c>
      <c r="J821">
        <v>27.9</v>
      </c>
      <c r="K821" s="1" t="s">
        <v>48</v>
      </c>
      <c r="L821" s="1" t="s">
        <v>14</v>
      </c>
      <c r="M821">
        <v>1</v>
      </c>
      <c r="N821">
        <v>0</v>
      </c>
      <c r="O821">
        <v>0</v>
      </c>
      <c r="P821" t="s">
        <v>1742</v>
      </c>
      <c r="Q821">
        <v>0</v>
      </c>
      <c r="R821">
        <v>0</v>
      </c>
      <c r="S821">
        <v>0</v>
      </c>
      <c r="T821">
        <v>1</v>
      </c>
      <c r="U821">
        <v>0</v>
      </c>
      <c r="V821">
        <f t="shared" si="36"/>
        <v>0.21766252466937555</v>
      </c>
      <c r="W821">
        <f t="shared" si="37"/>
        <v>0.55420180681382414</v>
      </c>
      <c r="X821">
        <f t="shared" si="38"/>
        <v>0.8078889110081291</v>
      </c>
    </row>
    <row r="822" spans="1:24" x14ac:dyDescent="0.25">
      <c r="A822">
        <v>821</v>
      </c>
      <c r="B822">
        <v>1</v>
      </c>
      <c r="C822">
        <v>1</v>
      </c>
      <c r="D822" s="1" t="s">
        <v>1612</v>
      </c>
      <c r="E822">
        <v>1</v>
      </c>
      <c r="F822">
        <v>52</v>
      </c>
      <c r="G822">
        <v>1</v>
      </c>
      <c r="H822">
        <v>1</v>
      </c>
      <c r="I822" s="1" t="s">
        <v>1062</v>
      </c>
      <c r="J822">
        <v>93.5</v>
      </c>
      <c r="K822" s="1" t="s">
        <v>1613</v>
      </c>
      <c r="L822" s="1" t="s">
        <v>14</v>
      </c>
      <c r="M822">
        <v>1</v>
      </c>
      <c r="N822">
        <v>0</v>
      </c>
      <c r="O822">
        <v>0</v>
      </c>
      <c r="P822" t="s">
        <v>1740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f t="shared" si="36"/>
        <v>1.3618761518134992</v>
      </c>
      <c r="W822">
        <f t="shared" si="37"/>
        <v>0.79606445234832413</v>
      </c>
      <c r="X822">
        <f t="shared" si="38"/>
        <v>0.22807512612883141</v>
      </c>
    </row>
    <row r="823" spans="1:24" x14ac:dyDescent="0.25">
      <c r="A823">
        <v>822</v>
      </c>
      <c r="B823">
        <v>1</v>
      </c>
      <c r="C823">
        <v>3</v>
      </c>
      <c r="D823" s="1" t="s">
        <v>1614</v>
      </c>
      <c r="E823">
        <v>0</v>
      </c>
      <c r="F823">
        <v>27</v>
      </c>
      <c r="G823">
        <v>0</v>
      </c>
      <c r="H823">
        <v>0</v>
      </c>
      <c r="I823" s="1" t="s">
        <v>1615</v>
      </c>
      <c r="J823">
        <v>8.6624999999999996</v>
      </c>
      <c r="K823" s="1" t="s">
        <v>48</v>
      </c>
      <c r="L823" s="1" t="s">
        <v>14</v>
      </c>
      <c r="M823">
        <v>1</v>
      </c>
      <c r="N823">
        <v>0</v>
      </c>
      <c r="O823">
        <v>0</v>
      </c>
      <c r="P823" t="s">
        <v>1741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f t="shared" si="36"/>
        <v>0</v>
      </c>
      <c r="W823">
        <f t="shared" si="37"/>
        <v>0.5</v>
      </c>
      <c r="X823">
        <f t="shared" si="38"/>
        <v>0.69314718055994529</v>
      </c>
    </row>
    <row r="824" spans="1:24" x14ac:dyDescent="0.25">
      <c r="A824">
        <v>823</v>
      </c>
      <c r="B824">
        <v>0</v>
      </c>
      <c r="C824">
        <v>1</v>
      </c>
      <c r="D824" s="1" t="s">
        <v>1616</v>
      </c>
      <c r="E824">
        <v>0</v>
      </c>
      <c r="F824">
        <v>38</v>
      </c>
      <c r="G824">
        <v>0</v>
      </c>
      <c r="H824">
        <v>0</v>
      </c>
      <c r="I824" s="1" t="s">
        <v>1617</v>
      </c>
      <c r="J824">
        <v>0</v>
      </c>
      <c r="K824" s="1" t="s">
        <v>48</v>
      </c>
      <c r="L824" s="1" t="s">
        <v>14</v>
      </c>
      <c r="M824">
        <v>1</v>
      </c>
      <c r="N824">
        <v>0</v>
      </c>
      <c r="O824">
        <v>0</v>
      </c>
      <c r="P824" t="s">
        <v>1756</v>
      </c>
      <c r="Q824">
        <v>0</v>
      </c>
      <c r="R824">
        <v>0</v>
      </c>
      <c r="S824">
        <v>0</v>
      </c>
      <c r="T824">
        <v>0</v>
      </c>
      <c r="U824">
        <v>1</v>
      </c>
      <c r="V824">
        <f t="shared" si="36"/>
        <v>0</v>
      </c>
      <c r="W824">
        <f t="shared" si="37"/>
        <v>0.5</v>
      </c>
      <c r="X824">
        <f t="shared" si="38"/>
        <v>0.69314718055994529</v>
      </c>
    </row>
    <row r="825" spans="1:24" x14ac:dyDescent="0.25">
      <c r="A825">
        <v>824</v>
      </c>
      <c r="B825">
        <v>1</v>
      </c>
      <c r="C825">
        <v>3</v>
      </c>
      <c r="D825" s="1" t="s">
        <v>1618</v>
      </c>
      <c r="E825">
        <v>1</v>
      </c>
      <c r="F825">
        <v>27</v>
      </c>
      <c r="G825">
        <v>0</v>
      </c>
      <c r="H825">
        <v>1</v>
      </c>
      <c r="I825" s="1" t="s">
        <v>1488</v>
      </c>
      <c r="J825">
        <v>12.475</v>
      </c>
      <c r="K825" s="1" t="s">
        <v>1489</v>
      </c>
      <c r="L825" s="1" t="s">
        <v>14</v>
      </c>
      <c r="M825">
        <v>1</v>
      </c>
      <c r="N825">
        <v>0</v>
      </c>
      <c r="O825">
        <v>0</v>
      </c>
      <c r="P825" t="s">
        <v>1740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f t="shared" si="36"/>
        <v>1.3618761518134992</v>
      </c>
      <c r="W825">
        <f t="shared" si="37"/>
        <v>0.79606445234832413</v>
      </c>
      <c r="X825">
        <f t="shared" si="38"/>
        <v>0.22807512612883141</v>
      </c>
    </row>
    <row r="826" spans="1:24" x14ac:dyDescent="0.25">
      <c r="A826">
        <v>825</v>
      </c>
      <c r="B826">
        <v>0</v>
      </c>
      <c r="C826">
        <v>3</v>
      </c>
      <c r="D826" s="1" t="s">
        <v>1619</v>
      </c>
      <c r="E826">
        <v>0</v>
      </c>
      <c r="F826">
        <v>2</v>
      </c>
      <c r="G826">
        <v>4</v>
      </c>
      <c r="H826">
        <v>1</v>
      </c>
      <c r="I826" s="1" t="s">
        <v>125</v>
      </c>
      <c r="J826">
        <v>39.6875</v>
      </c>
      <c r="K826" s="1" t="s">
        <v>48</v>
      </c>
      <c r="L826" s="1" t="s">
        <v>14</v>
      </c>
      <c r="M826">
        <v>1</v>
      </c>
      <c r="N826">
        <v>0</v>
      </c>
      <c r="O826">
        <v>0</v>
      </c>
      <c r="P826" t="s">
        <v>1742</v>
      </c>
      <c r="Q826">
        <v>0</v>
      </c>
      <c r="R826">
        <v>0</v>
      </c>
      <c r="S826">
        <v>0</v>
      </c>
      <c r="T826">
        <v>1</v>
      </c>
      <c r="U826">
        <v>0</v>
      </c>
      <c r="V826">
        <f t="shared" si="36"/>
        <v>0.21766252466937555</v>
      </c>
      <c r="W826">
        <f t="shared" si="37"/>
        <v>0.55420180681382414</v>
      </c>
      <c r="X826">
        <f t="shared" si="38"/>
        <v>0.8078889110081291</v>
      </c>
    </row>
    <row r="827" spans="1:24" x14ac:dyDescent="0.25">
      <c r="A827">
        <v>826</v>
      </c>
      <c r="B827">
        <v>0</v>
      </c>
      <c r="C827">
        <v>3</v>
      </c>
      <c r="D827" s="1" t="s">
        <v>1620</v>
      </c>
      <c r="E827">
        <v>0</v>
      </c>
      <c r="F827" s="1">
        <v>32.180156657963444</v>
      </c>
      <c r="G827">
        <v>0</v>
      </c>
      <c r="H827">
        <v>0</v>
      </c>
      <c r="I827" s="1" t="s">
        <v>1621</v>
      </c>
      <c r="J827">
        <v>6.95</v>
      </c>
      <c r="K827" s="1" t="s">
        <v>48</v>
      </c>
      <c r="L827" s="1" t="s">
        <v>28</v>
      </c>
      <c r="M827">
        <v>0</v>
      </c>
      <c r="N827">
        <v>0</v>
      </c>
      <c r="O827">
        <v>1</v>
      </c>
      <c r="P827" t="s">
        <v>1741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f t="shared" si="36"/>
        <v>0</v>
      </c>
      <c r="W827">
        <f t="shared" si="37"/>
        <v>0.5</v>
      </c>
      <c r="X827">
        <f t="shared" si="38"/>
        <v>0.69314718055994529</v>
      </c>
    </row>
    <row r="828" spans="1:24" x14ac:dyDescent="0.25">
      <c r="A828">
        <v>827</v>
      </c>
      <c r="B828">
        <v>0</v>
      </c>
      <c r="C828">
        <v>3</v>
      </c>
      <c r="D828" s="1" t="s">
        <v>1622</v>
      </c>
      <c r="E828">
        <v>0</v>
      </c>
      <c r="F828" s="1">
        <v>32.180156657963444</v>
      </c>
      <c r="G828">
        <v>0</v>
      </c>
      <c r="H828">
        <v>0</v>
      </c>
      <c r="I828" s="1" t="s">
        <v>178</v>
      </c>
      <c r="J828">
        <v>56.495800000000003</v>
      </c>
      <c r="K828" s="1" t="s">
        <v>48</v>
      </c>
      <c r="L828" s="1" t="s">
        <v>14</v>
      </c>
      <c r="M828">
        <v>1</v>
      </c>
      <c r="N828">
        <v>0</v>
      </c>
      <c r="O828">
        <v>0</v>
      </c>
      <c r="P828" t="s">
        <v>1741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f t="shared" si="36"/>
        <v>0</v>
      </c>
      <c r="W828">
        <f t="shared" si="37"/>
        <v>0.5</v>
      </c>
      <c r="X828">
        <f t="shared" si="38"/>
        <v>0.69314718055994529</v>
      </c>
    </row>
    <row r="829" spans="1:24" x14ac:dyDescent="0.25">
      <c r="A829">
        <v>828</v>
      </c>
      <c r="B829">
        <v>1</v>
      </c>
      <c r="C829">
        <v>2</v>
      </c>
      <c r="D829" s="1" t="s">
        <v>1623</v>
      </c>
      <c r="E829">
        <v>0</v>
      </c>
      <c r="F829">
        <v>1</v>
      </c>
      <c r="G829">
        <v>0</v>
      </c>
      <c r="H829">
        <v>2</v>
      </c>
      <c r="I829" s="1" t="s">
        <v>1608</v>
      </c>
      <c r="J829">
        <v>37.004199999999997</v>
      </c>
      <c r="K829" s="1" t="s">
        <v>48</v>
      </c>
      <c r="L829" s="1" t="s">
        <v>18</v>
      </c>
      <c r="M829">
        <v>0</v>
      </c>
      <c r="N829">
        <v>1</v>
      </c>
      <c r="O829">
        <v>0</v>
      </c>
      <c r="P829" t="s">
        <v>1742</v>
      </c>
      <c r="Q829">
        <v>0</v>
      </c>
      <c r="R829">
        <v>0</v>
      </c>
      <c r="S829">
        <v>0</v>
      </c>
      <c r="T829">
        <v>1</v>
      </c>
      <c r="U829">
        <v>0</v>
      </c>
      <c r="V829">
        <f t="shared" si="36"/>
        <v>0.21766252466937555</v>
      </c>
      <c r="W829">
        <f t="shared" si="37"/>
        <v>0.55420180681382414</v>
      </c>
      <c r="X829">
        <f t="shared" si="38"/>
        <v>0.59022638633875368</v>
      </c>
    </row>
    <row r="830" spans="1:24" x14ac:dyDescent="0.25">
      <c r="A830">
        <v>829</v>
      </c>
      <c r="B830">
        <v>1</v>
      </c>
      <c r="C830">
        <v>3</v>
      </c>
      <c r="D830" s="1" t="s">
        <v>1624</v>
      </c>
      <c r="E830">
        <v>0</v>
      </c>
      <c r="F830" s="1">
        <v>32.180156657963444</v>
      </c>
      <c r="G830">
        <v>0</v>
      </c>
      <c r="H830">
        <v>0</v>
      </c>
      <c r="I830" s="1" t="s">
        <v>1625</v>
      </c>
      <c r="J830">
        <v>7.75</v>
      </c>
      <c r="K830" s="1" t="s">
        <v>48</v>
      </c>
      <c r="L830" s="1" t="s">
        <v>28</v>
      </c>
      <c r="M830">
        <v>0</v>
      </c>
      <c r="N830">
        <v>0</v>
      </c>
      <c r="O830">
        <v>1</v>
      </c>
      <c r="P830" t="s">
        <v>1741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f t="shared" si="36"/>
        <v>0</v>
      </c>
      <c r="W830">
        <f t="shared" si="37"/>
        <v>0.5</v>
      </c>
      <c r="X830">
        <f t="shared" si="38"/>
        <v>0.69314718055994529</v>
      </c>
    </row>
    <row r="831" spans="1:24" x14ac:dyDescent="0.25">
      <c r="A831">
        <v>830</v>
      </c>
      <c r="B831">
        <v>1</v>
      </c>
      <c r="C831">
        <v>1</v>
      </c>
      <c r="D831" s="1" t="s">
        <v>1626</v>
      </c>
      <c r="E831">
        <v>1</v>
      </c>
      <c r="F831">
        <v>62</v>
      </c>
      <c r="G831">
        <v>0</v>
      </c>
      <c r="H831">
        <v>0</v>
      </c>
      <c r="I831" s="1" t="s">
        <v>150</v>
      </c>
      <c r="J831">
        <v>80</v>
      </c>
      <c r="K831" s="1" t="s">
        <v>151</v>
      </c>
      <c r="L831" s="1" t="s">
        <v>48</v>
      </c>
      <c r="M831">
        <v>0</v>
      </c>
      <c r="N831">
        <v>0</v>
      </c>
      <c r="O831">
        <v>0</v>
      </c>
      <c r="P831" t="s">
        <v>1740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f t="shared" si="36"/>
        <v>1.3618761518134992</v>
      </c>
      <c r="W831">
        <f t="shared" si="37"/>
        <v>0.79606445234832413</v>
      </c>
      <c r="X831">
        <f t="shared" si="38"/>
        <v>0.22807512612883141</v>
      </c>
    </row>
    <row r="832" spans="1:24" x14ac:dyDescent="0.25">
      <c r="A832">
        <v>831</v>
      </c>
      <c r="B832">
        <v>1</v>
      </c>
      <c r="C832">
        <v>3</v>
      </c>
      <c r="D832" s="1" t="s">
        <v>1627</v>
      </c>
      <c r="E832">
        <v>1</v>
      </c>
      <c r="F832">
        <v>15</v>
      </c>
      <c r="G832">
        <v>1</v>
      </c>
      <c r="H832">
        <v>0</v>
      </c>
      <c r="I832" s="1" t="s">
        <v>1246</v>
      </c>
      <c r="J832">
        <v>14.4542</v>
      </c>
      <c r="K832" s="1" t="s">
        <v>48</v>
      </c>
      <c r="L832" s="1" t="s">
        <v>18</v>
      </c>
      <c r="M832">
        <v>0</v>
      </c>
      <c r="N832">
        <v>1</v>
      </c>
      <c r="O832">
        <v>0</v>
      </c>
      <c r="P832" t="s">
        <v>1740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f t="shared" si="36"/>
        <v>1.3618761518134992</v>
      </c>
      <c r="W832">
        <f t="shared" si="37"/>
        <v>0.79606445234832413</v>
      </c>
      <c r="X832">
        <f t="shared" si="38"/>
        <v>0.22807512612883141</v>
      </c>
    </row>
    <row r="833" spans="1:24" x14ac:dyDescent="0.25">
      <c r="A833">
        <v>832</v>
      </c>
      <c r="B833">
        <v>1</v>
      </c>
      <c r="C833">
        <v>2</v>
      </c>
      <c r="D833" s="1" t="s">
        <v>1628</v>
      </c>
      <c r="E833">
        <v>0</v>
      </c>
      <c r="F833" s="1">
        <v>5.193548387096774</v>
      </c>
      <c r="G833">
        <v>1</v>
      </c>
      <c r="H833">
        <v>1</v>
      </c>
      <c r="I833" s="1" t="s">
        <v>845</v>
      </c>
      <c r="J833">
        <v>18.75</v>
      </c>
      <c r="K833" s="1" t="s">
        <v>48</v>
      </c>
      <c r="L833" s="1" t="s">
        <v>14</v>
      </c>
      <c r="M833">
        <v>1</v>
      </c>
      <c r="N833">
        <v>0</v>
      </c>
      <c r="O833">
        <v>0</v>
      </c>
      <c r="P833" t="s">
        <v>1742</v>
      </c>
      <c r="Q833">
        <v>0</v>
      </c>
      <c r="R833">
        <v>0</v>
      </c>
      <c r="S833">
        <v>0</v>
      </c>
      <c r="T833">
        <v>1</v>
      </c>
      <c r="U833">
        <v>0</v>
      </c>
      <c r="V833">
        <f t="shared" si="36"/>
        <v>0.21766252466937555</v>
      </c>
      <c r="W833">
        <f t="shared" si="37"/>
        <v>0.55420180681382414</v>
      </c>
      <c r="X833">
        <f t="shared" si="38"/>
        <v>0.59022638633875368</v>
      </c>
    </row>
    <row r="834" spans="1:24" x14ac:dyDescent="0.25">
      <c r="A834">
        <v>833</v>
      </c>
      <c r="B834">
        <v>0</v>
      </c>
      <c r="C834">
        <v>3</v>
      </c>
      <c r="D834" s="1" t="s">
        <v>1629</v>
      </c>
      <c r="E834">
        <v>0</v>
      </c>
      <c r="F834" s="1">
        <v>32.180156657963444</v>
      </c>
      <c r="G834">
        <v>0</v>
      </c>
      <c r="H834">
        <v>0</v>
      </c>
      <c r="I834" s="1" t="s">
        <v>1630</v>
      </c>
      <c r="J834">
        <v>7.2291999999999996</v>
      </c>
      <c r="K834" s="1" t="s">
        <v>48</v>
      </c>
      <c r="L834" s="1" t="s">
        <v>18</v>
      </c>
      <c r="M834">
        <v>0</v>
      </c>
      <c r="N834">
        <v>1</v>
      </c>
      <c r="O834">
        <v>0</v>
      </c>
      <c r="P834" t="s">
        <v>1741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f t="shared" si="36"/>
        <v>0</v>
      </c>
      <c r="W834">
        <f t="shared" si="37"/>
        <v>0.5</v>
      </c>
      <c r="X834">
        <f t="shared" si="38"/>
        <v>0.69314718055994529</v>
      </c>
    </row>
    <row r="835" spans="1:24" x14ac:dyDescent="0.25">
      <c r="A835">
        <v>834</v>
      </c>
      <c r="B835">
        <v>0</v>
      </c>
      <c r="C835">
        <v>3</v>
      </c>
      <c r="D835" s="1" t="s">
        <v>1631</v>
      </c>
      <c r="E835">
        <v>0</v>
      </c>
      <c r="F835">
        <v>23</v>
      </c>
      <c r="G835">
        <v>0</v>
      </c>
      <c r="H835">
        <v>0</v>
      </c>
      <c r="I835" s="1" t="s">
        <v>1632</v>
      </c>
      <c r="J835">
        <v>7.8541999999999996</v>
      </c>
      <c r="K835" s="1" t="s">
        <v>48</v>
      </c>
      <c r="L835" s="1" t="s">
        <v>14</v>
      </c>
      <c r="M835">
        <v>1</v>
      </c>
      <c r="N835">
        <v>0</v>
      </c>
      <c r="O835">
        <v>0</v>
      </c>
      <c r="P835" t="s">
        <v>1741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f t="shared" ref="V835:V892" si="39">$AB$1+C835*$AB$2+E835*$AB$3+F835*$AB$4+G835*$AB$5+H835*$AB$6+J835*$AB$7+M835*$AB$8+N835*$AB$9+O835*$AB$10+Q835*$AB$11+R835*$AB$12+S835*$AB$13+T835*$AB$14+U835*$AB$15</f>
        <v>0</v>
      </c>
      <c r="W835">
        <f t="shared" ref="W835:W892" si="40">1/(1+EXP(-V835))</f>
        <v>0.5</v>
      </c>
      <c r="X835">
        <f t="shared" ref="X835:X892" si="41">-(B835*LN(MAX(0.000001,MIN(0.999999,W835))) +(1-B835)*LN(MAX(0.000001,MIN(0.999999,1-W835))))</f>
        <v>0.69314718055994529</v>
      </c>
    </row>
    <row r="836" spans="1:24" x14ac:dyDescent="0.25">
      <c r="A836">
        <v>835</v>
      </c>
      <c r="B836">
        <v>0</v>
      </c>
      <c r="C836">
        <v>3</v>
      </c>
      <c r="D836" s="1" t="s">
        <v>1633</v>
      </c>
      <c r="E836">
        <v>0</v>
      </c>
      <c r="F836">
        <v>18</v>
      </c>
      <c r="G836">
        <v>0</v>
      </c>
      <c r="H836">
        <v>0</v>
      </c>
      <c r="I836" s="1" t="s">
        <v>1634</v>
      </c>
      <c r="J836">
        <v>8.3000000000000007</v>
      </c>
      <c r="K836" s="1" t="s">
        <v>48</v>
      </c>
      <c r="L836" s="1" t="s">
        <v>14</v>
      </c>
      <c r="M836">
        <v>1</v>
      </c>
      <c r="N836">
        <v>0</v>
      </c>
      <c r="O836">
        <v>0</v>
      </c>
      <c r="P836" t="s">
        <v>1741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f t="shared" si="39"/>
        <v>0</v>
      </c>
      <c r="W836">
        <f t="shared" si="40"/>
        <v>0.5</v>
      </c>
      <c r="X836">
        <f t="shared" si="41"/>
        <v>0.69314718055994529</v>
      </c>
    </row>
    <row r="837" spans="1:24" x14ac:dyDescent="0.25">
      <c r="A837">
        <v>836</v>
      </c>
      <c r="B837">
        <v>1</v>
      </c>
      <c r="C837">
        <v>1</v>
      </c>
      <c r="D837" s="1" t="s">
        <v>1635</v>
      </c>
      <c r="E837">
        <v>1</v>
      </c>
      <c r="F837">
        <v>39</v>
      </c>
      <c r="G837">
        <v>1</v>
      </c>
      <c r="H837">
        <v>1</v>
      </c>
      <c r="I837" s="1" t="s">
        <v>1636</v>
      </c>
      <c r="J837">
        <v>83.158299999999997</v>
      </c>
      <c r="K837" s="1" t="s">
        <v>1637</v>
      </c>
      <c r="L837" s="1" t="s">
        <v>18</v>
      </c>
      <c r="M837">
        <v>0</v>
      </c>
      <c r="N837">
        <v>1</v>
      </c>
      <c r="O837">
        <v>0</v>
      </c>
      <c r="P837" t="s">
        <v>1739</v>
      </c>
      <c r="Q837">
        <v>1</v>
      </c>
      <c r="R837">
        <v>0</v>
      </c>
      <c r="S837">
        <v>0</v>
      </c>
      <c r="T837">
        <v>0</v>
      </c>
      <c r="U837">
        <v>0</v>
      </c>
      <c r="V837">
        <f t="shared" si="39"/>
        <v>0.87219584275330231</v>
      </c>
      <c r="W837">
        <f t="shared" si="40"/>
        <v>0.70520240168703408</v>
      </c>
      <c r="X837">
        <f t="shared" si="41"/>
        <v>0.34927042278209691</v>
      </c>
    </row>
    <row r="838" spans="1:24" x14ac:dyDescent="0.25">
      <c r="A838">
        <v>837</v>
      </c>
      <c r="B838">
        <v>0</v>
      </c>
      <c r="C838">
        <v>3</v>
      </c>
      <c r="D838" s="1" t="s">
        <v>1638</v>
      </c>
      <c r="E838">
        <v>0</v>
      </c>
      <c r="F838">
        <v>21</v>
      </c>
      <c r="G838">
        <v>0</v>
      </c>
      <c r="H838">
        <v>0</v>
      </c>
      <c r="I838" s="1" t="s">
        <v>1639</v>
      </c>
      <c r="J838">
        <v>8.6624999999999996</v>
      </c>
      <c r="K838" s="1" t="s">
        <v>48</v>
      </c>
      <c r="L838" s="1" t="s">
        <v>14</v>
      </c>
      <c r="M838">
        <v>1</v>
      </c>
      <c r="N838">
        <v>0</v>
      </c>
      <c r="O838">
        <v>0</v>
      </c>
      <c r="P838" t="s">
        <v>1741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f t="shared" si="39"/>
        <v>0</v>
      </c>
      <c r="W838">
        <f t="shared" si="40"/>
        <v>0.5</v>
      </c>
      <c r="X838">
        <f t="shared" si="41"/>
        <v>0.69314718055994529</v>
      </c>
    </row>
    <row r="839" spans="1:24" x14ac:dyDescent="0.25">
      <c r="A839">
        <v>838</v>
      </c>
      <c r="B839">
        <v>0</v>
      </c>
      <c r="C839">
        <v>3</v>
      </c>
      <c r="D839" s="1" t="s">
        <v>1640</v>
      </c>
      <c r="E839">
        <v>0</v>
      </c>
      <c r="F839" s="1">
        <v>32.180156657963444</v>
      </c>
      <c r="G839">
        <v>0</v>
      </c>
      <c r="H839">
        <v>0</v>
      </c>
      <c r="I839" s="1" t="s">
        <v>1641</v>
      </c>
      <c r="J839">
        <v>8.0500000000000007</v>
      </c>
      <c r="K839" s="1" t="s">
        <v>48</v>
      </c>
      <c r="L839" s="1" t="s">
        <v>14</v>
      </c>
      <c r="M839">
        <v>1</v>
      </c>
      <c r="N839">
        <v>0</v>
      </c>
      <c r="O839">
        <v>0</v>
      </c>
      <c r="P839" t="s">
        <v>1741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f t="shared" si="39"/>
        <v>0</v>
      </c>
      <c r="W839">
        <f t="shared" si="40"/>
        <v>0.5</v>
      </c>
      <c r="X839">
        <f t="shared" si="41"/>
        <v>0.69314718055994529</v>
      </c>
    </row>
    <row r="840" spans="1:24" x14ac:dyDescent="0.25">
      <c r="A840">
        <v>839</v>
      </c>
      <c r="B840">
        <v>1</v>
      </c>
      <c r="C840">
        <v>3</v>
      </c>
      <c r="D840" s="1" t="s">
        <v>1642</v>
      </c>
      <c r="E840">
        <v>0</v>
      </c>
      <c r="F840">
        <v>32</v>
      </c>
      <c r="G840">
        <v>0</v>
      </c>
      <c r="H840">
        <v>0</v>
      </c>
      <c r="I840" s="1" t="s">
        <v>178</v>
      </c>
      <c r="J840">
        <v>56.495800000000003</v>
      </c>
      <c r="K840" s="1" t="s">
        <v>48</v>
      </c>
      <c r="L840" s="1" t="s">
        <v>14</v>
      </c>
      <c r="M840">
        <v>1</v>
      </c>
      <c r="N840">
        <v>0</v>
      </c>
      <c r="O840">
        <v>0</v>
      </c>
      <c r="P840" t="s">
        <v>1741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f t="shared" si="39"/>
        <v>0</v>
      </c>
      <c r="W840">
        <f t="shared" si="40"/>
        <v>0.5</v>
      </c>
      <c r="X840">
        <f t="shared" si="41"/>
        <v>0.69314718055994529</v>
      </c>
    </row>
    <row r="841" spans="1:24" x14ac:dyDescent="0.25">
      <c r="A841">
        <v>840</v>
      </c>
      <c r="B841">
        <v>1</v>
      </c>
      <c r="C841">
        <v>1</v>
      </c>
      <c r="D841" s="1" t="s">
        <v>1643</v>
      </c>
      <c r="E841">
        <v>0</v>
      </c>
      <c r="F841" s="1">
        <v>32.180156657963444</v>
      </c>
      <c r="G841">
        <v>0</v>
      </c>
      <c r="H841">
        <v>0</v>
      </c>
      <c r="I841" s="1" t="s">
        <v>1644</v>
      </c>
      <c r="J841">
        <v>29.7</v>
      </c>
      <c r="K841" s="1" t="s">
        <v>1645</v>
      </c>
      <c r="L841" s="1" t="s">
        <v>18</v>
      </c>
      <c r="M841">
        <v>0</v>
      </c>
      <c r="N841">
        <v>1</v>
      </c>
      <c r="O841">
        <v>0</v>
      </c>
      <c r="P841" t="s">
        <v>1741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f t="shared" si="39"/>
        <v>0</v>
      </c>
      <c r="W841">
        <f t="shared" si="40"/>
        <v>0.5</v>
      </c>
      <c r="X841">
        <f t="shared" si="41"/>
        <v>0.69314718055994529</v>
      </c>
    </row>
    <row r="842" spans="1:24" x14ac:dyDescent="0.25">
      <c r="A842">
        <v>841</v>
      </c>
      <c r="B842">
        <v>0</v>
      </c>
      <c r="C842">
        <v>3</v>
      </c>
      <c r="D842" s="1" t="s">
        <v>1646</v>
      </c>
      <c r="E842">
        <v>0</v>
      </c>
      <c r="F842">
        <v>20</v>
      </c>
      <c r="G842">
        <v>0</v>
      </c>
      <c r="H842">
        <v>0</v>
      </c>
      <c r="I842" s="1" t="s">
        <v>1647</v>
      </c>
      <c r="J842">
        <v>7.9249999999999998</v>
      </c>
      <c r="K842" s="1" t="s">
        <v>48</v>
      </c>
      <c r="L842" s="1" t="s">
        <v>14</v>
      </c>
      <c r="M842">
        <v>1</v>
      </c>
      <c r="N842">
        <v>0</v>
      </c>
      <c r="O842">
        <v>0</v>
      </c>
      <c r="P842" t="s">
        <v>1741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f t="shared" si="39"/>
        <v>0</v>
      </c>
      <c r="W842">
        <f t="shared" si="40"/>
        <v>0.5</v>
      </c>
      <c r="X842">
        <f t="shared" si="41"/>
        <v>0.69314718055994529</v>
      </c>
    </row>
    <row r="843" spans="1:24" x14ac:dyDescent="0.25">
      <c r="A843">
        <v>842</v>
      </c>
      <c r="B843">
        <v>0</v>
      </c>
      <c r="C843">
        <v>2</v>
      </c>
      <c r="D843" s="1" t="s">
        <v>1648</v>
      </c>
      <c r="E843">
        <v>0</v>
      </c>
      <c r="F843">
        <v>16</v>
      </c>
      <c r="G843">
        <v>0</v>
      </c>
      <c r="H843">
        <v>0</v>
      </c>
      <c r="I843" s="1" t="s">
        <v>1525</v>
      </c>
      <c r="J843">
        <v>10.5</v>
      </c>
      <c r="K843" s="1" t="s">
        <v>48</v>
      </c>
      <c r="L843" s="1" t="s">
        <v>14</v>
      </c>
      <c r="M843">
        <v>1</v>
      </c>
      <c r="N843">
        <v>0</v>
      </c>
      <c r="O843">
        <v>0</v>
      </c>
      <c r="P843" t="s">
        <v>1741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f t="shared" si="39"/>
        <v>0</v>
      </c>
      <c r="W843">
        <f t="shared" si="40"/>
        <v>0.5</v>
      </c>
      <c r="X843">
        <f t="shared" si="41"/>
        <v>0.69314718055994529</v>
      </c>
    </row>
    <row r="844" spans="1:24" x14ac:dyDescent="0.25">
      <c r="A844">
        <v>843</v>
      </c>
      <c r="B844">
        <v>1</v>
      </c>
      <c r="C844">
        <v>1</v>
      </c>
      <c r="D844" s="1" t="s">
        <v>1649</v>
      </c>
      <c r="E844">
        <v>1</v>
      </c>
      <c r="F844">
        <v>30</v>
      </c>
      <c r="G844">
        <v>0</v>
      </c>
      <c r="H844">
        <v>0</v>
      </c>
      <c r="I844" s="1" t="s">
        <v>576</v>
      </c>
      <c r="J844">
        <v>31</v>
      </c>
      <c r="K844" s="1" t="s">
        <v>48</v>
      </c>
      <c r="L844" s="1" t="s">
        <v>18</v>
      </c>
      <c r="M844">
        <v>0</v>
      </c>
      <c r="N844">
        <v>1</v>
      </c>
      <c r="O844">
        <v>0</v>
      </c>
      <c r="P844" t="s">
        <v>1739</v>
      </c>
      <c r="Q844">
        <v>1</v>
      </c>
      <c r="R844">
        <v>0</v>
      </c>
      <c r="S844">
        <v>0</v>
      </c>
      <c r="T844">
        <v>0</v>
      </c>
      <c r="U844">
        <v>0</v>
      </c>
      <c r="V844">
        <f t="shared" si="39"/>
        <v>0.87219584275330231</v>
      </c>
      <c r="W844">
        <f t="shared" si="40"/>
        <v>0.70520240168703408</v>
      </c>
      <c r="X844">
        <f t="shared" si="41"/>
        <v>0.34927042278209691</v>
      </c>
    </row>
    <row r="845" spans="1:24" x14ac:dyDescent="0.25">
      <c r="A845">
        <v>844</v>
      </c>
      <c r="B845">
        <v>0</v>
      </c>
      <c r="C845">
        <v>3</v>
      </c>
      <c r="D845" s="1" t="s">
        <v>1650</v>
      </c>
      <c r="E845">
        <v>0</v>
      </c>
      <c r="F845" s="1">
        <v>32.180156657963444</v>
      </c>
      <c r="G845">
        <v>0</v>
      </c>
      <c r="H845">
        <v>0</v>
      </c>
      <c r="I845" s="1" t="s">
        <v>1651</v>
      </c>
      <c r="J845">
        <v>6.4375</v>
      </c>
      <c r="K845" s="1" t="s">
        <v>48</v>
      </c>
      <c r="L845" s="1" t="s">
        <v>18</v>
      </c>
      <c r="M845">
        <v>0</v>
      </c>
      <c r="N845">
        <v>1</v>
      </c>
      <c r="O845">
        <v>0</v>
      </c>
      <c r="P845" t="s">
        <v>1741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f t="shared" si="39"/>
        <v>0</v>
      </c>
      <c r="W845">
        <f t="shared" si="40"/>
        <v>0.5</v>
      </c>
      <c r="X845">
        <f t="shared" si="41"/>
        <v>0.69314718055994529</v>
      </c>
    </row>
    <row r="846" spans="1:24" x14ac:dyDescent="0.25">
      <c r="A846">
        <v>845</v>
      </c>
      <c r="B846">
        <v>0</v>
      </c>
      <c r="C846">
        <v>3</v>
      </c>
      <c r="D846" s="1" t="s">
        <v>1652</v>
      </c>
      <c r="E846">
        <v>0</v>
      </c>
      <c r="F846">
        <v>17</v>
      </c>
      <c r="G846">
        <v>0</v>
      </c>
      <c r="H846">
        <v>0</v>
      </c>
      <c r="I846" s="1" t="s">
        <v>1653</v>
      </c>
      <c r="J846">
        <v>8.6624999999999996</v>
      </c>
      <c r="K846" s="1" t="s">
        <v>48</v>
      </c>
      <c r="L846" s="1" t="s">
        <v>14</v>
      </c>
      <c r="M846">
        <v>1</v>
      </c>
      <c r="N846">
        <v>0</v>
      </c>
      <c r="O846">
        <v>0</v>
      </c>
      <c r="P846" t="s">
        <v>1741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f t="shared" si="39"/>
        <v>0</v>
      </c>
      <c r="W846">
        <f t="shared" si="40"/>
        <v>0.5</v>
      </c>
      <c r="X846">
        <f t="shared" si="41"/>
        <v>0.69314718055994529</v>
      </c>
    </row>
    <row r="847" spans="1:24" x14ac:dyDescent="0.25">
      <c r="A847">
        <v>846</v>
      </c>
      <c r="B847">
        <v>0</v>
      </c>
      <c r="C847">
        <v>3</v>
      </c>
      <c r="D847" s="1" t="s">
        <v>1654</v>
      </c>
      <c r="E847">
        <v>0</v>
      </c>
      <c r="F847">
        <v>42</v>
      </c>
      <c r="G847">
        <v>0</v>
      </c>
      <c r="H847">
        <v>0</v>
      </c>
      <c r="I847" s="1" t="s">
        <v>1655</v>
      </c>
      <c r="J847">
        <v>7.55</v>
      </c>
      <c r="K847" s="1" t="s">
        <v>48</v>
      </c>
      <c r="L847" s="1" t="s">
        <v>14</v>
      </c>
      <c r="M847">
        <v>1</v>
      </c>
      <c r="N847">
        <v>0</v>
      </c>
      <c r="O847">
        <v>0</v>
      </c>
      <c r="P847" t="s">
        <v>1741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f t="shared" si="39"/>
        <v>0</v>
      </c>
      <c r="W847">
        <f t="shared" si="40"/>
        <v>0.5</v>
      </c>
      <c r="X847">
        <f t="shared" si="41"/>
        <v>0.69314718055994529</v>
      </c>
    </row>
    <row r="848" spans="1:24" x14ac:dyDescent="0.25">
      <c r="A848">
        <v>847</v>
      </c>
      <c r="B848">
        <v>0</v>
      </c>
      <c r="C848">
        <v>3</v>
      </c>
      <c r="D848" s="1" t="s">
        <v>1656</v>
      </c>
      <c r="E848">
        <v>0</v>
      </c>
      <c r="F848" s="1">
        <v>32.180156657963444</v>
      </c>
      <c r="G848">
        <v>8</v>
      </c>
      <c r="H848">
        <v>2</v>
      </c>
      <c r="I848" s="1" t="s">
        <v>352</v>
      </c>
      <c r="J848">
        <v>69.55</v>
      </c>
      <c r="K848" s="1" t="s">
        <v>48</v>
      </c>
      <c r="L848" s="1" t="s">
        <v>14</v>
      </c>
      <c r="M848">
        <v>1</v>
      </c>
      <c r="N848">
        <v>0</v>
      </c>
      <c r="O848">
        <v>0</v>
      </c>
      <c r="P848" t="s">
        <v>1741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f t="shared" si="39"/>
        <v>0</v>
      </c>
      <c r="W848">
        <f t="shared" si="40"/>
        <v>0.5</v>
      </c>
      <c r="X848">
        <f t="shared" si="41"/>
        <v>0.69314718055994529</v>
      </c>
    </row>
    <row r="849" spans="1:24" x14ac:dyDescent="0.25">
      <c r="A849">
        <v>848</v>
      </c>
      <c r="B849">
        <v>0</v>
      </c>
      <c r="C849">
        <v>3</v>
      </c>
      <c r="D849" s="1" t="s">
        <v>1657</v>
      </c>
      <c r="E849">
        <v>0</v>
      </c>
      <c r="F849">
        <v>35</v>
      </c>
      <c r="G849">
        <v>0</v>
      </c>
      <c r="H849">
        <v>0</v>
      </c>
      <c r="I849" s="1" t="s">
        <v>1658</v>
      </c>
      <c r="J849">
        <v>7.8958000000000004</v>
      </c>
      <c r="K849" s="1" t="s">
        <v>48</v>
      </c>
      <c r="L849" s="1" t="s">
        <v>18</v>
      </c>
      <c r="M849">
        <v>0</v>
      </c>
      <c r="N849">
        <v>1</v>
      </c>
      <c r="O849">
        <v>0</v>
      </c>
      <c r="P849" t="s">
        <v>1741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f t="shared" si="39"/>
        <v>0</v>
      </c>
      <c r="W849">
        <f t="shared" si="40"/>
        <v>0.5</v>
      </c>
      <c r="X849">
        <f t="shared" si="41"/>
        <v>0.69314718055994529</v>
      </c>
    </row>
    <row r="850" spans="1:24" x14ac:dyDescent="0.25">
      <c r="A850">
        <v>849</v>
      </c>
      <c r="B850">
        <v>0</v>
      </c>
      <c r="C850">
        <v>2</v>
      </c>
      <c r="D850" s="1" t="s">
        <v>1659</v>
      </c>
      <c r="E850">
        <v>0</v>
      </c>
      <c r="F850">
        <v>28</v>
      </c>
      <c r="G850">
        <v>0</v>
      </c>
      <c r="H850">
        <v>1</v>
      </c>
      <c r="I850" s="1" t="s">
        <v>1207</v>
      </c>
      <c r="J850">
        <v>33</v>
      </c>
      <c r="K850" s="1" t="s">
        <v>48</v>
      </c>
      <c r="L850" s="1" t="s">
        <v>14</v>
      </c>
      <c r="M850">
        <v>1</v>
      </c>
      <c r="N850">
        <v>0</v>
      </c>
      <c r="O850">
        <v>0</v>
      </c>
      <c r="P850" t="s">
        <v>1745</v>
      </c>
      <c r="Q850">
        <v>0</v>
      </c>
      <c r="R850">
        <v>0</v>
      </c>
      <c r="S850">
        <v>0</v>
      </c>
      <c r="T850">
        <v>0</v>
      </c>
      <c r="U850">
        <v>1</v>
      </c>
      <c r="V850">
        <f t="shared" si="39"/>
        <v>0</v>
      </c>
      <c r="W850">
        <f t="shared" si="40"/>
        <v>0.5</v>
      </c>
      <c r="X850">
        <f t="shared" si="41"/>
        <v>0.69314718055994529</v>
      </c>
    </row>
    <row r="851" spans="1:24" x14ac:dyDescent="0.25">
      <c r="A851">
        <v>850</v>
      </c>
      <c r="B851">
        <v>1</v>
      </c>
      <c r="C851">
        <v>1</v>
      </c>
      <c r="D851" s="1" t="s">
        <v>1660</v>
      </c>
      <c r="E851">
        <v>1</v>
      </c>
      <c r="F851" s="1">
        <v>35.898148148148145</v>
      </c>
      <c r="G851">
        <v>1</v>
      </c>
      <c r="H851">
        <v>0</v>
      </c>
      <c r="I851" s="1" t="s">
        <v>931</v>
      </c>
      <c r="J851">
        <v>89.104200000000006</v>
      </c>
      <c r="K851" s="1" t="s">
        <v>932</v>
      </c>
      <c r="L851" s="1" t="s">
        <v>18</v>
      </c>
      <c r="M851">
        <v>0</v>
      </c>
      <c r="N851">
        <v>1</v>
      </c>
      <c r="O851">
        <v>0</v>
      </c>
      <c r="P851" t="s">
        <v>1740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f t="shared" si="39"/>
        <v>1.3618761518134992</v>
      </c>
      <c r="W851">
        <f t="shared" si="40"/>
        <v>0.79606445234832413</v>
      </c>
      <c r="X851">
        <f t="shared" si="41"/>
        <v>0.22807512612883141</v>
      </c>
    </row>
    <row r="852" spans="1:24" x14ac:dyDescent="0.25">
      <c r="A852">
        <v>851</v>
      </c>
      <c r="B852">
        <v>0</v>
      </c>
      <c r="C852">
        <v>3</v>
      </c>
      <c r="D852" s="1" t="s">
        <v>1661</v>
      </c>
      <c r="E852">
        <v>0</v>
      </c>
      <c r="F852">
        <v>4</v>
      </c>
      <c r="G852">
        <v>4</v>
      </c>
      <c r="H852">
        <v>2</v>
      </c>
      <c r="I852" s="1" t="s">
        <v>47</v>
      </c>
      <c r="J852">
        <v>31.274999999999999</v>
      </c>
      <c r="K852" s="1" t="s">
        <v>48</v>
      </c>
      <c r="L852" s="1" t="s">
        <v>14</v>
      </c>
      <c r="M852">
        <v>1</v>
      </c>
      <c r="N852">
        <v>0</v>
      </c>
      <c r="O852">
        <v>0</v>
      </c>
      <c r="P852" t="s">
        <v>1742</v>
      </c>
      <c r="Q852">
        <v>0</v>
      </c>
      <c r="R852">
        <v>0</v>
      </c>
      <c r="S852">
        <v>0</v>
      </c>
      <c r="T852">
        <v>1</v>
      </c>
      <c r="U852">
        <v>0</v>
      </c>
      <c r="V852">
        <f t="shared" si="39"/>
        <v>0.21766252466937555</v>
      </c>
      <c r="W852">
        <f t="shared" si="40"/>
        <v>0.55420180681382414</v>
      </c>
      <c r="X852">
        <f t="shared" si="41"/>
        <v>0.8078889110081291</v>
      </c>
    </row>
    <row r="853" spans="1:24" x14ac:dyDescent="0.25">
      <c r="A853">
        <v>852</v>
      </c>
      <c r="B853">
        <v>0</v>
      </c>
      <c r="C853">
        <v>3</v>
      </c>
      <c r="D853" s="1" t="s">
        <v>1662</v>
      </c>
      <c r="E853">
        <v>0</v>
      </c>
      <c r="F853">
        <v>74</v>
      </c>
      <c r="G853">
        <v>0</v>
      </c>
      <c r="H853">
        <v>0</v>
      </c>
      <c r="I853" s="1" t="s">
        <v>1663</v>
      </c>
      <c r="J853">
        <v>7.7750000000000004</v>
      </c>
      <c r="K853" s="1" t="s">
        <v>48</v>
      </c>
      <c r="L853" s="1" t="s">
        <v>14</v>
      </c>
      <c r="M853">
        <v>1</v>
      </c>
      <c r="N853">
        <v>0</v>
      </c>
      <c r="O853">
        <v>0</v>
      </c>
      <c r="P853" t="s">
        <v>1741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f t="shared" si="39"/>
        <v>0</v>
      </c>
      <c r="W853">
        <f t="shared" si="40"/>
        <v>0.5</v>
      </c>
      <c r="X853">
        <f t="shared" si="41"/>
        <v>0.69314718055994529</v>
      </c>
    </row>
    <row r="854" spans="1:24" x14ac:dyDescent="0.25">
      <c r="A854">
        <v>853</v>
      </c>
      <c r="B854">
        <v>0</v>
      </c>
      <c r="C854">
        <v>3</v>
      </c>
      <c r="D854" s="1" t="s">
        <v>1664</v>
      </c>
      <c r="E854">
        <v>1</v>
      </c>
      <c r="F854">
        <v>9</v>
      </c>
      <c r="G854">
        <v>1</v>
      </c>
      <c r="H854">
        <v>1</v>
      </c>
      <c r="I854" s="1" t="s">
        <v>313</v>
      </c>
      <c r="J854">
        <v>15.245799999999999</v>
      </c>
      <c r="K854" s="1" t="s">
        <v>48</v>
      </c>
      <c r="L854" s="1" t="s">
        <v>18</v>
      </c>
      <c r="M854">
        <v>0</v>
      </c>
      <c r="N854">
        <v>1</v>
      </c>
      <c r="O854">
        <v>0</v>
      </c>
      <c r="P854" t="s">
        <v>1739</v>
      </c>
      <c r="Q854">
        <v>1</v>
      </c>
      <c r="R854">
        <v>0</v>
      </c>
      <c r="S854">
        <v>0</v>
      </c>
      <c r="T854">
        <v>0</v>
      </c>
      <c r="U854">
        <v>0</v>
      </c>
      <c r="V854">
        <f t="shared" si="39"/>
        <v>0.87219584275330231</v>
      </c>
      <c r="W854">
        <f t="shared" si="40"/>
        <v>0.70520240168703408</v>
      </c>
      <c r="X854">
        <f t="shared" si="41"/>
        <v>1.2214662655353992</v>
      </c>
    </row>
    <row r="855" spans="1:24" x14ac:dyDescent="0.25">
      <c r="A855">
        <v>854</v>
      </c>
      <c r="B855">
        <v>1</v>
      </c>
      <c r="C855">
        <v>1</v>
      </c>
      <c r="D855" s="1" t="s">
        <v>1665</v>
      </c>
      <c r="E855">
        <v>1</v>
      </c>
      <c r="F855">
        <v>16</v>
      </c>
      <c r="G855">
        <v>0</v>
      </c>
      <c r="H855">
        <v>1</v>
      </c>
      <c r="I855" s="1" t="s">
        <v>1666</v>
      </c>
      <c r="J855">
        <v>39.4</v>
      </c>
      <c r="K855" s="1" t="s">
        <v>1667</v>
      </c>
      <c r="L855" s="1" t="s">
        <v>14</v>
      </c>
      <c r="M855">
        <v>1</v>
      </c>
      <c r="N855">
        <v>0</v>
      </c>
      <c r="O855">
        <v>0</v>
      </c>
      <c r="P855" t="s">
        <v>1739</v>
      </c>
      <c r="Q855">
        <v>1</v>
      </c>
      <c r="R855">
        <v>0</v>
      </c>
      <c r="S855">
        <v>0</v>
      </c>
      <c r="T855">
        <v>0</v>
      </c>
      <c r="U855">
        <v>0</v>
      </c>
      <c r="V855">
        <f t="shared" si="39"/>
        <v>0.87219584275330231</v>
      </c>
      <c r="W855">
        <f t="shared" si="40"/>
        <v>0.70520240168703408</v>
      </c>
      <c r="X855">
        <f t="shared" si="41"/>
        <v>0.34927042278209691</v>
      </c>
    </row>
    <row r="856" spans="1:24" x14ac:dyDescent="0.25">
      <c r="A856">
        <v>855</v>
      </c>
      <c r="B856">
        <v>0</v>
      </c>
      <c r="C856">
        <v>2</v>
      </c>
      <c r="D856" s="1" t="s">
        <v>1668</v>
      </c>
      <c r="E856">
        <v>1</v>
      </c>
      <c r="F856">
        <v>44</v>
      </c>
      <c r="G856">
        <v>1</v>
      </c>
      <c r="H856">
        <v>0</v>
      </c>
      <c r="I856" s="1" t="s">
        <v>531</v>
      </c>
      <c r="J856">
        <v>26</v>
      </c>
      <c r="K856" s="1" t="s">
        <v>48</v>
      </c>
      <c r="L856" s="1" t="s">
        <v>14</v>
      </c>
      <c r="M856">
        <v>1</v>
      </c>
      <c r="N856">
        <v>0</v>
      </c>
      <c r="O856">
        <v>0</v>
      </c>
      <c r="P856" t="s">
        <v>1740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f t="shared" si="39"/>
        <v>1.3618761518134992</v>
      </c>
      <c r="W856">
        <f t="shared" si="40"/>
        <v>0.79606445234832413</v>
      </c>
      <c r="X856">
        <f t="shared" si="41"/>
        <v>1.5899512779423304</v>
      </c>
    </row>
    <row r="857" spans="1:24" x14ac:dyDescent="0.25">
      <c r="A857">
        <v>856</v>
      </c>
      <c r="B857">
        <v>1</v>
      </c>
      <c r="C857">
        <v>3</v>
      </c>
      <c r="D857" s="1" t="s">
        <v>1669</v>
      </c>
      <c r="E857">
        <v>1</v>
      </c>
      <c r="F857">
        <v>18</v>
      </c>
      <c r="G857">
        <v>0</v>
      </c>
      <c r="H857">
        <v>1</v>
      </c>
      <c r="I857" s="1" t="s">
        <v>1670</v>
      </c>
      <c r="J857">
        <v>9.35</v>
      </c>
      <c r="K857" s="1" t="s">
        <v>48</v>
      </c>
      <c r="L857" s="1" t="s">
        <v>14</v>
      </c>
      <c r="M857">
        <v>1</v>
      </c>
      <c r="N857">
        <v>0</v>
      </c>
      <c r="O857">
        <v>0</v>
      </c>
      <c r="P857" t="s">
        <v>1740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f t="shared" si="39"/>
        <v>1.3618761518134992</v>
      </c>
      <c r="W857">
        <f t="shared" si="40"/>
        <v>0.79606445234832413</v>
      </c>
      <c r="X857">
        <f t="shared" si="41"/>
        <v>0.22807512612883141</v>
      </c>
    </row>
    <row r="858" spans="1:24" x14ac:dyDescent="0.25">
      <c r="A858">
        <v>857</v>
      </c>
      <c r="B858">
        <v>1</v>
      </c>
      <c r="C858">
        <v>1</v>
      </c>
      <c r="D858" s="1" t="s">
        <v>1671</v>
      </c>
      <c r="E858">
        <v>1</v>
      </c>
      <c r="F858">
        <v>45</v>
      </c>
      <c r="G858">
        <v>1</v>
      </c>
      <c r="H858">
        <v>1</v>
      </c>
      <c r="I858" s="1" t="s">
        <v>677</v>
      </c>
      <c r="J858">
        <v>164.86670000000001</v>
      </c>
      <c r="K858" s="1" t="s">
        <v>48</v>
      </c>
      <c r="L858" s="1" t="s">
        <v>14</v>
      </c>
      <c r="M858">
        <v>1</v>
      </c>
      <c r="N858">
        <v>0</v>
      </c>
      <c r="O858">
        <v>0</v>
      </c>
      <c r="P858" t="s">
        <v>1740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f t="shared" si="39"/>
        <v>1.3618761518134992</v>
      </c>
      <c r="W858">
        <f t="shared" si="40"/>
        <v>0.79606445234832413</v>
      </c>
      <c r="X858">
        <f t="shared" si="41"/>
        <v>0.22807512612883141</v>
      </c>
    </row>
    <row r="859" spans="1:24" x14ac:dyDescent="0.25">
      <c r="A859">
        <v>858</v>
      </c>
      <c r="B859">
        <v>1</v>
      </c>
      <c r="C859">
        <v>1</v>
      </c>
      <c r="D859" s="1" t="s">
        <v>1672</v>
      </c>
      <c r="E859">
        <v>0</v>
      </c>
      <c r="F859">
        <v>51</v>
      </c>
      <c r="G859">
        <v>0</v>
      </c>
      <c r="H859">
        <v>0</v>
      </c>
      <c r="I859" s="1" t="s">
        <v>1673</v>
      </c>
      <c r="J859">
        <v>26.55</v>
      </c>
      <c r="K859" s="1" t="s">
        <v>1674</v>
      </c>
      <c r="L859" s="1" t="s">
        <v>14</v>
      </c>
      <c r="M859">
        <v>1</v>
      </c>
      <c r="N859">
        <v>0</v>
      </c>
      <c r="O859">
        <v>0</v>
      </c>
      <c r="P859" t="s">
        <v>1741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f t="shared" si="39"/>
        <v>0</v>
      </c>
      <c r="W859">
        <f t="shared" si="40"/>
        <v>0.5</v>
      </c>
      <c r="X859">
        <f t="shared" si="41"/>
        <v>0.69314718055994529</v>
      </c>
    </row>
    <row r="860" spans="1:24" x14ac:dyDescent="0.25">
      <c r="A860">
        <v>859</v>
      </c>
      <c r="B860">
        <v>1</v>
      </c>
      <c r="C860">
        <v>3</v>
      </c>
      <c r="D860" s="1" t="s">
        <v>1675</v>
      </c>
      <c r="E860">
        <v>1</v>
      </c>
      <c r="F860">
        <v>24</v>
      </c>
      <c r="G860">
        <v>0</v>
      </c>
      <c r="H860">
        <v>3</v>
      </c>
      <c r="I860" s="1" t="s">
        <v>920</v>
      </c>
      <c r="J860">
        <v>19.258299999999998</v>
      </c>
      <c r="K860" s="1" t="s">
        <v>48</v>
      </c>
      <c r="L860" s="1" t="s">
        <v>18</v>
      </c>
      <c r="M860">
        <v>0</v>
      </c>
      <c r="N860">
        <v>1</v>
      </c>
      <c r="O860">
        <v>0</v>
      </c>
      <c r="P860" t="s">
        <v>1740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f t="shared" si="39"/>
        <v>1.3618761518134992</v>
      </c>
      <c r="W860">
        <f t="shared" si="40"/>
        <v>0.79606445234832413</v>
      </c>
      <c r="X860">
        <f t="shared" si="41"/>
        <v>0.22807512612883141</v>
      </c>
    </row>
    <row r="861" spans="1:24" x14ac:dyDescent="0.25">
      <c r="A861">
        <v>860</v>
      </c>
      <c r="B861">
        <v>0</v>
      </c>
      <c r="C861">
        <v>3</v>
      </c>
      <c r="D861" s="1" t="s">
        <v>1676</v>
      </c>
      <c r="E861">
        <v>0</v>
      </c>
      <c r="F861" s="1">
        <v>32.180156657963444</v>
      </c>
      <c r="G861">
        <v>0</v>
      </c>
      <c r="H861">
        <v>0</v>
      </c>
      <c r="I861" s="1" t="s">
        <v>1677</v>
      </c>
      <c r="J861">
        <v>7.2291999999999996</v>
      </c>
      <c r="K861" s="1" t="s">
        <v>48</v>
      </c>
      <c r="L861" s="1" t="s">
        <v>18</v>
      </c>
      <c r="M861">
        <v>0</v>
      </c>
      <c r="N861">
        <v>1</v>
      </c>
      <c r="O861">
        <v>0</v>
      </c>
      <c r="P861" t="s">
        <v>1741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f t="shared" si="39"/>
        <v>0</v>
      </c>
      <c r="W861">
        <f t="shared" si="40"/>
        <v>0.5</v>
      </c>
      <c r="X861">
        <f t="shared" si="41"/>
        <v>0.69314718055994529</v>
      </c>
    </row>
    <row r="862" spans="1:24" x14ac:dyDescent="0.25">
      <c r="A862">
        <v>861</v>
      </c>
      <c r="B862">
        <v>0</v>
      </c>
      <c r="C862">
        <v>3</v>
      </c>
      <c r="D862" s="1" t="s">
        <v>1678</v>
      </c>
      <c r="E862">
        <v>0</v>
      </c>
      <c r="F862">
        <v>41</v>
      </c>
      <c r="G862">
        <v>2</v>
      </c>
      <c r="H862">
        <v>0</v>
      </c>
      <c r="I862" s="1" t="s">
        <v>1679</v>
      </c>
      <c r="J862">
        <v>14.1083</v>
      </c>
      <c r="K862" s="1" t="s">
        <v>48</v>
      </c>
      <c r="L862" s="1" t="s">
        <v>14</v>
      </c>
      <c r="M862">
        <v>1</v>
      </c>
      <c r="N862">
        <v>0</v>
      </c>
      <c r="O862">
        <v>0</v>
      </c>
      <c r="P862" t="s">
        <v>1741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f t="shared" si="39"/>
        <v>0</v>
      </c>
      <c r="W862">
        <f t="shared" si="40"/>
        <v>0.5</v>
      </c>
      <c r="X862">
        <f t="shared" si="41"/>
        <v>0.69314718055994529</v>
      </c>
    </row>
    <row r="863" spans="1:24" x14ac:dyDescent="0.25">
      <c r="A863">
        <v>862</v>
      </c>
      <c r="B863">
        <v>0</v>
      </c>
      <c r="C863">
        <v>2</v>
      </c>
      <c r="D863" s="1" t="s">
        <v>1680</v>
      </c>
      <c r="E863">
        <v>0</v>
      </c>
      <c r="F863">
        <v>21</v>
      </c>
      <c r="G863">
        <v>1</v>
      </c>
      <c r="H863">
        <v>0</v>
      </c>
      <c r="I863" s="1" t="s">
        <v>1681</v>
      </c>
      <c r="J863">
        <v>11.5</v>
      </c>
      <c r="K863" s="1" t="s">
        <v>48</v>
      </c>
      <c r="L863" s="1" t="s">
        <v>14</v>
      </c>
      <c r="M863">
        <v>1</v>
      </c>
      <c r="N863">
        <v>0</v>
      </c>
      <c r="O863">
        <v>0</v>
      </c>
      <c r="P863" t="s">
        <v>1741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f t="shared" si="39"/>
        <v>0</v>
      </c>
      <c r="W863">
        <f t="shared" si="40"/>
        <v>0.5</v>
      </c>
      <c r="X863">
        <f t="shared" si="41"/>
        <v>0.69314718055994529</v>
      </c>
    </row>
    <row r="864" spans="1:24" x14ac:dyDescent="0.25">
      <c r="A864">
        <v>863</v>
      </c>
      <c r="B864">
        <v>1</v>
      </c>
      <c r="C864">
        <v>1</v>
      </c>
      <c r="D864" s="1" t="s">
        <v>1682</v>
      </c>
      <c r="E864">
        <v>1</v>
      </c>
      <c r="F864">
        <v>48</v>
      </c>
      <c r="G864">
        <v>0</v>
      </c>
      <c r="H864">
        <v>0</v>
      </c>
      <c r="I864" s="1" t="s">
        <v>1683</v>
      </c>
      <c r="J864">
        <v>25.929200000000002</v>
      </c>
      <c r="K864" s="1" t="s">
        <v>1571</v>
      </c>
      <c r="L864" s="1" t="s">
        <v>14</v>
      </c>
      <c r="M864">
        <v>1</v>
      </c>
      <c r="N864">
        <v>0</v>
      </c>
      <c r="O864">
        <v>0</v>
      </c>
      <c r="P864" t="s">
        <v>1740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f t="shared" si="39"/>
        <v>1.3618761518134992</v>
      </c>
      <c r="W864">
        <f t="shared" si="40"/>
        <v>0.79606445234832413</v>
      </c>
      <c r="X864">
        <f t="shared" si="41"/>
        <v>0.22807512612883141</v>
      </c>
    </row>
    <row r="865" spans="1:24" x14ac:dyDescent="0.25">
      <c r="A865">
        <v>864</v>
      </c>
      <c r="B865">
        <v>0</v>
      </c>
      <c r="C865">
        <v>3</v>
      </c>
      <c r="D865" s="1" t="s">
        <v>1684</v>
      </c>
      <c r="E865">
        <v>1</v>
      </c>
      <c r="F865" s="1">
        <v>21.98581560283688</v>
      </c>
      <c r="G865">
        <v>8</v>
      </c>
      <c r="H865">
        <v>2</v>
      </c>
      <c r="I865" s="1" t="s">
        <v>352</v>
      </c>
      <c r="J865">
        <v>69.55</v>
      </c>
      <c r="K865" s="1" t="s">
        <v>48</v>
      </c>
      <c r="L865" s="1" t="s">
        <v>14</v>
      </c>
      <c r="M865">
        <v>1</v>
      </c>
      <c r="N865">
        <v>0</v>
      </c>
      <c r="O865">
        <v>0</v>
      </c>
      <c r="P865" t="s">
        <v>1739</v>
      </c>
      <c r="Q865">
        <v>1</v>
      </c>
      <c r="R865">
        <v>0</v>
      </c>
      <c r="S865">
        <v>0</v>
      </c>
      <c r="T865">
        <v>0</v>
      </c>
      <c r="U865">
        <v>0</v>
      </c>
      <c r="V865">
        <f t="shared" si="39"/>
        <v>0.87219584275330231</v>
      </c>
      <c r="W865">
        <f t="shared" si="40"/>
        <v>0.70520240168703408</v>
      </c>
      <c r="X865">
        <f t="shared" si="41"/>
        <v>1.2214662655353992</v>
      </c>
    </row>
    <row r="866" spans="1:24" x14ac:dyDescent="0.25">
      <c r="A866">
        <v>865</v>
      </c>
      <c r="B866">
        <v>0</v>
      </c>
      <c r="C866">
        <v>2</v>
      </c>
      <c r="D866" s="1" t="s">
        <v>1685</v>
      </c>
      <c r="E866">
        <v>0</v>
      </c>
      <c r="F866">
        <v>24</v>
      </c>
      <c r="G866">
        <v>0</v>
      </c>
      <c r="H866">
        <v>0</v>
      </c>
      <c r="I866" s="1" t="s">
        <v>1686</v>
      </c>
      <c r="J866">
        <v>13</v>
      </c>
      <c r="K866" s="1" t="s">
        <v>48</v>
      </c>
      <c r="L866" s="1" t="s">
        <v>14</v>
      </c>
      <c r="M866">
        <v>1</v>
      </c>
      <c r="N866">
        <v>0</v>
      </c>
      <c r="O866">
        <v>0</v>
      </c>
      <c r="P866" t="s">
        <v>1741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f t="shared" si="39"/>
        <v>0</v>
      </c>
      <c r="W866">
        <f t="shared" si="40"/>
        <v>0.5</v>
      </c>
      <c r="X866">
        <f t="shared" si="41"/>
        <v>0.69314718055994529</v>
      </c>
    </row>
    <row r="867" spans="1:24" x14ac:dyDescent="0.25">
      <c r="A867">
        <v>866</v>
      </c>
      <c r="B867">
        <v>1</v>
      </c>
      <c r="C867">
        <v>2</v>
      </c>
      <c r="D867" s="1" t="s">
        <v>1687</v>
      </c>
      <c r="E867">
        <v>1</v>
      </c>
      <c r="F867">
        <v>42</v>
      </c>
      <c r="G867">
        <v>0</v>
      </c>
      <c r="H867">
        <v>0</v>
      </c>
      <c r="I867" s="1" t="s">
        <v>1688</v>
      </c>
      <c r="J867">
        <v>13</v>
      </c>
      <c r="K867" s="1" t="s">
        <v>48</v>
      </c>
      <c r="L867" s="1" t="s">
        <v>14</v>
      </c>
      <c r="M867">
        <v>1</v>
      </c>
      <c r="N867">
        <v>0</v>
      </c>
      <c r="O867">
        <v>0</v>
      </c>
      <c r="P867" t="s">
        <v>1740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f t="shared" si="39"/>
        <v>1.3618761518134992</v>
      </c>
      <c r="W867">
        <f t="shared" si="40"/>
        <v>0.79606445234832413</v>
      </c>
      <c r="X867">
        <f t="shared" si="41"/>
        <v>0.22807512612883141</v>
      </c>
    </row>
    <row r="868" spans="1:24" x14ac:dyDescent="0.25">
      <c r="A868">
        <v>867</v>
      </c>
      <c r="B868">
        <v>1</v>
      </c>
      <c r="C868">
        <v>2</v>
      </c>
      <c r="D868" s="1" t="s">
        <v>1689</v>
      </c>
      <c r="E868">
        <v>1</v>
      </c>
      <c r="F868">
        <v>27</v>
      </c>
      <c r="G868">
        <v>1</v>
      </c>
      <c r="H868">
        <v>0</v>
      </c>
      <c r="I868" s="1" t="s">
        <v>1690</v>
      </c>
      <c r="J868">
        <v>13.8583</v>
      </c>
      <c r="K868" s="1" t="s">
        <v>48</v>
      </c>
      <c r="L868" s="1" t="s">
        <v>18</v>
      </c>
      <c r="M868">
        <v>0</v>
      </c>
      <c r="N868">
        <v>1</v>
      </c>
      <c r="O868">
        <v>0</v>
      </c>
      <c r="P868" t="s">
        <v>1739</v>
      </c>
      <c r="Q868">
        <v>1</v>
      </c>
      <c r="R868">
        <v>0</v>
      </c>
      <c r="S868">
        <v>0</v>
      </c>
      <c r="T868">
        <v>0</v>
      </c>
      <c r="U868">
        <v>0</v>
      </c>
      <c r="V868">
        <f t="shared" si="39"/>
        <v>0.87219584275330231</v>
      </c>
      <c r="W868">
        <f t="shared" si="40"/>
        <v>0.70520240168703408</v>
      </c>
      <c r="X868">
        <f t="shared" si="41"/>
        <v>0.34927042278209691</v>
      </c>
    </row>
    <row r="869" spans="1:24" x14ac:dyDescent="0.25">
      <c r="A869">
        <v>868</v>
      </c>
      <c r="B869">
        <v>0</v>
      </c>
      <c r="C869">
        <v>1</v>
      </c>
      <c r="D869" s="1" t="s">
        <v>1691</v>
      </c>
      <c r="E869">
        <v>0</v>
      </c>
      <c r="F869">
        <v>31</v>
      </c>
      <c r="G869">
        <v>0</v>
      </c>
      <c r="H869">
        <v>0</v>
      </c>
      <c r="I869" s="1" t="s">
        <v>1692</v>
      </c>
      <c r="J869">
        <v>50.495800000000003</v>
      </c>
      <c r="K869" s="1" t="s">
        <v>1693</v>
      </c>
      <c r="L869" s="1" t="s">
        <v>14</v>
      </c>
      <c r="M869">
        <v>1</v>
      </c>
      <c r="N869">
        <v>0</v>
      </c>
      <c r="O869">
        <v>0</v>
      </c>
      <c r="P869" t="s">
        <v>1741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f t="shared" si="39"/>
        <v>0</v>
      </c>
      <c r="W869">
        <f t="shared" si="40"/>
        <v>0.5</v>
      </c>
      <c r="X869">
        <f t="shared" si="41"/>
        <v>0.69314718055994529</v>
      </c>
    </row>
    <row r="870" spans="1:24" x14ac:dyDescent="0.25">
      <c r="A870">
        <v>869</v>
      </c>
      <c r="B870">
        <v>0</v>
      </c>
      <c r="C870">
        <v>3</v>
      </c>
      <c r="D870" s="1" t="s">
        <v>1694</v>
      </c>
      <c r="E870">
        <v>0</v>
      </c>
      <c r="F870" s="1">
        <v>32.180156657963444</v>
      </c>
      <c r="G870">
        <v>0</v>
      </c>
      <c r="H870">
        <v>0</v>
      </c>
      <c r="I870" s="1" t="s">
        <v>1695</v>
      </c>
      <c r="J870">
        <v>9.5</v>
      </c>
      <c r="K870" s="1" t="s">
        <v>48</v>
      </c>
      <c r="L870" s="1" t="s">
        <v>14</v>
      </c>
      <c r="M870">
        <v>1</v>
      </c>
      <c r="N870">
        <v>0</v>
      </c>
      <c r="O870">
        <v>0</v>
      </c>
      <c r="P870" t="s">
        <v>1741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f t="shared" si="39"/>
        <v>0</v>
      </c>
      <c r="W870">
        <f t="shared" si="40"/>
        <v>0.5</v>
      </c>
      <c r="X870">
        <f t="shared" si="41"/>
        <v>0.69314718055994529</v>
      </c>
    </row>
    <row r="871" spans="1:24" x14ac:dyDescent="0.25">
      <c r="A871">
        <v>870</v>
      </c>
      <c r="B871">
        <v>1</v>
      </c>
      <c r="C871">
        <v>3</v>
      </c>
      <c r="D871" s="1" t="s">
        <v>1696</v>
      </c>
      <c r="E871">
        <v>0</v>
      </c>
      <c r="F871">
        <v>4</v>
      </c>
      <c r="G871">
        <v>1</v>
      </c>
      <c r="H871">
        <v>1</v>
      </c>
      <c r="I871" s="1" t="s">
        <v>35</v>
      </c>
      <c r="J871">
        <v>11.1333</v>
      </c>
      <c r="K871" s="1" t="s">
        <v>48</v>
      </c>
      <c r="L871" s="1" t="s">
        <v>14</v>
      </c>
      <c r="M871">
        <v>1</v>
      </c>
      <c r="N871">
        <v>0</v>
      </c>
      <c r="O871">
        <v>0</v>
      </c>
      <c r="P871" t="s">
        <v>1742</v>
      </c>
      <c r="Q871">
        <v>0</v>
      </c>
      <c r="R871">
        <v>0</v>
      </c>
      <c r="S871">
        <v>0</v>
      </c>
      <c r="T871">
        <v>1</v>
      </c>
      <c r="U871">
        <v>0</v>
      </c>
      <c r="V871">
        <f t="shared" si="39"/>
        <v>0.21766252466937555</v>
      </c>
      <c r="W871">
        <f t="shared" si="40"/>
        <v>0.55420180681382414</v>
      </c>
      <c r="X871">
        <f t="shared" si="41"/>
        <v>0.59022638633875368</v>
      </c>
    </row>
    <row r="872" spans="1:24" x14ac:dyDescent="0.25">
      <c r="A872">
        <v>871</v>
      </c>
      <c r="B872">
        <v>0</v>
      </c>
      <c r="C872">
        <v>3</v>
      </c>
      <c r="D872" s="1" t="s">
        <v>1697</v>
      </c>
      <c r="E872">
        <v>0</v>
      </c>
      <c r="F872">
        <v>26</v>
      </c>
      <c r="G872">
        <v>0</v>
      </c>
      <c r="H872">
        <v>0</v>
      </c>
      <c r="I872" s="1" t="s">
        <v>1698</v>
      </c>
      <c r="J872">
        <v>7.8958000000000004</v>
      </c>
      <c r="K872" s="1" t="s">
        <v>48</v>
      </c>
      <c r="L872" s="1" t="s">
        <v>14</v>
      </c>
      <c r="M872">
        <v>1</v>
      </c>
      <c r="N872">
        <v>0</v>
      </c>
      <c r="O872">
        <v>0</v>
      </c>
      <c r="P872" t="s">
        <v>1741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f t="shared" si="39"/>
        <v>0</v>
      </c>
      <c r="W872">
        <f t="shared" si="40"/>
        <v>0.5</v>
      </c>
      <c r="X872">
        <f t="shared" si="41"/>
        <v>0.69314718055994529</v>
      </c>
    </row>
    <row r="873" spans="1:24" x14ac:dyDescent="0.25">
      <c r="A873">
        <v>872</v>
      </c>
      <c r="B873">
        <v>1</v>
      </c>
      <c r="C873">
        <v>1</v>
      </c>
      <c r="D873" s="1" t="s">
        <v>1699</v>
      </c>
      <c r="E873">
        <v>1</v>
      </c>
      <c r="F873">
        <v>47</v>
      </c>
      <c r="G873">
        <v>1</v>
      </c>
      <c r="H873">
        <v>1</v>
      </c>
      <c r="I873" s="1" t="s">
        <v>528</v>
      </c>
      <c r="J873">
        <v>52.554200000000002</v>
      </c>
      <c r="K873" s="1" t="s">
        <v>529</v>
      </c>
      <c r="L873" s="1" t="s">
        <v>14</v>
      </c>
      <c r="M873">
        <v>1</v>
      </c>
      <c r="N873">
        <v>0</v>
      </c>
      <c r="O873">
        <v>0</v>
      </c>
      <c r="P873" t="s">
        <v>1740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f t="shared" si="39"/>
        <v>1.3618761518134992</v>
      </c>
      <c r="W873">
        <f t="shared" si="40"/>
        <v>0.79606445234832413</v>
      </c>
      <c r="X873">
        <f t="shared" si="41"/>
        <v>0.22807512612883141</v>
      </c>
    </row>
    <row r="874" spans="1:24" x14ac:dyDescent="0.25">
      <c r="A874">
        <v>873</v>
      </c>
      <c r="B874">
        <v>0</v>
      </c>
      <c r="C874">
        <v>1</v>
      </c>
      <c r="D874" s="1" t="s">
        <v>1700</v>
      </c>
      <c r="E874">
        <v>0</v>
      </c>
      <c r="F874">
        <v>33</v>
      </c>
      <c r="G874">
        <v>0</v>
      </c>
      <c r="H874">
        <v>0</v>
      </c>
      <c r="I874" s="1" t="s">
        <v>1701</v>
      </c>
      <c r="J874">
        <v>5</v>
      </c>
      <c r="K874" s="1" t="s">
        <v>1356</v>
      </c>
      <c r="L874" s="1" t="s">
        <v>14</v>
      </c>
      <c r="M874">
        <v>1</v>
      </c>
      <c r="N874">
        <v>0</v>
      </c>
      <c r="O874">
        <v>0</v>
      </c>
      <c r="P874" t="s">
        <v>1741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f t="shared" si="39"/>
        <v>0</v>
      </c>
      <c r="W874">
        <f t="shared" si="40"/>
        <v>0.5</v>
      </c>
      <c r="X874">
        <f t="shared" si="41"/>
        <v>0.69314718055994529</v>
      </c>
    </row>
    <row r="875" spans="1:24" x14ac:dyDescent="0.25">
      <c r="A875">
        <v>874</v>
      </c>
      <c r="B875">
        <v>0</v>
      </c>
      <c r="C875">
        <v>3</v>
      </c>
      <c r="D875" s="1" t="s">
        <v>1702</v>
      </c>
      <c r="E875">
        <v>0</v>
      </c>
      <c r="F875">
        <v>47</v>
      </c>
      <c r="G875">
        <v>0</v>
      </c>
      <c r="H875">
        <v>0</v>
      </c>
      <c r="I875" s="1" t="s">
        <v>1703</v>
      </c>
      <c r="J875">
        <v>9</v>
      </c>
      <c r="K875" s="1" t="s">
        <v>48</v>
      </c>
      <c r="L875" s="1" t="s">
        <v>14</v>
      </c>
      <c r="M875">
        <v>1</v>
      </c>
      <c r="N875">
        <v>0</v>
      </c>
      <c r="O875">
        <v>0</v>
      </c>
      <c r="P875" t="s">
        <v>1741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f t="shared" si="39"/>
        <v>0</v>
      </c>
      <c r="W875">
        <f t="shared" si="40"/>
        <v>0.5</v>
      </c>
      <c r="X875">
        <f t="shared" si="41"/>
        <v>0.69314718055994529</v>
      </c>
    </row>
    <row r="876" spans="1:24" x14ac:dyDescent="0.25">
      <c r="A876">
        <v>875</v>
      </c>
      <c r="B876">
        <v>1</v>
      </c>
      <c r="C876">
        <v>2</v>
      </c>
      <c r="D876" s="1" t="s">
        <v>1704</v>
      </c>
      <c r="E876">
        <v>1</v>
      </c>
      <c r="F876">
        <v>28</v>
      </c>
      <c r="G876">
        <v>1</v>
      </c>
      <c r="H876">
        <v>0</v>
      </c>
      <c r="I876" s="1" t="s">
        <v>655</v>
      </c>
      <c r="J876">
        <v>24</v>
      </c>
      <c r="K876" s="1" t="s">
        <v>48</v>
      </c>
      <c r="L876" s="1" t="s">
        <v>18</v>
      </c>
      <c r="M876">
        <v>0</v>
      </c>
      <c r="N876">
        <v>1</v>
      </c>
      <c r="O876">
        <v>0</v>
      </c>
      <c r="P876" t="s">
        <v>1740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f t="shared" si="39"/>
        <v>1.3618761518134992</v>
      </c>
      <c r="W876">
        <f t="shared" si="40"/>
        <v>0.79606445234832413</v>
      </c>
      <c r="X876">
        <f t="shared" si="41"/>
        <v>0.22807512612883141</v>
      </c>
    </row>
    <row r="877" spans="1:24" x14ac:dyDescent="0.25">
      <c r="A877">
        <v>876</v>
      </c>
      <c r="B877">
        <v>1</v>
      </c>
      <c r="C877">
        <v>3</v>
      </c>
      <c r="D877" s="1" t="s">
        <v>1705</v>
      </c>
      <c r="E877">
        <v>1</v>
      </c>
      <c r="F877">
        <v>15</v>
      </c>
      <c r="G877">
        <v>0</v>
      </c>
      <c r="H877">
        <v>0</v>
      </c>
      <c r="I877" s="1" t="s">
        <v>1706</v>
      </c>
      <c r="J877">
        <v>7.2249999999999996</v>
      </c>
      <c r="K877" s="1" t="s">
        <v>48</v>
      </c>
      <c r="L877" s="1" t="s">
        <v>18</v>
      </c>
      <c r="M877">
        <v>0</v>
      </c>
      <c r="N877">
        <v>1</v>
      </c>
      <c r="O877">
        <v>0</v>
      </c>
      <c r="P877" t="s">
        <v>1739</v>
      </c>
      <c r="Q877">
        <v>1</v>
      </c>
      <c r="R877">
        <v>0</v>
      </c>
      <c r="S877">
        <v>0</v>
      </c>
      <c r="T877">
        <v>0</v>
      </c>
      <c r="U877">
        <v>0</v>
      </c>
      <c r="V877">
        <f t="shared" si="39"/>
        <v>0.87219584275330231</v>
      </c>
      <c r="W877">
        <f t="shared" si="40"/>
        <v>0.70520240168703408</v>
      </c>
      <c r="X877">
        <f t="shared" si="41"/>
        <v>0.34927042278209691</v>
      </c>
    </row>
    <row r="878" spans="1:24" x14ac:dyDescent="0.25">
      <c r="A878">
        <v>877</v>
      </c>
      <c r="B878">
        <v>0</v>
      </c>
      <c r="C878">
        <v>3</v>
      </c>
      <c r="D878" s="1" t="s">
        <v>1707</v>
      </c>
      <c r="E878">
        <v>0</v>
      </c>
      <c r="F878">
        <v>20</v>
      </c>
      <c r="G878">
        <v>0</v>
      </c>
      <c r="H878">
        <v>0</v>
      </c>
      <c r="I878" s="1" t="s">
        <v>308</v>
      </c>
      <c r="J878">
        <v>9.8458000000000006</v>
      </c>
      <c r="K878" s="1" t="s">
        <v>48</v>
      </c>
      <c r="L878" s="1" t="s">
        <v>14</v>
      </c>
      <c r="M878">
        <v>1</v>
      </c>
      <c r="N878">
        <v>0</v>
      </c>
      <c r="O878">
        <v>0</v>
      </c>
      <c r="P878" t="s">
        <v>1741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f t="shared" si="39"/>
        <v>0</v>
      </c>
      <c r="W878">
        <f t="shared" si="40"/>
        <v>0.5</v>
      </c>
      <c r="X878">
        <f t="shared" si="41"/>
        <v>0.69314718055994529</v>
      </c>
    </row>
    <row r="879" spans="1:24" x14ac:dyDescent="0.25">
      <c r="A879">
        <v>878</v>
      </c>
      <c r="B879">
        <v>0</v>
      </c>
      <c r="C879">
        <v>3</v>
      </c>
      <c r="D879" s="1" t="s">
        <v>1708</v>
      </c>
      <c r="E879">
        <v>0</v>
      </c>
      <c r="F879">
        <v>19</v>
      </c>
      <c r="G879">
        <v>0</v>
      </c>
      <c r="H879">
        <v>0</v>
      </c>
      <c r="I879" s="1" t="s">
        <v>1709</v>
      </c>
      <c r="J879">
        <v>7.8958000000000004</v>
      </c>
      <c r="K879" s="1" t="s">
        <v>48</v>
      </c>
      <c r="L879" s="1" t="s">
        <v>14</v>
      </c>
      <c r="M879">
        <v>1</v>
      </c>
      <c r="N879">
        <v>0</v>
      </c>
      <c r="O879">
        <v>0</v>
      </c>
      <c r="P879" t="s">
        <v>1741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f t="shared" si="39"/>
        <v>0</v>
      </c>
      <c r="W879">
        <f t="shared" si="40"/>
        <v>0.5</v>
      </c>
      <c r="X879">
        <f t="shared" si="41"/>
        <v>0.69314718055994529</v>
      </c>
    </row>
    <row r="880" spans="1:24" x14ac:dyDescent="0.25">
      <c r="A880">
        <v>879</v>
      </c>
      <c r="B880">
        <v>0</v>
      </c>
      <c r="C880">
        <v>3</v>
      </c>
      <c r="D880" s="1" t="s">
        <v>1710</v>
      </c>
      <c r="E880">
        <v>0</v>
      </c>
      <c r="F880" s="1">
        <v>32.180156657963444</v>
      </c>
      <c r="G880">
        <v>0</v>
      </c>
      <c r="H880">
        <v>0</v>
      </c>
      <c r="I880" s="1" t="s">
        <v>1711</v>
      </c>
      <c r="J880">
        <v>7.8958000000000004</v>
      </c>
      <c r="K880" s="1" t="s">
        <v>48</v>
      </c>
      <c r="L880" s="1" t="s">
        <v>14</v>
      </c>
      <c r="M880">
        <v>1</v>
      </c>
      <c r="N880">
        <v>0</v>
      </c>
      <c r="O880">
        <v>0</v>
      </c>
      <c r="P880" t="s">
        <v>1741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f t="shared" si="39"/>
        <v>0</v>
      </c>
      <c r="W880">
        <f t="shared" si="40"/>
        <v>0.5</v>
      </c>
      <c r="X880">
        <f t="shared" si="41"/>
        <v>0.69314718055994529</v>
      </c>
    </row>
    <row r="881" spans="1:24" x14ac:dyDescent="0.25">
      <c r="A881">
        <v>880</v>
      </c>
      <c r="B881">
        <v>1</v>
      </c>
      <c r="C881">
        <v>1</v>
      </c>
      <c r="D881" s="1" t="s">
        <v>1712</v>
      </c>
      <c r="E881">
        <v>1</v>
      </c>
      <c r="F881">
        <v>56</v>
      </c>
      <c r="G881">
        <v>0</v>
      </c>
      <c r="H881">
        <v>1</v>
      </c>
      <c r="I881" s="1" t="s">
        <v>660</v>
      </c>
      <c r="J881">
        <v>83.158299999999997</v>
      </c>
      <c r="K881" s="1" t="s">
        <v>1713</v>
      </c>
      <c r="L881" s="1" t="s">
        <v>18</v>
      </c>
      <c r="M881">
        <v>0</v>
      </c>
      <c r="N881">
        <v>1</v>
      </c>
      <c r="O881">
        <v>0</v>
      </c>
      <c r="P881" t="s">
        <v>1740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f t="shared" si="39"/>
        <v>1.3618761518134992</v>
      </c>
      <c r="W881">
        <f t="shared" si="40"/>
        <v>0.79606445234832413</v>
      </c>
      <c r="X881">
        <f t="shared" si="41"/>
        <v>0.22807512612883141</v>
      </c>
    </row>
    <row r="882" spans="1:24" x14ac:dyDescent="0.25">
      <c r="A882">
        <v>881</v>
      </c>
      <c r="B882">
        <v>1</v>
      </c>
      <c r="C882">
        <v>2</v>
      </c>
      <c r="D882" s="1" t="s">
        <v>1714</v>
      </c>
      <c r="E882">
        <v>1</v>
      </c>
      <c r="F882">
        <v>25</v>
      </c>
      <c r="G882">
        <v>0</v>
      </c>
      <c r="H882">
        <v>1</v>
      </c>
      <c r="I882" s="1" t="s">
        <v>552</v>
      </c>
      <c r="J882">
        <v>26</v>
      </c>
      <c r="K882" s="1" t="s">
        <v>48</v>
      </c>
      <c r="L882" s="1" t="s">
        <v>14</v>
      </c>
      <c r="M882">
        <v>1</v>
      </c>
      <c r="N882">
        <v>0</v>
      </c>
      <c r="O882">
        <v>0</v>
      </c>
      <c r="P882" t="s">
        <v>1740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f t="shared" si="39"/>
        <v>1.3618761518134992</v>
      </c>
      <c r="W882">
        <f t="shared" si="40"/>
        <v>0.79606445234832413</v>
      </c>
      <c r="X882">
        <f t="shared" si="41"/>
        <v>0.22807512612883141</v>
      </c>
    </row>
    <row r="883" spans="1:24" x14ac:dyDescent="0.25">
      <c r="A883">
        <v>882</v>
      </c>
      <c r="B883">
        <v>0</v>
      </c>
      <c r="C883">
        <v>3</v>
      </c>
      <c r="D883" s="1" t="s">
        <v>1715</v>
      </c>
      <c r="E883">
        <v>0</v>
      </c>
      <c r="F883">
        <v>33</v>
      </c>
      <c r="G883">
        <v>0</v>
      </c>
      <c r="H883">
        <v>0</v>
      </c>
      <c r="I883" s="1" t="s">
        <v>1716</v>
      </c>
      <c r="J883">
        <v>7.8958000000000004</v>
      </c>
      <c r="K883" s="1" t="s">
        <v>48</v>
      </c>
      <c r="L883" s="1" t="s">
        <v>14</v>
      </c>
      <c r="M883">
        <v>1</v>
      </c>
      <c r="N883">
        <v>0</v>
      </c>
      <c r="O883">
        <v>0</v>
      </c>
      <c r="P883" t="s">
        <v>1741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f t="shared" si="39"/>
        <v>0</v>
      </c>
      <c r="W883">
        <f t="shared" si="40"/>
        <v>0.5</v>
      </c>
      <c r="X883">
        <f t="shared" si="41"/>
        <v>0.69314718055994529</v>
      </c>
    </row>
    <row r="884" spans="1:24" x14ac:dyDescent="0.25">
      <c r="A884">
        <v>883</v>
      </c>
      <c r="B884">
        <v>0</v>
      </c>
      <c r="C884">
        <v>3</v>
      </c>
      <c r="D884" s="1" t="s">
        <v>1717</v>
      </c>
      <c r="E884">
        <v>1</v>
      </c>
      <c r="F884">
        <v>22</v>
      </c>
      <c r="G884">
        <v>0</v>
      </c>
      <c r="H884">
        <v>0</v>
      </c>
      <c r="I884" s="1" t="s">
        <v>1718</v>
      </c>
      <c r="J884">
        <v>10.5167</v>
      </c>
      <c r="K884" s="1" t="s">
        <v>48</v>
      </c>
      <c r="L884" s="1" t="s">
        <v>14</v>
      </c>
      <c r="M884">
        <v>1</v>
      </c>
      <c r="N884">
        <v>0</v>
      </c>
      <c r="O884">
        <v>0</v>
      </c>
      <c r="P884" t="s">
        <v>1739</v>
      </c>
      <c r="Q884">
        <v>1</v>
      </c>
      <c r="R884">
        <v>0</v>
      </c>
      <c r="S884">
        <v>0</v>
      </c>
      <c r="T884">
        <v>0</v>
      </c>
      <c r="U884">
        <v>0</v>
      </c>
      <c r="V884">
        <f t="shared" si="39"/>
        <v>0.87219584275330231</v>
      </c>
      <c r="W884">
        <f t="shared" si="40"/>
        <v>0.70520240168703408</v>
      </c>
      <c r="X884">
        <f t="shared" si="41"/>
        <v>1.2214662655353992</v>
      </c>
    </row>
    <row r="885" spans="1:24" x14ac:dyDescent="0.25">
      <c r="A885">
        <v>884</v>
      </c>
      <c r="B885">
        <v>0</v>
      </c>
      <c r="C885">
        <v>2</v>
      </c>
      <c r="D885" s="1" t="s">
        <v>1719</v>
      </c>
      <c r="E885">
        <v>0</v>
      </c>
      <c r="F885">
        <v>28</v>
      </c>
      <c r="G885">
        <v>0</v>
      </c>
      <c r="H885">
        <v>0</v>
      </c>
      <c r="I885" s="1" t="s">
        <v>1720</v>
      </c>
      <c r="J885">
        <v>10.5</v>
      </c>
      <c r="K885" s="1" t="s">
        <v>48</v>
      </c>
      <c r="L885" s="1" t="s">
        <v>14</v>
      </c>
      <c r="M885">
        <v>1</v>
      </c>
      <c r="N885">
        <v>0</v>
      </c>
    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f t="shared" si="39"/>
        <v>0</v>
      </c>
      <c r="W885">
        <f t="shared" si="40"/>
        <v>0.5</v>
      </c>
      <c r="X885">
        <f t="shared" si="41"/>
        <v>0.69314718055994529</v>
      </c>
    </row>
    <row r="886" spans="1:24" x14ac:dyDescent="0.25">
      <c r="A886">
        <v>885</v>
      </c>
      <c r="B886">
        <v>0</v>
      </c>
      <c r="C886">
        <v>3</v>
      </c>
      <c r="D886" s="1" t="s">
        <v>1721</v>
      </c>
      <c r="E886">
        <v>0</v>
      </c>
      <c r="F886">
        <v>25</v>
      </c>
      <c r="G886">
        <v>0</v>
      </c>
      <c r="H886">
        <v>0</v>
      </c>
      <c r="I886" s="1" t="s">
        <v>1722</v>
      </c>
      <c r="J886">
        <v>7.05</v>
      </c>
      <c r="K886" s="1" t="s">
        <v>48</v>
      </c>
      <c r="L886" s="1" t="s">
        <v>14</v>
      </c>
      <c r="M886">
        <v>1</v>
      </c>
      <c r="N886">
        <v>0</v>
      </c>
      <c r="O886">
        <v>0</v>
      </c>
      <c r="P886" t="s">
        <v>1741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f t="shared" si="39"/>
        <v>0</v>
      </c>
      <c r="W886">
        <f t="shared" si="40"/>
        <v>0.5</v>
      </c>
      <c r="X886">
        <f t="shared" si="41"/>
        <v>0.69314718055994529</v>
      </c>
    </row>
    <row r="887" spans="1:24" x14ac:dyDescent="0.25">
      <c r="A887">
        <v>886</v>
      </c>
      <c r="B887">
        <v>0</v>
      </c>
      <c r="C887">
        <v>3</v>
      </c>
      <c r="D887" s="1" t="s">
        <v>1723</v>
      </c>
      <c r="E887">
        <v>1</v>
      </c>
      <c r="F887">
        <v>39</v>
      </c>
      <c r="G887">
        <v>0</v>
      </c>
      <c r="H887">
        <v>5</v>
      </c>
      <c r="I887" s="1" t="s">
        <v>54</v>
      </c>
      <c r="J887">
        <v>29.125</v>
      </c>
      <c r="K887" s="1" t="s">
        <v>48</v>
      </c>
      <c r="L887" s="1" t="s">
        <v>28</v>
      </c>
      <c r="M887">
        <v>0</v>
      </c>
      <c r="N887">
        <v>0</v>
      </c>
      <c r="O887">
        <v>1</v>
      </c>
      <c r="P887" t="s">
        <v>1740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f t="shared" si="39"/>
        <v>1.3618761518134992</v>
      </c>
      <c r="W887">
        <f t="shared" si="40"/>
        <v>0.79606445234832413</v>
      </c>
      <c r="X887">
        <f t="shared" si="41"/>
        <v>1.5899512779423304</v>
      </c>
    </row>
    <row r="888" spans="1:24" x14ac:dyDescent="0.25">
      <c r="A888">
        <v>887</v>
      </c>
      <c r="B888">
        <v>0</v>
      </c>
      <c r="C888">
        <v>2</v>
      </c>
      <c r="D888" s="1" t="s">
        <v>1724</v>
      </c>
      <c r="E888">
        <v>0</v>
      </c>
      <c r="F888">
        <v>27</v>
      </c>
      <c r="G888">
        <v>0</v>
      </c>
      <c r="H888">
        <v>0</v>
      </c>
      <c r="I888" s="1" t="s">
        <v>1725</v>
      </c>
      <c r="J888">
        <v>13</v>
      </c>
      <c r="K888" s="1" t="s">
        <v>48</v>
      </c>
      <c r="L888" s="1" t="s">
        <v>14</v>
      </c>
      <c r="M888">
        <v>1</v>
      </c>
      <c r="N888">
        <v>0</v>
      </c>
      <c r="O888">
        <v>0</v>
      </c>
      <c r="P888" t="s">
        <v>1745</v>
      </c>
      <c r="Q888">
        <v>0</v>
      </c>
      <c r="R888">
        <v>0</v>
      </c>
      <c r="S888">
        <v>0</v>
      </c>
      <c r="T888">
        <v>0</v>
      </c>
      <c r="U888">
        <v>1</v>
      </c>
      <c r="V888">
        <f t="shared" si="39"/>
        <v>0</v>
      </c>
      <c r="W888">
        <f t="shared" si="40"/>
        <v>0.5</v>
      </c>
      <c r="X888">
        <f t="shared" si="41"/>
        <v>0.69314718055994529</v>
      </c>
    </row>
    <row r="889" spans="1:24" x14ac:dyDescent="0.25">
      <c r="A889">
        <v>888</v>
      </c>
      <c r="B889">
        <v>1</v>
      </c>
      <c r="C889">
        <v>1</v>
      </c>
      <c r="D889" s="1" t="s">
        <v>1726</v>
      </c>
      <c r="E889">
        <v>1</v>
      </c>
      <c r="F889">
        <v>19</v>
      </c>
      <c r="G889">
        <v>0</v>
      </c>
      <c r="H889">
        <v>0</v>
      </c>
      <c r="I889" s="1" t="s">
        <v>1727</v>
      </c>
      <c r="J889">
        <v>30</v>
      </c>
      <c r="K889" s="1" t="s">
        <v>1728</v>
      </c>
      <c r="L889" s="1" t="s">
        <v>14</v>
      </c>
      <c r="M889">
        <v>1</v>
      </c>
      <c r="N889">
        <v>0</v>
      </c>
      <c r="O889">
        <v>0</v>
      </c>
      <c r="P889" t="s">
        <v>1739</v>
      </c>
      <c r="Q889">
        <v>1</v>
      </c>
      <c r="R889">
        <v>0</v>
      </c>
      <c r="S889">
        <v>0</v>
      </c>
      <c r="T889">
        <v>0</v>
      </c>
      <c r="U889">
        <v>0</v>
      </c>
      <c r="V889">
        <f t="shared" si="39"/>
        <v>0.87219584275330231</v>
      </c>
      <c r="W889">
        <f t="shared" si="40"/>
        <v>0.70520240168703408</v>
      </c>
      <c r="X889">
        <f t="shared" si="41"/>
        <v>0.34927042278209691</v>
      </c>
    </row>
    <row r="890" spans="1:24" x14ac:dyDescent="0.25">
      <c r="A890">
        <v>889</v>
      </c>
      <c r="B890">
        <v>0</v>
      </c>
      <c r="C890">
        <v>3</v>
      </c>
      <c r="D890" s="1" t="s">
        <v>1729</v>
      </c>
      <c r="E890">
        <v>1</v>
      </c>
      <c r="F890" s="1">
        <v>21.98581560283688</v>
      </c>
      <c r="G890">
        <v>1</v>
      </c>
      <c r="H890">
        <v>2</v>
      </c>
      <c r="I890" s="1" t="s">
        <v>1548</v>
      </c>
      <c r="J890">
        <v>23.45</v>
      </c>
      <c r="K890" s="1" t="s">
        <v>48</v>
      </c>
      <c r="L890" s="1" t="s">
        <v>14</v>
      </c>
      <c r="M890">
        <v>1</v>
      </c>
      <c r="N890">
        <v>0</v>
      </c>
      <c r="O890">
        <v>0</v>
      </c>
      <c r="P890" t="s">
        <v>1739</v>
      </c>
      <c r="Q890">
        <v>1</v>
      </c>
      <c r="R890">
        <v>0</v>
      </c>
      <c r="S890">
        <v>0</v>
      </c>
      <c r="T890">
        <v>0</v>
      </c>
      <c r="U890">
        <v>0</v>
      </c>
      <c r="V890">
        <f t="shared" si="39"/>
        <v>0.87219584275330231</v>
      </c>
      <c r="W890">
        <f t="shared" si="40"/>
        <v>0.70520240168703408</v>
      </c>
      <c r="X890">
        <f t="shared" si="41"/>
        <v>1.2214662655353992</v>
      </c>
    </row>
    <row r="891" spans="1:24" x14ac:dyDescent="0.25">
      <c r="A891">
        <v>890</v>
      </c>
      <c r="B891">
        <v>1</v>
      </c>
      <c r="C891">
        <v>1</v>
      </c>
      <c r="D891" s="1" t="s">
        <v>1730</v>
      </c>
      <c r="E891">
        <v>0</v>
      </c>
      <c r="F891">
        <v>26</v>
      </c>
      <c r="G891">
        <v>0</v>
      </c>
      <c r="H891">
        <v>0</v>
      </c>
      <c r="I891" s="1" t="s">
        <v>1731</v>
      </c>
      <c r="J891">
        <v>30</v>
      </c>
      <c r="K891" s="1" t="s">
        <v>1732</v>
      </c>
      <c r="L891" s="1" t="s">
        <v>18</v>
      </c>
      <c r="M891">
        <v>0</v>
      </c>
      <c r="N891">
        <v>1</v>
      </c>
      <c r="O891">
        <v>0</v>
      </c>
      <c r="P891" t="s">
        <v>1741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f t="shared" si="39"/>
        <v>0</v>
      </c>
      <c r="W891">
        <f t="shared" si="40"/>
        <v>0.5</v>
      </c>
      <c r="X891">
        <f t="shared" si="41"/>
        <v>0.69314718055994529</v>
      </c>
    </row>
    <row r="892" spans="1:24" x14ac:dyDescent="0.25">
      <c r="A892">
        <v>891</v>
      </c>
      <c r="B892">
        <v>0</v>
      </c>
      <c r="C892">
        <v>3</v>
      </c>
      <c r="D892" s="1" t="s">
        <v>1733</v>
      </c>
      <c r="E892">
        <v>0</v>
      </c>
      <c r="F892">
        <v>32</v>
      </c>
      <c r="G892">
        <v>0</v>
      </c>
      <c r="H892">
        <v>0</v>
      </c>
      <c r="I892" s="1" t="s">
        <v>1734</v>
      </c>
      <c r="J892">
        <v>7.75</v>
      </c>
      <c r="K892" s="1" t="s">
        <v>48</v>
      </c>
      <c r="L892" s="1" t="s">
        <v>28</v>
      </c>
      <c r="M892">
        <v>0</v>
      </c>
      <c r="N892">
        <v>0</v>
      </c>
      <c r="O892">
        <v>1</v>
      </c>
      <c r="P892" t="s">
        <v>1741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f t="shared" si="39"/>
        <v>0</v>
      </c>
      <c r="W892">
        <f t="shared" si="40"/>
        <v>0.5</v>
      </c>
      <c r="X892">
        <f t="shared" si="41"/>
        <v>0.69314718055994529</v>
      </c>
    </row>
  </sheetData>
  <autoFilter ref="A1:U892" xr:uid="{00000000-0001-0000-0000-000000000000}"/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FB2-0FF2-4B96-83F5-055C59772DE1}">
  <dimension ref="A1:U419"/>
  <sheetViews>
    <sheetView zoomScale="90" zoomScaleNormal="90" workbookViewId="0">
      <selection activeCell="V18" sqref="V18"/>
    </sheetView>
  </sheetViews>
  <sheetFormatPr defaultRowHeight="15" x14ac:dyDescent="0.25"/>
  <cols>
    <col min="1" max="1" width="11.7109375" bestFit="1" customWidth="1"/>
    <col min="2" max="2" width="6.28515625" bestFit="1" customWidth="1"/>
    <col min="3" max="3" width="61.28515625" hidden="1" customWidth="1"/>
    <col min="4" max="4" width="4.140625" bestFit="1" customWidth="1"/>
    <col min="5" max="5" width="12" bestFit="1" customWidth="1"/>
    <col min="6" max="7" width="5.85546875" bestFit="1" customWidth="1"/>
    <col min="8" max="8" width="19.85546875" hidden="1" customWidth="1"/>
    <col min="9" max="9" width="9" bestFit="1" customWidth="1"/>
    <col min="10" max="10" width="15" hidden="1" customWidth="1"/>
    <col min="11" max="11" width="9.85546875" hidden="1" customWidth="1"/>
    <col min="12" max="12" width="11.85546875" bestFit="1" customWidth="1"/>
    <col min="13" max="13" width="12" bestFit="1" customWidth="1"/>
    <col min="14" max="14" width="12.28515625" bestFit="1" customWidth="1"/>
    <col min="15" max="15" width="7.140625" hidden="1" customWidth="1"/>
    <col min="16" max="16" width="5" bestFit="1" customWidth="1"/>
    <col min="17" max="17" width="4.28515625" bestFit="1" customWidth="1"/>
    <col min="18" max="18" width="3.42578125" bestFit="1" customWidth="1"/>
    <col min="19" max="19" width="7.140625" bestFit="1" customWidth="1"/>
    <col min="20" max="20" width="5" bestFit="1" customWidth="1"/>
    <col min="21" max="21" width="8.7109375" bestFit="1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1735</v>
      </c>
      <c r="M1" t="s">
        <v>1736</v>
      </c>
      <c r="N1" t="s">
        <v>1737</v>
      </c>
      <c r="O1" t="s">
        <v>1738</v>
      </c>
      <c r="P1" t="s">
        <v>1739</v>
      </c>
      <c r="Q1" t="s">
        <v>1740</v>
      </c>
      <c r="R1" t="s">
        <v>1741</v>
      </c>
      <c r="S1" t="s">
        <v>1742</v>
      </c>
      <c r="T1" t="s">
        <v>1743</v>
      </c>
      <c r="U1" t="s">
        <v>1</v>
      </c>
    </row>
    <row r="2" spans="1:21" x14ac:dyDescent="0.25">
      <c r="A2">
        <v>892</v>
      </c>
      <c r="B2">
        <v>3</v>
      </c>
      <c r="C2" t="s">
        <v>1386</v>
      </c>
      <c r="D2">
        <v>0</v>
      </c>
      <c r="E2">
        <v>34.5</v>
      </c>
      <c r="F2">
        <v>0</v>
      </c>
      <c r="G2">
        <v>0</v>
      </c>
      <c r="H2" t="s">
        <v>1762</v>
      </c>
      <c r="I2">
        <v>7.8292000000000002</v>
      </c>
      <c r="J2" t="s">
        <v>48</v>
      </c>
      <c r="K2" t="s">
        <v>28</v>
      </c>
      <c r="L2">
        <v>0</v>
      </c>
      <c r="M2">
        <v>0</v>
      </c>
      <c r="N2">
        <v>1</v>
      </c>
      <c r="O2" t="s">
        <v>1741</v>
      </c>
      <c r="P2">
        <v>0</v>
      </c>
      <c r="Q2">
        <v>0</v>
      </c>
      <c r="R2">
        <v>1</v>
      </c>
      <c r="S2">
        <v>0</v>
      </c>
      <c r="T2">
        <v>0</v>
      </c>
    </row>
    <row r="3" spans="1:21" x14ac:dyDescent="0.25">
      <c r="A3">
        <v>893</v>
      </c>
      <c r="B3">
        <v>3</v>
      </c>
      <c r="C3" t="s">
        <v>1763</v>
      </c>
      <c r="D3">
        <v>1</v>
      </c>
      <c r="E3">
        <v>47</v>
      </c>
      <c r="F3">
        <v>1</v>
      </c>
      <c r="G3">
        <v>0</v>
      </c>
      <c r="H3" t="s">
        <v>1764</v>
      </c>
      <c r="I3">
        <v>7</v>
      </c>
      <c r="J3" t="s">
        <v>48</v>
      </c>
      <c r="K3" t="s">
        <v>14</v>
      </c>
      <c r="L3">
        <v>1</v>
      </c>
      <c r="M3">
        <v>0</v>
      </c>
      <c r="N3">
        <v>0</v>
      </c>
      <c r="O3" t="s">
        <v>1740</v>
      </c>
      <c r="P3">
        <v>0</v>
      </c>
      <c r="Q3">
        <v>1</v>
      </c>
      <c r="R3">
        <v>0</v>
      </c>
      <c r="S3">
        <v>0</v>
      </c>
      <c r="T3">
        <v>0</v>
      </c>
    </row>
    <row r="4" spans="1:21" x14ac:dyDescent="0.25">
      <c r="A4">
        <v>894</v>
      </c>
      <c r="B4">
        <v>2</v>
      </c>
      <c r="C4" t="s">
        <v>1765</v>
      </c>
      <c r="D4">
        <v>0</v>
      </c>
      <c r="E4">
        <v>62</v>
      </c>
      <c r="F4">
        <v>0</v>
      </c>
      <c r="G4">
        <v>0</v>
      </c>
      <c r="H4" t="s">
        <v>1766</v>
      </c>
      <c r="I4">
        <v>9.6875</v>
      </c>
      <c r="J4" t="s">
        <v>48</v>
      </c>
      <c r="K4" t="s">
        <v>28</v>
      </c>
      <c r="L4">
        <v>0</v>
      </c>
      <c r="M4">
        <v>0</v>
      </c>
      <c r="N4">
        <v>1</v>
      </c>
      <c r="O4" t="s">
        <v>1741</v>
      </c>
      <c r="P4">
        <v>0</v>
      </c>
      <c r="Q4">
        <v>0</v>
      </c>
      <c r="R4">
        <v>1</v>
      </c>
      <c r="S4">
        <v>0</v>
      </c>
      <c r="T4">
        <v>0</v>
      </c>
    </row>
    <row r="5" spans="1:21" x14ac:dyDescent="0.25">
      <c r="A5">
        <v>895</v>
      </c>
      <c r="B5">
        <v>3</v>
      </c>
      <c r="C5" t="s">
        <v>1767</v>
      </c>
      <c r="D5">
        <v>0</v>
      </c>
      <c r="E5">
        <v>27</v>
      </c>
      <c r="F5">
        <v>0</v>
      </c>
      <c r="G5">
        <v>0</v>
      </c>
      <c r="H5">
        <v>315154</v>
      </c>
      <c r="I5">
        <v>8.6624999999999996</v>
      </c>
      <c r="J5" t="s">
        <v>48</v>
      </c>
      <c r="K5" t="s">
        <v>14</v>
      </c>
      <c r="L5">
        <v>1</v>
      </c>
      <c r="M5">
        <v>0</v>
      </c>
      <c r="N5">
        <v>0</v>
      </c>
      <c r="O5" t="s">
        <v>1741</v>
      </c>
      <c r="P5">
        <v>0</v>
      </c>
      <c r="Q5">
        <v>0</v>
      </c>
      <c r="R5">
        <v>1</v>
      </c>
      <c r="S5">
        <v>0</v>
      </c>
      <c r="T5">
        <v>0</v>
      </c>
    </row>
    <row r="6" spans="1:21" x14ac:dyDescent="0.25">
      <c r="A6">
        <v>896</v>
      </c>
      <c r="B6">
        <v>3</v>
      </c>
      <c r="C6" t="s">
        <v>1768</v>
      </c>
      <c r="D6">
        <v>1</v>
      </c>
      <c r="E6">
        <v>22</v>
      </c>
      <c r="F6">
        <v>1</v>
      </c>
      <c r="G6">
        <v>1</v>
      </c>
      <c r="H6" t="s">
        <v>985</v>
      </c>
      <c r="I6">
        <v>12.2875</v>
      </c>
      <c r="J6" t="s">
        <v>48</v>
      </c>
      <c r="K6" t="s">
        <v>14</v>
      </c>
      <c r="L6">
        <v>1</v>
      </c>
      <c r="M6">
        <v>0</v>
      </c>
      <c r="N6">
        <v>0</v>
      </c>
      <c r="O6" t="s">
        <v>1740</v>
      </c>
      <c r="P6">
        <v>0</v>
      </c>
      <c r="Q6">
        <v>1</v>
      </c>
      <c r="R6">
        <v>0</v>
      </c>
      <c r="S6">
        <v>0</v>
      </c>
      <c r="T6">
        <v>0</v>
      </c>
    </row>
    <row r="7" spans="1:21" x14ac:dyDescent="0.25">
      <c r="A7">
        <v>897</v>
      </c>
      <c r="B7">
        <v>3</v>
      </c>
      <c r="C7" t="s">
        <v>1769</v>
      </c>
      <c r="D7">
        <v>0</v>
      </c>
      <c r="E7">
        <v>14</v>
      </c>
      <c r="F7">
        <v>0</v>
      </c>
      <c r="G7">
        <v>0</v>
      </c>
      <c r="H7" t="s">
        <v>1770</v>
      </c>
      <c r="I7">
        <v>9.2249999999999996</v>
      </c>
      <c r="J7" t="s">
        <v>48</v>
      </c>
      <c r="K7" t="s">
        <v>14</v>
      </c>
      <c r="L7">
        <v>1</v>
      </c>
      <c r="M7">
        <v>0</v>
      </c>
      <c r="N7">
        <v>0</v>
      </c>
      <c r="O7" t="s">
        <v>1741</v>
      </c>
      <c r="P7">
        <v>0</v>
      </c>
      <c r="Q7">
        <v>0</v>
      </c>
      <c r="R7">
        <v>1</v>
      </c>
      <c r="S7">
        <v>0</v>
      </c>
      <c r="T7">
        <v>0</v>
      </c>
    </row>
    <row r="8" spans="1:21" x14ac:dyDescent="0.25">
      <c r="A8">
        <v>898</v>
      </c>
      <c r="B8">
        <v>3</v>
      </c>
      <c r="C8" t="s">
        <v>614</v>
      </c>
      <c r="D8">
        <v>1</v>
      </c>
      <c r="E8">
        <v>30</v>
      </c>
      <c r="F8">
        <v>0</v>
      </c>
      <c r="G8">
        <v>0</v>
      </c>
      <c r="H8" t="s">
        <v>1771</v>
      </c>
      <c r="I8">
        <v>7.6292</v>
      </c>
      <c r="J8" t="s">
        <v>48</v>
      </c>
      <c r="K8" t="s">
        <v>28</v>
      </c>
      <c r="L8">
        <v>0</v>
      </c>
      <c r="M8">
        <v>0</v>
      </c>
      <c r="N8">
        <v>1</v>
      </c>
      <c r="O8" t="s">
        <v>1739</v>
      </c>
      <c r="P8">
        <v>1</v>
      </c>
      <c r="Q8">
        <v>0</v>
      </c>
      <c r="R8">
        <v>0</v>
      </c>
      <c r="S8">
        <v>0</v>
      </c>
      <c r="T8">
        <v>0</v>
      </c>
    </row>
    <row r="9" spans="1:21" x14ac:dyDescent="0.25">
      <c r="A9">
        <v>899</v>
      </c>
      <c r="B9">
        <v>2</v>
      </c>
      <c r="C9" t="s">
        <v>1772</v>
      </c>
      <c r="D9">
        <v>0</v>
      </c>
      <c r="E9">
        <v>26</v>
      </c>
      <c r="F9">
        <v>1</v>
      </c>
      <c r="G9">
        <v>1</v>
      </c>
      <c r="H9" t="s">
        <v>187</v>
      </c>
      <c r="I9">
        <v>29</v>
      </c>
      <c r="J9" t="s">
        <v>48</v>
      </c>
      <c r="K9" t="s">
        <v>14</v>
      </c>
      <c r="L9">
        <v>1</v>
      </c>
      <c r="M9">
        <v>0</v>
      </c>
      <c r="N9">
        <v>0</v>
      </c>
      <c r="O9" t="s">
        <v>1741</v>
      </c>
      <c r="P9">
        <v>0</v>
      </c>
      <c r="Q9">
        <v>0</v>
      </c>
      <c r="R9">
        <v>1</v>
      </c>
      <c r="S9">
        <v>0</v>
      </c>
      <c r="T9">
        <v>0</v>
      </c>
    </row>
    <row r="10" spans="1:21" x14ac:dyDescent="0.25">
      <c r="A10">
        <v>900</v>
      </c>
      <c r="B10">
        <v>3</v>
      </c>
      <c r="C10" t="s">
        <v>1773</v>
      </c>
      <c r="D10">
        <v>1</v>
      </c>
      <c r="E10">
        <v>18</v>
      </c>
      <c r="F10">
        <v>0</v>
      </c>
      <c r="G10">
        <v>0</v>
      </c>
      <c r="H10" t="s">
        <v>1774</v>
      </c>
      <c r="I10">
        <v>7.2291999999999996</v>
      </c>
      <c r="J10" t="s">
        <v>48</v>
      </c>
      <c r="K10" t="s">
        <v>18</v>
      </c>
      <c r="L10">
        <v>0</v>
      </c>
      <c r="M10">
        <v>1</v>
      </c>
      <c r="N10">
        <v>0</v>
      </c>
      <c r="O10" t="s">
        <v>1740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1" x14ac:dyDescent="0.25">
      <c r="A11">
        <v>901</v>
      </c>
      <c r="B11">
        <v>3</v>
      </c>
      <c r="C11" t="s">
        <v>1775</v>
      </c>
      <c r="D11">
        <v>0</v>
      </c>
      <c r="E11">
        <v>21</v>
      </c>
      <c r="F11">
        <v>2</v>
      </c>
      <c r="G11">
        <v>0</v>
      </c>
      <c r="H11" t="s">
        <v>1147</v>
      </c>
      <c r="I11">
        <v>24.15</v>
      </c>
      <c r="J11" t="s">
        <v>48</v>
      </c>
      <c r="K11" t="s">
        <v>14</v>
      </c>
      <c r="L11">
        <v>1</v>
      </c>
      <c r="M11">
        <v>0</v>
      </c>
      <c r="N11">
        <v>0</v>
      </c>
      <c r="O11" t="s">
        <v>1741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1" x14ac:dyDescent="0.25">
      <c r="A12">
        <v>902</v>
      </c>
      <c r="B12">
        <v>3</v>
      </c>
      <c r="C12" t="s">
        <v>1776</v>
      </c>
      <c r="D12">
        <v>0</v>
      </c>
      <c r="E12">
        <v>32.180156657963444</v>
      </c>
      <c r="F12">
        <v>0</v>
      </c>
      <c r="G12">
        <v>0</v>
      </c>
      <c r="H12" t="s">
        <v>1777</v>
      </c>
      <c r="I12">
        <v>7.8958000000000004</v>
      </c>
      <c r="J12" t="s">
        <v>48</v>
      </c>
      <c r="K12" t="s">
        <v>14</v>
      </c>
      <c r="L12">
        <v>1</v>
      </c>
      <c r="M12">
        <v>0</v>
      </c>
      <c r="N12">
        <v>0</v>
      </c>
      <c r="O12" t="s">
        <v>1741</v>
      </c>
      <c r="P12">
        <v>0</v>
      </c>
      <c r="Q12">
        <v>0</v>
      </c>
      <c r="R12">
        <v>1</v>
      </c>
      <c r="S12">
        <v>0</v>
      </c>
      <c r="T12">
        <v>0</v>
      </c>
    </row>
    <row r="13" spans="1:21" x14ac:dyDescent="0.25">
      <c r="A13">
        <v>903</v>
      </c>
      <c r="B13">
        <v>1</v>
      </c>
      <c r="C13" t="s">
        <v>1778</v>
      </c>
      <c r="D13">
        <v>0</v>
      </c>
      <c r="E13">
        <v>46</v>
      </c>
      <c r="F13">
        <v>0</v>
      </c>
      <c r="G13">
        <v>0</v>
      </c>
      <c r="H13" t="s">
        <v>1779</v>
      </c>
      <c r="I13">
        <v>26</v>
      </c>
      <c r="J13" t="s">
        <v>48</v>
      </c>
      <c r="K13" t="s">
        <v>14</v>
      </c>
      <c r="L13">
        <v>1</v>
      </c>
      <c r="M13">
        <v>0</v>
      </c>
      <c r="N13">
        <v>0</v>
      </c>
      <c r="O13" t="s">
        <v>1741</v>
      </c>
      <c r="P13">
        <v>0</v>
      </c>
      <c r="Q13">
        <v>0</v>
      </c>
      <c r="R13">
        <v>1</v>
      </c>
      <c r="S13">
        <v>0</v>
      </c>
      <c r="T13">
        <v>0</v>
      </c>
    </row>
    <row r="14" spans="1:21" x14ac:dyDescent="0.25">
      <c r="A14">
        <v>904</v>
      </c>
      <c r="B14">
        <v>1</v>
      </c>
      <c r="C14" t="s">
        <v>1780</v>
      </c>
      <c r="D14">
        <v>1</v>
      </c>
      <c r="E14">
        <v>23</v>
      </c>
      <c r="F14">
        <v>1</v>
      </c>
      <c r="G14">
        <v>0</v>
      </c>
      <c r="H14" t="s">
        <v>1781</v>
      </c>
      <c r="I14">
        <v>82.2667</v>
      </c>
      <c r="J14" t="s">
        <v>1782</v>
      </c>
      <c r="K14" t="s">
        <v>14</v>
      </c>
      <c r="L14">
        <v>1</v>
      </c>
      <c r="M14">
        <v>0</v>
      </c>
      <c r="N14">
        <v>0</v>
      </c>
      <c r="O14" t="s">
        <v>1740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1:21" x14ac:dyDescent="0.25">
      <c r="A15">
        <v>905</v>
      </c>
      <c r="B15">
        <v>2</v>
      </c>
      <c r="C15" t="s">
        <v>1783</v>
      </c>
      <c r="D15">
        <v>0</v>
      </c>
      <c r="E15">
        <v>63</v>
      </c>
      <c r="F15">
        <v>1</v>
      </c>
      <c r="G15">
        <v>0</v>
      </c>
      <c r="H15" t="s">
        <v>1784</v>
      </c>
      <c r="I15">
        <v>26</v>
      </c>
      <c r="J15" t="s">
        <v>48</v>
      </c>
      <c r="K15" t="s">
        <v>14</v>
      </c>
      <c r="L15">
        <v>1</v>
      </c>
      <c r="M15">
        <v>0</v>
      </c>
      <c r="N15">
        <v>0</v>
      </c>
      <c r="O15" t="s">
        <v>1741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1" x14ac:dyDescent="0.25">
      <c r="A16">
        <v>906</v>
      </c>
      <c r="B16">
        <v>1</v>
      </c>
      <c r="C16" t="s">
        <v>1785</v>
      </c>
      <c r="D16">
        <v>1</v>
      </c>
      <c r="E16">
        <v>47</v>
      </c>
      <c r="F16">
        <v>1</v>
      </c>
      <c r="G16">
        <v>0</v>
      </c>
      <c r="H16" t="s">
        <v>214</v>
      </c>
      <c r="I16">
        <v>61.174999999999997</v>
      </c>
      <c r="J16" t="s">
        <v>215</v>
      </c>
      <c r="K16" t="s">
        <v>14</v>
      </c>
      <c r="L16">
        <v>1</v>
      </c>
      <c r="M16">
        <v>0</v>
      </c>
      <c r="N16">
        <v>0</v>
      </c>
      <c r="O16" t="s">
        <v>1740</v>
      </c>
      <c r="P16">
        <v>0</v>
      </c>
      <c r="Q16">
        <v>1</v>
      </c>
      <c r="R16">
        <v>0</v>
      </c>
      <c r="S16">
        <v>0</v>
      </c>
      <c r="T16">
        <v>0</v>
      </c>
    </row>
    <row r="17" spans="1:20" x14ac:dyDescent="0.25">
      <c r="A17">
        <v>907</v>
      </c>
      <c r="B17">
        <v>2</v>
      </c>
      <c r="C17" t="s">
        <v>1786</v>
      </c>
      <c r="D17">
        <v>1</v>
      </c>
      <c r="E17">
        <v>24</v>
      </c>
      <c r="F17">
        <v>1</v>
      </c>
      <c r="G17">
        <v>0</v>
      </c>
      <c r="H17" t="s">
        <v>758</v>
      </c>
      <c r="I17">
        <v>27.720800000000001</v>
      </c>
      <c r="J17" t="s">
        <v>48</v>
      </c>
      <c r="K17" t="s">
        <v>18</v>
      </c>
      <c r="L17">
        <v>0</v>
      </c>
      <c r="M17">
        <v>1</v>
      </c>
      <c r="N17">
        <v>0</v>
      </c>
      <c r="O17" t="s">
        <v>1740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>
        <v>908</v>
      </c>
      <c r="B18">
        <v>2</v>
      </c>
      <c r="C18" t="s">
        <v>1787</v>
      </c>
      <c r="D18">
        <v>0</v>
      </c>
      <c r="E18">
        <v>35</v>
      </c>
      <c r="F18">
        <v>0</v>
      </c>
      <c r="G18">
        <v>0</v>
      </c>
      <c r="H18" t="s">
        <v>1788</v>
      </c>
      <c r="I18">
        <v>12.35</v>
      </c>
      <c r="J18" t="s">
        <v>48</v>
      </c>
      <c r="K18" t="s">
        <v>28</v>
      </c>
      <c r="L18">
        <v>0</v>
      </c>
      <c r="M18">
        <v>0</v>
      </c>
      <c r="N18">
        <v>1</v>
      </c>
      <c r="O18" t="s">
        <v>1741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25">
      <c r="A19">
        <v>909</v>
      </c>
      <c r="B19">
        <v>3</v>
      </c>
      <c r="C19" t="s">
        <v>1789</v>
      </c>
      <c r="D19">
        <v>0</v>
      </c>
      <c r="E19">
        <v>21</v>
      </c>
      <c r="F19">
        <v>0</v>
      </c>
      <c r="G19">
        <v>0</v>
      </c>
      <c r="H19" t="s">
        <v>1790</v>
      </c>
      <c r="I19">
        <v>7.2249999999999996</v>
      </c>
      <c r="J19" t="s">
        <v>48</v>
      </c>
      <c r="K19" t="s">
        <v>18</v>
      </c>
      <c r="L19">
        <v>0</v>
      </c>
      <c r="M19">
        <v>1</v>
      </c>
      <c r="N19">
        <v>0</v>
      </c>
      <c r="O19" t="s">
        <v>1741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 x14ac:dyDescent="0.25">
      <c r="A20">
        <v>910</v>
      </c>
      <c r="B20">
        <v>3</v>
      </c>
      <c r="C20" t="s">
        <v>1791</v>
      </c>
      <c r="D20">
        <v>1</v>
      </c>
      <c r="E20">
        <v>27</v>
      </c>
      <c r="F20">
        <v>1</v>
      </c>
      <c r="G20">
        <v>0</v>
      </c>
      <c r="H20" t="s">
        <v>1792</v>
      </c>
      <c r="I20">
        <v>7.9249999999999998</v>
      </c>
      <c r="J20" t="s">
        <v>48</v>
      </c>
      <c r="K20" t="s">
        <v>14</v>
      </c>
      <c r="L20">
        <v>1</v>
      </c>
      <c r="M20">
        <v>0</v>
      </c>
      <c r="N20">
        <v>0</v>
      </c>
      <c r="O20" t="s">
        <v>1739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911</v>
      </c>
      <c r="B21">
        <v>3</v>
      </c>
      <c r="C21" t="s">
        <v>1793</v>
      </c>
      <c r="D21">
        <v>1</v>
      </c>
      <c r="E21">
        <v>45</v>
      </c>
      <c r="F21">
        <v>0</v>
      </c>
      <c r="G21">
        <v>0</v>
      </c>
      <c r="H21" t="s">
        <v>1794</v>
      </c>
      <c r="I21">
        <v>7.2249999999999996</v>
      </c>
      <c r="J21" t="s">
        <v>48</v>
      </c>
      <c r="K21" t="s">
        <v>18</v>
      </c>
      <c r="L21">
        <v>0</v>
      </c>
      <c r="M21">
        <v>1</v>
      </c>
      <c r="N21">
        <v>0</v>
      </c>
      <c r="O21" t="s">
        <v>1740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25">
      <c r="A22">
        <v>912</v>
      </c>
      <c r="B22">
        <v>1</v>
      </c>
      <c r="C22" t="s">
        <v>1795</v>
      </c>
      <c r="D22">
        <v>0</v>
      </c>
      <c r="E22">
        <v>55</v>
      </c>
      <c r="F22">
        <v>1</v>
      </c>
      <c r="G22">
        <v>0</v>
      </c>
      <c r="H22" t="s">
        <v>1048</v>
      </c>
      <c r="I22">
        <v>59.4</v>
      </c>
      <c r="J22" t="s">
        <v>48</v>
      </c>
      <c r="K22" t="s">
        <v>18</v>
      </c>
      <c r="L22">
        <v>0</v>
      </c>
      <c r="M22">
        <v>1</v>
      </c>
      <c r="N22">
        <v>0</v>
      </c>
      <c r="O22" t="s">
        <v>1741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 x14ac:dyDescent="0.25">
      <c r="A23">
        <v>913</v>
      </c>
      <c r="B23">
        <v>3</v>
      </c>
      <c r="C23" t="s">
        <v>1796</v>
      </c>
      <c r="D23">
        <v>0</v>
      </c>
      <c r="E23">
        <v>9</v>
      </c>
      <c r="F23">
        <v>0</v>
      </c>
      <c r="G23">
        <v>1</v>
      </c>
      <c r="H23" t="s">
        <v>1797</v>
      </c>
      <c r="I23">
        <v>3.1707999999999998</v>
      </c>
      <c r="J23" t="s">
        <v>48</v>
      </c>
      <c r="K23" t="s">
        <v>14</v>
      </c>
      <c r="L23">
        <v>1</v>
      </c>
      <c r="M23">
        <v>0</v>
      </c>
      <c r="N23">
        <v>0</v>
      </c>
      <c r="O23" t="s">
        <v>1742</v>
      </c>
      <c r="P23">
        <v>0</v>
      </c>
      <c r="Q23">
        <v>0</v>
      </c>
      <c r="R23">
        <v>0</v>
      </c>
      <c r="S23">
        <v>1</v>
      </c>
      <c r="T23">
        <v>0</v>
      </c>
    </row>
    <row r="24" spans="1:20" x14ac:dyDescent="0.25">
      <c r="A24">
        <v>914</v>
      </c>
      <c r="B24">
        <v>1</v>
      </c>
      <c r="C24" t="s">
        <v>1798</v>
      </c>
      <c r="D24">
        <v>1</v>
      </c>
      <c r="E24">
        <v>35.898148148148145</v>
      </c>
      <c r="F24">
        <v>0</v>
      </c>
      <c r="G24">
        <v>0</v>
      </c>
      <c r="H24" t="s">
        <v>1799</v>
      </c>
      <c r="I24">
        <v>31.683299999999999</v>
      </c>
      <c r="J24" t="s">
        <v>48</v>
      </c>
      <c r="K24" t="s">
        <v>14</v>
      </c>
      <c r="L24">
        <v>1</v>
      </c>
      <c r="M24">
        <v>0</v>
      </c>
      <c r="N24">
        <v>0</v>
      </c>
      <c r="O24" t="s">
        <v>1740</v>
      </c>
      <c r="P24">
        <v>0</v>
      </c>
      <c r="Q24">
        <v>1</v>
      </c>
      <c r="R24">
        <v>0</v>
      </c>
      <c r="S24">
        <v>0</v>
      </c>
      <c r="T24">
        <v>0</v>
      </c>
    </row>
    <row r="25" spans="1:20" x14ac:dyDescent="0.25">
      <c r="A25">
        <v>915</v>
      </c>
      <c r="B25">
        <v>1</v>
      </c>
      <c r="C25" t="s">
        <v>1800</v>
      </c>
      <c r="D25">
        <v>0</v>
      </c>
      <c r="E25">
        <v>21</v>
      </c>
      <c r="F25">
        <v>0</v>
      </c>
      <c r="G25">
        <v>1</v>
      </c>
      <c r="H25" t="s">
        <v>344</v>
      </c>
      <c r="I25">
        <v>61.379199999999997</v>
      </c>
      <c r="J25" t="s">
        <v>48</v>
      </c>
      <c r="K25" t="s">
        <v>18</v>
      </c>
      <c r="L25">
        <v>0</v>
      </c>
      <c r="M25">
        <v>1</v>
      </c>
      <c r="N25">
        <v>0</v>
      </c>
      <c r="O25" t="s">
        <v>1741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 x14ac:dyDescent="0.25">
      <c r="A26">
        <v>916</v>
      </c>
      <c r="B26">
        <v>1</v>
      </c>
      <c r="C26" t="s">
        <v>1801</v>
      </c>
      <c r="D26">
        <v>1</v>
      </c>
      <c r="E26">
        <v>48</v>
      </c>
      <c r="F26">
        <v>1</v>
      </c>
      <c r="G26">
        <v>3</v>
      </c>
      <c r="H26" t="s">
        <v>663</v>
      </c>
      <c r="I26">
        <v>262.375</v>
      </c>
      <c r="J26" t="s">
        <v>664</v>
      </c>
      <c r="K26" t="s">
        <v>18</v>
      </c>
      <c r="L26">
        <v>0</v>
      </c>
      <c r="M26">
        <v>1</v>
      </c>
      <c r="N26">
        <v>0</v>
      </c>
      <c r="O26" t="s">
        <v>1740</v>
      </c>
      <c r="P26">
        <v>0</v>
      </c>
      <c r="Q26">
        <v>1</v>
      </c>
      <c r="R26">
        <v>0</v>
      </c>
      <c r="S26">
        <v>0</v>
      </c>
      <c r="T26">
        <v>0</v>
      </c>
    </row>
    <row r="27" spans="1:20" x14ac:dyDescent="0.25">
      <c r="A27">
        <v>917</v>
      </c>
      <c r="B27">
        <v>3</v>
      </c>
      <c r="C27" t="s">
        <v>1802</v>
      </c>
      <c r="D27">
        <v>0</v>
      </c>
      <c r="E27">
        <v>50</v>
      </c>
      <c r="F27">
        <v>1</v>
      </c>
      <c r="G27">
        <v>0</v>
      </c>
      <c r="H27" t="s">
        <v>296</v>
      </c>
      <c r="I27">
        <v>14.5</v>
      </c>
      <c r="J27" t="s">
        <v>48</v>
      </c>
      <c r="K27" t="s">
        <v>14</v>
      </c>
      <c r="L27">
        <v>1</v>
      </c>
      <c r="M27">
        <v>0</v>
      </c>
      <c r="N27">
        <v>0</v>
      </c>
      <c r="O27" t="s">
        <v>1741</v>
      </c>
      <c r="P27">
        <v>0</v>
      </c>
      <c r="Q27">
        <v>0</v>
      </c>
      <c r="R27">
        <v>1</v>
      </c>
      <c r="S27">
        <v>0</v>
      </c>
      <c r="T27">
        <v>0</v>
      </c>
    </row>
    <row r="28" spans="1:20" x14ac:dyDescent="0.25">
      <c r="A28">
        <v>918</v>
      </c>
      <c r="B28">
        <v>1</v>
      </c>
      <c r="C28" t="s">
        <v>1803</v>
      </c>
      <c r="D28">
        <v>1</v>
      </c>
      <c r="E28">
        <v>22</v>
      </c>
      <c r="F28">
        <v>0</v>
      </c>
      <c r="G28">
        <v>1</v>
      </c>
      <c r="H28" t="s">
        <v>134</v>
      </c>
      <c r="I28">
        <v>61.979199999999999</v>
      </c>
      <c r="J28" t="s">
        <v>1804</v>
      </c>
      <c r="K28" t="s">
        <v>18</v>
      </c>
      <c r="L28">
        <v>0</v>
      </c>
      <c r="M28">
        <v>1</v>
      </c>
      <c r="N28">
        <v>0</v>
      </c>
      <c r="O28" t="s">
        <v>1739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>
        <v>919</v>
      </c>
      <c r="B29">
        <v>3</v>
      </c>
      <c r="C29" t="s">
        <v>1805</v>
      </c>
      <c r="D29">
        <v>0</v>
      </c>
      <c r="E29">
        <v>22.5</v>
      </c>
      <c r="F29">
        <v>0</v>
      </c>
      <c r="G29">
        <v>0</v>
      </c>
      <c r="H29" t="s">
        <v>1806</v>
      </c>
      <c r="I29">
        <v>7.2249999999999996</v>
      </c>
      <c r="J29" t="s">
        <v>48</v>
      </c>
      <c r="K29" t="s">
        <v>18</v>
      </c>
      <c r="L29">
        <v>0</v>
      </c>
      <c r="M29">
        <v>1</v>
      </c>
      <c r="N29">
        <v>0</v>
      </c>
      <c r="O29" t="s">
        <v>1741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25">
      <c r="A30">
        <v>920</v>
      </c>
      <c r="B30">
        <v>1</v>
      </c>
      <c r="C30" t="s">
        <v>1807</v>
      </c>
      <c r="D30">
        <v>0</v>
      </c>
      <c r="E30">
        <v>41</v>
      </c>
      <c r="F30">
        <v>0</v>
      </c>
      <c r="G30">
        <v>0</v>
      </c>
      <c r="H30" t="s">
        <v>1808</v>
      </c>
      <c r="I30">
        <v>30.5</v>
      </c>
      <c r="J30" t="s">
        <v>1809</v>
      </c>
      <c r="K30" t="s">
        <v>14</v>
      </c>
      <c r="L30">
        <v>1</v>
      </c>
      <c r="M30">
        <v>0</v>
      </c>
      <c r="N30">
        <v>0</v>
      </c>
      <c r="O30" t="s">
        <v>1741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 x14ac:dyDescent="0.25">
      <c r="A31">
        <v>921</v>
      </c>
      <c r="B31">
        <v>3</v>
      </c>
      <c r="C31" t="s">
        <v>1810</v>
      </c>
      <c r="D31">
        <v>0</v>
      </c>
      <c r="E31">
        <v>32.180156657963444</v>
      </c>
      <c r="F31">
        <v>2</v>
      </c>
      <c r="G31">
        <v>0</v>
      </c>
      <c r="H31" t="s">
        <v>121</v>
      </c>
      <c r="I31">
        <v>21.679200000000002</v>
      </c>
      <c r="J31" t="s">
        <v>48</v>
      </c>
      <c r="K31" t="s">
        <v>18</v>
      </c>
      <c r="L31">
        <v>0</v>
      </c>
      <c r="M31">
        <v>1</v>
      </c>
      <c r="N31">
        <v>0</v>
      </c>
      <c r="O31" t="s">
        <v>1741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 x14ac:dyDescent="0.25">
      <c r="A32">
        <v>922</v>
      </c>
      <c r="B32">
        <v>2</v>
      </c>
      <c r="C32" t="s">
        <v>1811</v>
      </c>
      <c r="D32">
        <v>0</v>
      </c>
      <c r="E32">
        <v>50</v>
      </c>
      <c r="F32">
        <v>1</v>
      </c>
      <c r="G32">
        <v>0</v>
      </c>
      <c r="H32" t="s">
        <v>892</v>
      </c>
      <c r="I32">
        <v>26</v>
      </c>
      <c r="J32" t="s">
        <v>48</v>
      </c>
      <c r="K32" t="s">
        <v>14</v>
      </c>
      <c r="L32">
        <v>1</v>
      </c>
      <c r="M32">
        <v>0</v>
      </c>
      <c r="N32">
        <v>0</v>
      </c>
      <c r="O32" t="s">
        <v>1741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 x14ac:dyDescent="0.25">
      <c r="A33">
        <v>923</v>
      </c>
      <c r="B33">
        <v>2</v>
      </c>
      <c r="C33" t="s">
        <v>1812</v>
      </c>
      <c r="D33">
        <v>0</v>
      </c>
      <c r="E33">
        <v>24</v>
      </c>
      <c r="F33">
        <v>2</v>
      </c>
      <c r="G33">
        <v>0</v>
      </c>
      <c r="H33" t="s">
        <v>1813</v>
      </c>
      <c r="I33">
        <v>31.5</v>
      </c>
      <c r="J33" t="s">
        <v>48</v>
      </c>
      <c r="K33" t="s">
        <v>14</v>
      </c>
      <c r="L33">
        <v>1</v>
      </c>
      <c r="M33">
        <v>0</v>
      </c>
      <c r="N33">
        <v>0</v>
      </c>
      <c r="O33" t="s">
        <v>1741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 x14ac:dyDescent="0.25">
      <c r="A34">
        <v>924</v>
      </c>
      <c r="B34">
        <v>3</v>
      </c>
      <c r="C34" t="s">
        <v>1814</v>
      </c>
      <c r="D34">
        <v>1</v>
      </c>
      <c r="E34">
        <v>33</v>
      </c>
      <c r="F34">
        <v>1</v>
      </c>
      <c r="G34">
        <v>2</v>
      </c>
      <c r="H34" t="s">
        <v>217</v>
      </c>
      <c r="I34">
        <v>20.574999999999999</v>
      </c>
      <c r="J34" t="s">
        <v>48</v>
      </c>
      <c r="K34" t="s">
        <v>14</v>
      </c>
      <c r="L34">
        <v>1</v>
      </c>
      <c r="M34">
        <v>0</v>
      </c>
      <c r="N34">
        <v>0</v>
      </c>
      <c r="O34" t="s">
        <v>1740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25">
      <c r="A35">
        <v>925</v>
      </c>
      <c r="B35">
        <v>3</v>
      </c>
      <c r="C35" t="s">
        <v>1815</v>
      </c>
      <c r="D35">
        <v>1</v>
      </c>
      <c r="E35">
        <v>35.898148148148145</v>
      </c>
      <c r="F35">
        <v>1</v>
      </c>
      <c r="G35">
        <v>2</v>
      </c>
      <c r="H35" t="s">
        <v>1548</v>
      </c>
      <c r="I35">
        <v>23.45</v>
      </c>
      <c r="J35" t="s">
        <v>48</v>
      </c>
      <c r="K35" t="s">
        <v>14</v>
      </c>
      <c r="L35">
        <v>1</v>
      </c>
      <c r="M35">
        <v>0</v>
      </c>
      <c r="N35">
        <v>0</v>
      </c>
      <c r="O35" t="s">
        <v>1740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 x14ac:dyDescent="0.25">
      <c r="A36">
        <v>926</v>
      </c>
      <c r="B36">
        <v>1</v>
      </c>
      <c r="C36" t="s">
        <v>1816</v>
      </c>
      <c r="D36">
        <v>0</v>
      </c>
      <c r="E36">
        <v>30</v>
      </c>
      <c r="F36">
        <v>1</v>
      </c>
      <c r="G36">
        <v>0</v>
      </c>
      <c r="H36" t="s">
        <v>1817</v>
      </c>
      <c r="I36">
        <v>57.75</v>
      </c>
      <c r="J36" t="s">
        <v>522</v>
      </c>
      <c r="K36" t="s">
        <v>18</v>
      </c>
      <c r="L36">
        <v>0</v>
      </c>
      <c r="M36">
        <v>1</v>
      </c>
      <c r="N36">
        <v>0</v>
      </c>
      <c r="O36" t="s">
        <v>1741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 x14ac:dyDescent="0.25">
      <c r="A37">
        <v>927</v>
      </c>
      <c r="B37">
        <v>3</v>
      </c>
      <c r="C37" t="s">
        <v>1818</v>
      </c>
      <c r="D37">
        <v>0</v>
      </c>
      <c r="E37">
        <v>18.5</v>
      </c>
      <c r="F37">
        <v>0</v>
      </c>
      <c r="G37">
        <v>0</v>
      </c>
      <c r="H37" t="s">
        <v>1819</v>
      </c>
      <c r="I37">
        <v>7.2291999999999996</v>
      </c>
      <c r="J37" t="s">
        <v>48</v>
      </c>
      <c r="K37" t="s">
        <v>18</v>
      </c>
      <c r="L37">
        <v>0</v>
      </c>
      <c r="M37">
        <v>1</v>
      </c>
      <c r="N37">
        <v>0</v>
      </c>
      <c r="O37" t="s">
        <v>1741</v>
      </c>
      <c r="P37">
        <v>0</v>
      </c>
      <c r="Q37">
        <v>0</v>
      </c>
      <c r="R37">
        <v>1</v>
      </c>
      <c r="S37">
        <v>0</v>
      </c>
      <c r="T37">
        <v>0</v>
      </c>
    </row>
    <row r="38" spans="1:20" x14ac:dyDescent="0.25">
      <c r="A38">
        <v>928</v>
      </c>
      <c r="B38">
        <v>3</v>
      </c>
      <c r="C38" t="s">
        <v>1820</v>
      </c>
      <c r="D38">
        <v>1</v>
      </c>
      <c r="E38">
        <v>21.98581560283688</v>
      </c>
      <c r="F38">
        <v>0</v>
      </c>
      <c r="G38">
        <v>0</v>
      </c>
      <c r="H38" t="s">
        <v>1821</v>
      </c>
      <c r="I38">
        <v>8.0500000000000007</v>
      </c>
      <c r="J38" t="s">
        <v>48</v>
      </c>
      <c r="K38" t="s">
        <v>14</v>
      </c>
      <c r="L38">
        <v>1</v>
      </c>
      <c r="M38">
        <v>0</v>
      </c>
      <c r="N38">
        <v>0</v>
      </c>
      <c r="O38" t="s">
        <v>1739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929</v>
      </c>
      <c r="B39">
        <v>3</v>
      </c>
      <c r="C39" t="s">
        <v>1822</v>
      </c>
      <c r="D39">
        <v>1</v>
      </c>
      <c r="E39">
        <v>21</v>
      </c>
      <c r="F39">
        <v>0</v>
      </c>
      <c r="G39">
        <v>0</v>
      </c>
      <c r="H39" t="s">
        <v>1823</v>
      </c>
      <c r="I39">
        <v>8.6624999999999996</v>
      </c>
      <c r="J39" t="s">
        <v>48</v>
      </c>
      <c r="K39" t="s">
        <v>14</v>
      </c>
      <c r="L39">
        <v>1</v>
      </c>
      <c r="M39">
        <v>0</v>
      </c>
      <c r="N39">
        <v>0</v>
      </c>
      <c r="O39" t="s">
        <v>1739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930</v>
      </c>
      <c r="B40">
        <v>3</v>
      </c>
      <c r="C40" t="s">
        <v>1824</v>
      </c>
      <c r="D40">
        <v>0</v>
      </c>
      <c r="E40">
        <v>25</v>
      </c>
      <c r="F40">
        <v>0</v>
      </c>
      <c r="G40">
        <v>0</v>
      </c>
      <c r="H40" t="s">
        <v>1825</v>
      </c>
      <c r="I40">
        <v>9.5</v>
      </c>
      <c r="J40" t="s">
        <v>48</v>
      </c>
      <c r="K40" t="s">
        <v>14</v>
      </c>
      <c r="L40">
        <v>1</v>
      </c>
      <c r="M40">
        <v>0</v>
      </c>
      <c r="N40">
        <v>0</v>
      </c>
      <c r="O40" t="s">
        <v>1741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25">
      <c r="A41">
        <v>931</v>
      </c>
      <c r="B41">
        <v>3</v>
      </c>
      <c r="C41" t="s">
        <v>1826</v>
      </c>
      <c r="D41">
        <v>0</v>
      </c>
      <c r="E41">
        <v>32.180156657963444</v>
      </c>
      <c r="F41">
        <v>0</v>
      </c>
      <c r="G41">
        <v>0</v>
      </c>
      <c r="H41" t="s">
        <v>178</v>
      </c>
      <c r="I41">
        <v>56.495800000000003</v>
      </c>
      <c r="J41" t="s">
        <v>48</v>
      </c>
      <c r="K41" t="s">
        <v>14</v>
      </c>
      <c r="L41">
        <v>1</v>
      </c>
      <c r="M41">
        <v>0</v>
      </c>
      <c r="N41">
        <v>0</v>
      </c>
      <c r="O41" t="s">
        <v>1741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 x14ac:dyDescent="0.25">
      <c r="A42">
        <v>932</v>
      </c>
      <c r="B42">
        <v>3</v>
      </c>
      <c r="C42" t="s">
        <v>1827</v>
      </c>
      <c r="D42">
        <v>0</v>
      </c>
      <c r="E42">
        <v>39</v>
      </c>
      <c r="F42">
        <v>0</v>
      </c>
      <c r="G42">
        <v>1</v>
      </c>
      <c r="H42" t="s">
        <v>1378</v>
      </c>
      <c r="I42">
        <v>13.416700000000001</v>
      </c>
      <c r="J42" t="s">
        <v>48</v>
      </c>
      <c r="K42" t="s">
        <v>18</v>
      </c>
      <c r="L42">
        <v>0</v>
      </c>
      <c r="M42">
        <v>1</v>
      </c>
      <c r="N42">
        <v>0</v>
      </c>
      <c r="O42" t="s">
        <v>1741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 x14ac:dyDescent="0.25">
      <c r="A43">
        <v>933</v>
      </c>
      <c r="B43">
        <v>1</v>
      </c>
      <c r="C43" t="s">
        <v>1828</v>
      </c>
      <c r="D43">
        <v>0</v>
      </c>
      <c r="E43">
        <v>32.180156657963444</v>
      </c>
      <c r="F43">
        <v>0</v>
      </c>
      <c r="G43">
        <v>0</v>
      </c>
      <c r="H43" t="s">
        <v>1829</v>
      </c>
      <c r="I43">
        <v>26.55</v>
      </c>
      <c r="J43" t="s">
        <v>1830</v>
      </c>
      <c r="K43" t="s">
        <v>14</v>
      </c>
      <c r="L43">
        <v>1</v>
      </c>
      <c r="M43">
        <v>0</v>
      </c>
      <c r="N43">
        <v>0</v>
      </c>
      <c r="O43" t="s">
        <v>1741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 x14ac:dyDescent="0.25">
      <c r="A44">
        <v>934</v>
      </c>
      <c r="B44">
        <v>3</v>
      </c>
      <c r="C44" t="s">
        <v>1831</v>
      </c>
      <c r="D44">
        <v>0</v>
      </c>
      <c r="E44">
        <v>41</v>
      </c>
      <c r="F44">
        <v>0</v>
      </c>
      <c r="G44">
        <v>0</v>
      </c>
      <c r="H44" t="s">
        <v>1832</v>
      </c>
      <c r="I44">
        <v>7.85</v>
      </c>
      <c r="J44" t="s">
        <v>48</v>
      </c>
      <c r="K44" t="s">
        <v>14</v>
      </c>
      <c r="L44">
        <v>1</v>
      </c>
      <c r="M44">
        <v>0</v>
      </c>
      <c r="N44">
        <v>0</v>
      </c>
      <c r="O44" t="s">
        <v>1741</v>
      </c>
      <c r="P44">
        <v>0</v>
      </c>
      <c r="Q44">
        <v>0</v>
      </c>
      <c r="R44">
        <v>1</v>
      </c>
      <c r="S44">
        <v>0</v>
      </c>
      <c r="T44">
        <v>0</v>
      </c>
    </row>
    <row r="45" spans="1:20" x14ac:dyDescent="0.25">
      <c r="A45">
        <v>935</v>
      </c>
      <c r="B45">
        <v>2</v>
      </c>
      <c r="C45" t="s">
        <v>1833</v>
      </c>
      <c r="D45">
        <v>1</v>
      </c>
      <c r="E45">
        <v>30</v>
      </c>
      <c r="F45">
        <v>0</v>
      </c>
      <c r="G45">
        <v>0</v>
      </c>
      <c r="H45" t="s">
        <v>1834</v>
      </c>
      <c r="I45">
        <v>13</v>
      </c>
      <c r="J45" t="s">
        <v>48</v>
      </c>
      <c r="K45" t="s">
        <v>14</v>
      </c>
      <c r="L45">
        <v>1</v>
      </c>
      <c r="M45">
        <v>0</v>
      </c>
      <c r="N45">
        <v>0</v>
      </c>
      <c r="O45" t="s">
        <v>1740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5">
      <c r="A46">
        <v>936</v>
      </c>
      <c r="B46">
        <v>1</v>
      </c>
      <c r="C46" t="s">
        <v>1835</v>
      </c>
      <c r="D46">
        <v>1</v>
      </c>
      <c r="E46">
        <v>45</v>
      </c>
      <c r="F46">
        <v>1</v>
      </c>
      <c r="G46">
        <v>0</v>
      </c>
      <c r="H46" t="s">
        <v>1248</v>
      </c>
      <c r="I46">
        <v>52.554200000000002</v>
      </c>
      <c r="J46" t="s">
        <v>1249</v>
      </c>
      <c r="K46" t="s">
        <v>14</v>
      </c>
      <c r="L46">
        <v>1</v>
      </c>
      <c r="M46">
        <v>0</v>
      </c>
      <c r="N46">
        <v>0</v>
      </c>
      <c r="O46" t="s">
        <v>1740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5">
      <c r="A47">
        <v>937</v>
      </c>
      <c r="B47">
        <v>3</v>
      </c>
      <c r="C47" t="s">
        <v>1836</v>
      </c>
      <c r="D47">
        <v>0</v>
      </c>
      <c r="E47">
        <v>25</v>
      </c>
      <c r="F47">
        <v>0</v>
      </c>
      <c r="G47">
        <v>0</v>
      </c>
      <c r="H47" t="s">
        <v>1837</v>
      </c>
      <c r="I47">
        <v>7.9249999999999998</v>
      </c>
      <c r="J47" t="s">
        <v>48</v>
      </c>
      <c r="K47" t="s">
        <v>14</v>
      </c>
      <c r="L47">
        <v>1</v>
      </c>
      <c r="M47">
        <v>0</v>
      </c>
      <c r="N47">
        <v>0</v>
      </c>
      <c r="O47" t="s">
        <v>1741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 x14ac:dyDescent="0.25">
      <c r="A48">
        <v>938</v>
      </c>
      <c r="B48">
        <v>1</v>
      </c>
      <c r="C48" t="s">
        <v>1838</v>
      </c>
      <c r="D48">
        <v>0</v>
      </c>
      <c r="E48">
        <v>45</v>
      </c>
      <c r="F48">
        <v>0</v>
      </c>
      <c r="G48">
        <v>0</v>
      </c>
      <c r="H48" t="s">
        <v>1839</v>
      </c>
      <c r="I48">
        <v>29.7</v>
      </c>
      <c r="J48" t="s">
        <v>1840</v>
      </c>
      <c r="K48" t="s">
        <v>18</v>
      </c>
      <c r="L48">
        <v>0</v>
      </c>
      <c r="M48">
        <v>1</v>
      </c>
      <c r="N48">
        <v>0</v>
      </c>
      <c r="O48" t="s">
        <v>1741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 x14ac:dyDescent="0.25">
      <c r="A49">
        <v>939</v>
      </c>
      <c r="B49">
        <v>3</v>
      </c>
      <c r="C49" t="s">
        <v>1841</v>
      </c>
      <c r="D49">
        <v>0</v>
      </c>
      <c r="E49">
        <v>32.180156657963444</v>
      </c>
      <c r="F49">
        <v>0</v>
      </c>
      <c r="G49">
        <v>0</v>
      </c>
      <c r="H49" t="s">
        <v>1842</v>
      </c>
      <c r="I49">
        <v>7.75</v>
      </c>
      <c r="J49" t="s">
        <v>48</v>
      </c>
      <c r="K49" t="s">
        <v>28</v>
      </c>
      <c r="L49">
        <v>0</v>
      </c>
      <c r="M49">
        <v>0</v>
      </c>
      <c r="N49">
        <v>1</v>
      </c>
      <c r="O49" t="s">
        <v>1741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 x14ac:dyDescent="0.25">
      <c r="A50">
        <v>940</v>
      </c>
      <c r="B50">
        <v>1</v>
      </c>
      <c r="C50" t="s">
        <v>1843</v>
      </c>
      <c r="D50">
        <v>1</v>
      </c>
      <c r="E50">
        <v>60</v>
      </c>
      <c r="F50">
        <v>0</v>
      </c>
      <c r="G50">
        <v>0</v>
      </c>
      <c r="H50" t="s">
        <v>469</v>
      </c>
      <c r="I50">
        <v>76.291700000000006</v>
      </c>
      <c r="J50" t="s">
        <v>470</v>
      </c>
      <c r="K50" t="s">
        <v>18</v>
      </c>
      <c r="L50">
        <v>0</v>
      </c>
      <c r="M50">
        <v>1</v>
      </c>
      <c r="N50">
        <v>0</v>
      </c>
      <c r="O50" t="s">
        <v>1740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5">
      <c r="A51">
        <v>941</v>
      </c>
      <c r="B51">
        <v>3</v>
      </c>
      <c r="C51" t="s">
        <v>1844</v>
      </c>
      <c r="D51">
        <v>1</v>
      </c>
      <c r="E51">
        <v>36</v>
      </c>
      <c r="F51">
        <v>0</v>
      </c>
      <c r="G51">
        <v>2</v>
      </c>
      <c r="H51" t="s">
        <v>734</v>
      </c>
      <c r="I51">
        <v>15.9</v>
      </c>
      <c r="J51" t="s">
        <v>48</v>
      </c>
      <c r="K51" t="s">
        <v>14</v>
      </c>
      <c r="L51">
        <v>1</v>
      </c>
      <c r="M51">
        <v>0</v>
      </c>
      <c r="N51">
        <v>0</v>
      </c>
      <c r="O51" t="s">
        <v>1740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5">
      <c r="A52">
        <v>942</v>
      </c>
      <c r="B52">
        <v>1</v>
      </c>
      <c r="C52" t="s">
        <v>1845</v>
      </c>
      <c r="D52">
        <v>0</v>
      </c>
      <c r="E52">
        <v>24</v>
      </c>
      <c r="F52">
        <v>1</v>
      </c>
      <c r="G52">
        <v>0</v>
      </c>
      <c r="H52" t="s">
        <v>1846</v>
      </c>
      <c r="I52">
        <v>60</v>
      </c>
      <c r="J52" t="s">
        <v>1847</v>
      </c>
      <c r="K52" t="s">
        <v>14</v>
      </c>
      <c r="L52">
        <v>1</v>
      </c>
      <c r="M52">
        <v>0</v>
      </c>
      <c r="N52">
        <v>0</v>
      </c>
      <c r="O52" t="s">
        <v>1741</v>
      </c>
      <c r="P52">
        <v>0</v>
      </c>
      <c r="Q52">
        <v>0</v>
      </c>
      <c r="R52">
        <v>1</v>
      </c>
      <c r="S52">
        <v>0</v>
      </c>
      <c r="T52">
        <v>0</v>
      </c>
    </row>
    <row r="53" spans="1:20" x14ac:dyDescent="0.25">
      <c r="A53">
        <v>943</v>
      </c>
      <c r="B53">
        <v>2</v>
      </c>
      <c r="C53" t="s">
        <v>1848</v>
      </c>
      <c r="D53">
        <v>0</v>
      </c>
      <c r="E53">
        <v>27</v>
      </c>
      <c r="F53">
        <v>0</v>
      </c>
      <c r="G53">
        <v>0</v>
      </c>
      <c r="H53" t="s">
        <v>1849</v>
      </c>
      <c r="I53">
        <v>15.033300000000001</v>
      </c>
      <c r="J53" t="s">
        <v>48</v>
      </c>
      <c r="K53" t="s">
        <v>18</v>
      </c>
      <c r="L53">
        <v>0</v>
      </c>
      <c r="M53">
        <v>1</v>
      </c>
      <c r="N53">
        <v>0</v>
      </c>
      <c r="O53" t="s">
        <v>1741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 x14ac:dyDescent="0.25">
      <c r="A54">
        <v>944</v>
      </c>
      <c r="B54">
        <v>2</v>
      </c>
      <c r="C54" t="s">
        <v>1850</v>
      </c>
      <c r="D54">
        <v>1</v>
      </c>
      <c r="E54">
        <v>20</v>
      </c>
      <c r="F54">
        <v>2</v>
      </c>
      <c r="G54">
        <v>1</v>
      </c>
      <c r="H54" t="s">
        <v>1530</v>
      </c>
      <c r="I54">
        <v>23</v>
      </c>
      <c r="J54" t="s">
        <v>48</v>
      </c>
      <c r="K54" t="s">
        <v>14</v>
      </c>
      <c r="L54">
        <v>1</v>
      </c>
      <c r="M54">
        <v>0</v>
      </c>
      <c r="N54">
        <v>0</v>
      </c>
      <c r="O54" t="s">
        <v>1739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945</v>
      </c>
      <c r="B55">
        <v>1</v>
      </c>
      <c r="C55" t="s">
        <v>1851</v>
      </c>
      <c r="D55">
        <v>1</v>
      </c>
      <c r="E55">
        <v>28</v>
      </c>
      <c r="F55">
        <v>3</v>
      </c>
      <c r="G55">
        <v>2</v>
      </c>
      <c r="H55" t="s">
        <v>77</v>
      </c>
      <c r="I55">
        <v>263</v>
      </c>
      <c r="J55" t="s">
        <v>78</v>
      </c>
      <c r="K55" t="s">
        <v>14</v>
      </c>
      <c r="L55">
        <v>1</v>
      </c>
      <c r="M55">
        <v>0</v>
      </c>
      <c r="N55">
        <v>0</v>
      </c>
      <c r="O55" t="s">
        <v>1739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>
        <v>946</v>
      </c>
      <c r="B56">
        <v>2</v>
      </c>
      <c r="C56" t="s">
        <v>1852</v>
      </c>
      <c r="D56">
        <v>0</v>
      </c>
      <c r="E56">
        <v>32.180156657963444</v>
      </c>
      <c r="F56">
        <v>0</v>
      </c>
      <c r="G56">
        <v>0</v>
      </c>
      <c r="H56" t="s">
        <v>1853</v>
      </c>
      <c r="I56">
        <v>15.5792</v>
      </c>
      <c r="J56" t="s">
        <v>48</v>
      </c>
      <c r="K56" t="s">
        <v>18</v>
      </c>
      <c r="L56">
        <v>0</v>
      </c>
      <c r="M56">
        <v>1</v>
      </c>
      <c r="N56">
        <v>0</v>
      </c>
      <c r="O56" t="s">
        <v>1741</v>
      </c>
      <c r="P56">
        <v>0</v>
      </c>
      <c r="Q56">
        <v>0</v>
      </c>
      <c r="R56">
        <v>1</v>
      </c>
      <c r="S56">
        <v>0</v>
      </c>
      <c r="T56">
        <v>0</v>
      </c>
    </row>
    <row r="57" spans="1:20" x14ac:dyDescent="0.25">
      <c r="A57">
        <v>947</v>
      </c>
      <c r="B57">
        <v>3</v>
      </c>
      <c r="C57" t="s">
        <v>1854</v>
      </c>
      <c r="D57">
        <v>0</v>
      </c>
      <c r="E57">
        <v>10</v>
      </c>
      <c r="F57">
        <v>4</v>
      </c>
      <c r="G57">
        <v>1</v>
      </c>
      <c r="H57" t="s">
        <v>54</v>
      </c>
      <c r="I57">
        <v>29.125</v>
      </c>
      <c r="J57" t="s">
        <v>48</v>
      </c>
      <c r="K57" t="s">
        <v>28</v>
      </c>
      <c r="L57">
        <v>0</v>
      </c>
      <c r="M57">
        <v>0</v>
      </c>
      <c r="N57">
        <v>1</v>
      </c>
      <c r="O57" t="s">
        <v>1742</v>
      </c>
      <c r="P57">
        <v>0</v>
      </c>
      <c r="Q57">
        <v>0</v>
      </c>
      <c r="R57">
        <v>0</v>
      </c>
      <c r="S57">
        <v>1</v>
      </c>
      <c r="T57">
        <v>0</v>
      </c>
    </row>
    <row r="58" spans="1:20" x14ac:dyDescent="0.25">
      <c r="A58">
        <v>948</v>
      </c>
      <c r="B58">
        <v>3</v>
      </c>
      <c r="C58" t="s">
        <v>1855</v>
      </c>
      <c r="D58">
        <v>0</v>
      </c>
      <c r="E58">
        <v>35</v>
      </c>
      <c r="F58">
        <v>0</v>
      </c>
      <c r="G58">
        <v>0</v>
      </c>
      <c r="H58" t="s">
        <v>1856</v>
      </c>
      <c r="I58">
        <v>7.8958000000000004</v>
      </c>
      <c r="J58" t="s">
        <v>48</v>
      </c>
      <c r="K58" t="s">
        <v>14</v>
      </c>
      <c r="L58">
        <v>1</v>
      </c>
      <c r="M58">
        <v>0</v>
      </c>
      <c r="N58">
        <v>0</v>
      </c>
      <c r="O58" t="s">
        <v>1741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 x14ac:dyDescent="0.25">
      <c r="A59">
        <v>949</v>
      </c>
      <c r="B59">
        <v>3</v>
      </c>
      <c r="C59" t="s">
        <v>1857</v>
      </c>
      <c r="D59">
        <v>0</v>
      </c>
      <c r="E59">
        <v>25</v>
      </c>
      <c r="F59">
        <v>0</v>
      </c>
      <c r="G59">
        <v>0</v>
      </c>
      <c r="H59" t="s">
        <v>1858</v>
      </c>
      <c r="I59">
        <v>7.65</v>
      </c>
      <c r="J59" t="s">
        <v>1393</v>
      </c>
      <c r="K59" t="s">
        <v>14</v>
      </c>
      <c r="L59">
        <v>1</v>
      </c>
      <c r="M59">
        <v>0</v>
      </c>
      <c r="N59">
        <v>0</v>
      </c>
      <c r="O59" t="s">
        <v>1741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 x14ac:dyDescent="0.25">
      <c r="A60">
        <v>950</v>
      </c>
      <c r="B60">
        <v>3</v>
      </c>
      <c r="C60" t="s">
        <v>1859</v>
      </c>
      <c r="D60">
        <v>0</v>
      </c>
      <c r="E60">
        <v>32.180156657963444</v>
      </c>
      <c r="F60">
        <v>1</v>
      </c>
      <c r="G60">
        <v>0</v>
      </c>
      <c r="H60" t="s">
        <v>732</v>
      </c>
      <c r="I60">
        <v>16.100000000000001</v>
      </c>
      <c r="J60" t="s">
        <v>48</v>
      </c>
      <c r="K60" t="s">
        <v>14</v>
      </c>
      <c r="L60">
        <v>1</v>
      </c>
      <c r="M60">
        <v>0</v>
      </c>
      <c r="N60">
        <v>0</v>
      </c>
      <c r="O60" t="s">
        <v>1741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 x14ac:dyDescent="0.25">
      <c r="A61">
        <v>951</v>
      </c>
      <c r="B61">
        <v>1</v>
      </c>
      <c r="C61" t="s">
        <v>1860</v>
      </c>
      <c r="D61">
        <v>1</v>
      </c>
      <c r="E61">
        <v>36</v>
      </c>
      <c r="F61">
        <v>0</v>
      </c>
      <c r="G61">
        <v>0</v>
      </c>
      <c r="H61" t="s">
        <v>663</v>
      </c>
      <c r="I61">
        <v>262.375</v>
      </c>
      <c r="J61" t="s">
        <v>1861</v>
      </c>
      <c r="K61" t="s">
        <v>18</v>
      </c>
      <c r="L61">
        <v>0</v>
      </c>
      <c r="M61">
        <v>1</v>
      </c>
      <c r="N61">
        <v>0</v>
      </c>
      <c r="O61" t="s">
        <v>1739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>
        <v>952</v>
      </c>
      <c r="B62">
        <v>3</v>
      </c>
      <c r="C62" t="s">
        <v>1862</v>
      </c>
      <c r="D62">
        <v>0</v>
      </c>
      <c r="E62">
        <v>17</v>
      </c>
      <c r="F62">
        <v>0</v>
      </c>
      <c r="G62">
        <v>0</v>
      </c>
      <c r="H62" t="s">
        <v>1863</v>
      </c>
      <c r="I62">
        <v>7.8958000000000004</v>
      </c>
      <c r="J62" t="s">
        <v>48</v>
      </c>
      <c r="K62" t="s">
        <v>14</v>
      </c>
      <c r="L62">
        <v>1</v>
      </c>
      <c r="M62">
        <v>0</v>
      </c>
      <c r="N62">
        <v>0</v>
      </c>
      <c r="O62" t="s">
        <v>1741</v>
      </c>
      <c r="P62">
        <v>0</v>
      </c>
      <c r="Q62">
        <v>0</v>
      </c>
      <c r="R62">
        <v>1</v>
      </c>
      <c r="S62">
        <v>0</v>
      </c>
      <c r="T62">
        <v>0</v>
      </c>
    </row>
    <row r="63" spans="1:20" x14ac:dyDescent="0.25">
      <c r="A63">
        <v>953</v>
      </c>
      <c r="B63">
        <v>2</v>
      </c>
      <c r="C63" t="s">
        <v>1864</v>
      </c>
      <c r="D63">
        <v>0</v>
      </c>
      <c r="E63">
        <v>32</v>
      </c>
      <c r="F63">
        <v>0</v>
      </c>
      <c r="G63">
        <v>0</v>
      </c>
      <c r="H63" t="s">
        <v>1865</v>
      </c>
      <c r="I63">
        <v>13.5</v>
      </c>
      <c r="J63" t="s">
        <v>48</v>
      </c>
      <c r="K63" t="s">
        <v>14</v>
      </c>
      <c r="L63">
        <v>1</v>
      </c>
      <c r="M63">
        <v>0</v>
      </c>
      <c r="N63">
        <v>0</v>
      </c>
      <c r="O63" t="s">
        <v>1741</v>
      </c>
      <c r="P63">
        <v>0</v>
      </c>
      <c r="Q63">
        <v>0</v>
      </c>
      <c r="R63">
        <v>1</v>
      </c>
      <c r="S63">
        <v>0</v>
      </c>
      <c r="T63">
        <v>0</v>
      </c>
    </row>
    <row r="64" spans="1:20" x14ac:dyDescent="0.25">
      <c r="A64">
        <v>954</v>
      </c>
      <c r="B64">
        <v>3</v>
      </c>
      <c r="C64" t="s">
        <v>1866</v>
      </c>
      <c r="D64">
        <v>0</v>
      </c>
      <c r="E64">
        <v>18</v>
      </c>
      <c r="F64">
        <v>0</v>
      </c>
      <c r="G64">
        <v>0</v>
      </c>
      <c r="H64" t="s">
        <v>1867</v>
      </c>
      <c r="I64">
        <v>7.75</v>
      </c>
      <c r="J64" t="s">
        <v>48</v>
      </c>
      <c r="K64" t="s">
        <v>14</v>
      </c>
      <c r="L64">
        <v>1</v>
      </c>
      <c r="M64">
        <v>0</v>
      </c>
      <c r="N64">
        <v>0</v>
      </c>
      <c r="O64" t="s">
        <v>1741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 x14ac:dyDescent="0.25">
      <c r="A65">
        <v>955</v>
      </c>
      <c r="B65">
        <v>3</v>
      </c>
      <c r="C65" t="s">
        <v>1868</v>
      </c>
      <c r="D65">
        <v>1</v>
      </c>
      <c r="E65">
        <v>22</v>
      </c>
      <c r="F65">
        <v>0</v>
      </c>
      <c r="G65">
        <v>0</v>
      </c>
      <c r="H65" t="s">
        <v>1869</v>
      </c>
      <c r="I65">
        <v>7.7249999999999996</v>
      </c>
      <c r="J65" t="s">
        <v>48</v>
      </c>
      <c r="K65" t="s">
        <v>28</v>
      </c>
      <c r="L65">
        <v>0</v>
      </c>
      <c r="M65">
        <v>0</v>
      </c>
      <c r="N65">
        <v>1</v>
      </c>
      <c r="O65" t="s">
        <v>1739</v>
      </c>
      <c r="P65">
        <v>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>
        <v>956</v>
      </c>
      <c r="B66">
        <v>1</v>
      </c>
      <c r="C66" t="s">
        <v>1870</v>
      </c>
      <c r="D66">
        <v>0</v>
      </c>
      <c r="E66">
        <v>13</v>
      </c>
      <c r="F66">
        <v>2</v>
      </c>
      <c r="G66">
        <v>2</v>
      </c>
      <c r="H66" t="s">
        <v>663</v>
      </c>
      <c r="I66">
        <v>262.375</v>
      </c>
      <c r="J66" t="s">
        <v>664</v>
      </c>
      <c r="K66" t="s">
        <v>18</v>
      </c>
      <c r="L66">
        <v>0</v>
      </c>
      <c r="M66">
        <v>1</v>
      </c>
      <c r="N66">
        <v>0</v>
      </c>
      <c r="O66" t="s">
        <v>1742</v>
      </c>
      <c r="P66">
        <v>0</v>
      </c>
      <c r="Q66">
        <v>0</v>
      </c>
      <c r="R66">
        <v>0</v>
      </c>
      <c r="S66">
        <v>1</v>
      </c>
      <c r="T66">
        <v>0</v>
      </c>
    </row>
    <row r="67" spans="1:20" x14ac:dyDescent="0.25">
      <c r="A67">
        <v>957</v>
      </c>
      <c r="B67">
        <v>2</v>
      </c>
      <c r="C67" t="s">
        <v>1871</v>
      </c>
      <c r="D67">
        <v>1</v>
      </c>
      <c r="E67">
        <v>35.898148148148145</v>
      </c>
      <c r="F67">
        <v>0</v>
      </c>
      <c r="G67">
        <v>0</v>
      </c>
      <c r="H67" t="s">
        <v>1872</v>
      </c>
      <c r="I67">
        <v>21</v>
      </c>
      <c r="J67" t="s">
        <v>48</v>
      </c>
      <c r="K67" t="s">
        <v>14</v>
      </c>
      <c r="L67">
        <v>1</v>
      </c>
      <c r="M67">
        <v>0</v>
      </c>
      <c r="N67">
        <v>0</v>
      </c>
      <c r="O67" t="s">
        <v>1740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x14ac:dyDescent="0.25">
      <c r="A68">
        <v>958</v>
      </c>
      <c r="B68">
        <v>3</v>
      </c>
      <c r="C68" t="s">
        <v>1873</v>
      </c>
      <c r="D68">
        <v>1</v>
      </c>
      <c r="E68">
        <v>18</v>
      </c>
      <c r="F68">
        <v>0</v>
      </c>
      <c r="G68">
        <v>0</v>
      </c>
      <c r="H68" t="s">
        <v>1874</v>
      </c>
      <c r="I68">
        <v>7.8792</v>
      </c>
      <c r="J68" t="s">
        <v>48</v>
      </c>
      <c r="K68" t="s">
        <v>28</v>
      </c>
      <c r="L68">
        <v>0</v>
      </c>
      <c r="M68">
        <v>0</v>
      </c>
      <c r="N68">
        <v>1</v>
      </c>
      <c r="O68" t="s">
        <v>1739</v>
      </c>
      <c r="P68">
        <v>1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>
        <v>959</v>
      </c>
      <c r="B69">
        <v>1</v>
      </c>
      <c r="C69" t="s">
        <v>1875</v>
      </c>
      <c r="D69">
        <v>0</v>
      </c>
      <c r="E69">
        <v>47</v>
      </c>
      <c r="F69">
        <v>0</v>
      </c>
      <c r="G69">
        <v>0</v>
      </c>
      <c r="H69" t="s">
        <v>1217</v>
      </c>
      <c r="I69">
        <v>42.4</v>
      </c>
      <c r="J69" t="s">
        <v>48</v>
      </c>
      <c r="K69" t="s">
        <v>14</v>
      </c>
      <c r="L69">
        <v>1</v>
      </c>
      <c r="M69">
        <v>0</v>
      </c>
      <c r="N69">
        <v>0</v>
      </c>
      <c r="O69" t="s">
        <v>1741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 x14ac:dyDescent="0.25">
      <c r="A70">
        <v>960</v>
      </c>
      <c r="B70">
        <v>1</v>
      </c>
      <c r="C70" t="s">
        <v>1876</v>
      </c>
      <c r="D70">
        <v>0</v>
      </c>
      <c r="E70">
        <v>31</v>
      </c>
      <c r="F70">
        <v>0</v>
      </c>
      <c r="G70">
        <v>0</v>
      </c>
      <c r="H70" t="s">
        <v>1877</v>
      </c>
      <c r="I70">
        <v>28.537500000000001</v>
      </c>
      <c r="J70" t="s">
        <v>1878</v>
      </c>
      <c r="K70" t="s">
        <v>18</v>
      </c>
      <c r="L70">
        <v>0</v>
      </c>
      <c r="M70">
        <v>1</v>
      </c>
      <c r="N70">
        <v>0</v>
      </c>
      <c r="O70" t="s">
        <v>1741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 x14ac:dyDescent="0.25">
      <c r="A71">
        <v>961</v>
      </c>
      <c r="B71">
        <v>1</v>
      </c>
      <c r="C71" t="s">
        <v>1879</v>
      </c>
      <c r="D71">
        <v>1</v>
      </c>
      <c r="E71">
        <v>60</v>
      </c>
      <c r="F71">
        <v>1</v>
      </c>
      <c r="G71">
        <v>4</v>
      </c>
      <c r="H71" t="s">
        <v>77</v>
      </c>
      <c r="I71">
        <v>263</v>
      </c>
      <c r="J71" t="s">
        <v>78</v>
      </c>
      <c r="K71" t="s">
        <v>14</v>
      </c>
      <c r="L71">
        <v>1</v>
      </c>
      <c r="M71">
        <v>0</v>
      </c>
      <c r="N71">
        <v>0</v>
      </c>
      <c r="O71" t="s">
        <v>1740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5">
      <c r="A72">
        <v>962</v>
      </c>
      <c r="B72">
        <v>3</v>
      </c>
      <c r="C72" t="s">
        <v>1880</v>
      </c>
      <c r="D72">
        <v>1</v>
      </c>
      <c r="E72">
        <v>24</v>
      </c>
      <c r="F72">
        <v>0</v>
      </c>
      <c r="G72">
        <v>0</v>
      </c>
      <c r="H72" t="s">
        <v>1881</v>
      </c>
      <c r="I72">
        <v>7.75</v>
      </c>
      <c r="J72" t="s">
        <v>48</v>
      </c>
      <c r="K72" t="s">
        <v>28</v>
      </c>
      <c r="L72">
        <v>0</v>
      </c>
      <c r="M72">
        <v>0</v>
      </c>
      <c r="N72">
        <v>1</v>
      </c>
      <c r="O72" t="s">
        <v>1739</v>
      </c>
      <c r="P72">
        <v>1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>
        <v>963</v>
      </c>
      <c r="B73">
        <v>3</v>
      </c>
      <c r="C73" t="s">
        <v>1882</v>
      </c>
      <c r="D73">
        <v>0</v>
      </c>
      <c r="E73">
        <v>21</v>
      </c>
      <c r="F73">
        <v>0</v>
      </c>
      <c r="G73">
        <v>0</v>
      </c>
      <c r="H73" t="s">
        <v>1883</v>
      </c>
      <c r="I73">
        <v>7.8958000000000004</v>
      </c>
      <c r="J73" t="s">
        <v>48</v>
      </c>
      <c r="K73" t="s">
        <v>14</v>
      </c>
      <c r="L73">
        <v>1</v>
      </c>
      <c r="M73">
        <v>0</v>
      </c>
      <c r="N73">
        <v>0</v>
      </c>
      <c r="O73" t="s">
        <v>1741</v>
      </c>
      <c r="P73">
        <v>0</v>
      </c>
      <c r="Q73">
        <v>0</v>
      </c>
      <c r="R73">
        <v>1</v>
      </c>
      <c r="S73">
        <v>0</v>
      </c>
      <c r="T73">
        <v>0</v>
      </c>
    </row>
    <row r="74" spans="1:20" x14ac:dyDescent="0.25">
      <c r="A74">
        <v>964</v>
      </c>
      <c r="B74">
        <v>3</v>
      </c>
      <c r="C74" t="s">
        <v>1884</v>
      </c>
      <c r="D74">
        <v>1</v>
      </c>
      <c r="E74">
        <v>29</v>
      </c>
      <c r="F74">
        <v>0</v>
      </c>
      <c r="G74">
        <v>0</v>
      </c>
      <c r="H74" t="s">
        <v>1885</v>
      </c>
      <c r="I74">
        <v>7.9249999999999998</v>
      </c>
      <c r="J74" t="s">
        <v>48</v>
      </c>
      <c r="K74" t="s">
        <v>14</v>
      </c>
      <c r="L74">
        <v>1</v>
      </c>
      <c r="M74">
        <v>0</v>
      </c>
      <c r="N74">
        <v>0</v>
      </c>
      <c r="O74" t="s">
        <v>1739</v>
      </c>
      <c r="P74">
        <v>1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>
        <v>965</v>
      </c>
      <c r="B75">
        <v>1</v>
      </c>
      <c r="C75" t="s">
        <v>1886</v>
      </c>
      <c r="D75">
        <v>0</v>
      </c>
      <c r="E75">
        <v>28.5</v>
      </c>
      <c r="F75">
        <v>0</v>
      </c>
      <c r="G75">
        <v>0</v>
      </c>
      <c r="H75" t="s">
        <v>1887</v>
      </c>
      <c r="I75">
        <v>27.720800000000001</v>
      </c>
      <c r="J75" t="s">
        <v>1888</v>
      </c>
      <c r="K75" t="s">
        <v>18</v>
      </c>
      <c r="L75">
        <v>0</v>
      </c>
      <c r="M75">
        <v>1</v>
      </c>
      <c r="N75">
        <v>0</v>
      </c>
      <c r="O75" t="s">
        <v>1741</v>
      </c>
      <c r="P75">
        <v>0</v>
      </c>
      <c r="Q75">
        <v>0</v>
      </c>
      <c r="R75">
        <v>1</v>
      </c>
      <c r="S75">
        <v>0</v>
      </c>
      <c r="T75">
        <v>0</v>
      </c>
    </row>
    <row r="76" spans="1:20" x14ac:dyDescent="0.25">
      <c r="A76">
        <v>966</v>
      </c>
      <c r="B76">
        <v>1</v>
      </c>
      <c r="C76" t="s">
        <v>1889</v>
      </c>
      <c r="D76">
        <v>1</v>
      </c>
      <c r="E76">
        <v>35</v>
      </c>
      <c r="F76">
        <v>0</v>
      </c>
      <c r="G76">
        <v>0</v>
      </c>
      <c r="H76" t="s">
        <v>789</v>
      </c>
      <c r="I76">
        <v>211.5</v>
      </c>
      <c r="J76" t="s">
        <v>1890</v>
      </c>
      <c r="K76" t="s">
        <v>18</v>
      </c>
      <c r="L76">
        <v>0</v>
      </c>
      <c r="M76">
        <v>1</v>
      </c>
      <c r="N76">
        <v>0</v>
      </c>
      <c r="O76" t="s">
        <v>1739</v>
      </c>
      <c r="P76">
        <v>1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>
        <v>967</v>
      </c>
      <c r="B77">
        <v>1</v>
      </c>
      <c r="C77" t="s">
        <v>1891</v>
      </c>
      <c r="D77">
        <v>0</v>
      </c>
      <c r="E77">
        <v>32.5</v>
      </c>
      <c r="F77">
        <v>0</v>
      </c>
      <c r="G77">
        <v>0</v>
      </c>
      <c r="H77" t="s">
        <v>789</v>
      </c>
      <c r="I77">
        <v>211.5</v>
      </c>
      <c r="J77" t="s">
        <v>1892</v>
      </c>
      <c r="K77" t="s">
        <v>18</v>
      </c>
      <c r="L77">
        <v>0</v>
      </c>
      <c r="M77">
        <v>1</v>
      </c>
      <c r="N77">
        <v>0</v>
      </c>
      <c r="O77" t="s">
        <v>1741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 x14ac:dyDescent="0.25">
      <c r="A78">
        <v>968</v>
      </c>
      <c r="B78">
        <v>3</v>
      </c>
      <c r="C78" t="s">
        <v>1893</v>
      </c>
      <c r="D78">
        <v>0</v>
      </c>
      <c r="E78">
        <v>32.180156657963444</v>
      </c>
      <c r="F78">
        <v>0</v>
      </c>
      <c r="G78">
        <v>0</v>
      </c>
      <c r="H78" t="s">
        <v>1894</v>
      </c>
      <c r="I78">
        <v>8.0500000000000007</v>
      </c>
      <c r="J78" t="s">
        <v>48</v>
      </c>
      <c r="K78" t="s">
        <v>14</v>
      </c>
      <c r="L78">
        <v>1</v>
      </c>
      <c r="M78">
        <v>0</v>
      </c>
      <c r="N78">
        <v>0</v>
      </c>
      <c r="O78" t="s">
        <v>1741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 x14ac:dyDescent="0.25">
      <c r="A79">
        <v>969</v>
      </c>
      <c r="B79">
        <v>1</v>
      </c>
      <c r="C79" t="s">
        <v>1895</v>
      </c>
      <c r="D79">
        <v>1</v>
      </c>
      <c r="E79">
        <v>55</v>
      </c>
      <c r="F79">
        <v>2</v>
      </c>
      <c r="G79">
        <v>0</v>
      </c>
      <c r="H79" t="s">
        <v>1896</v>
      </c>
      <c r="I79">
        <v>25.7</v>
      </c>
      <c r="J79" t="s">
        <v>1159</v>
      </c>
      <c r="K79" t="s">
        <v>14</v>
      </c>
      <c r="L79">
        <v>1</v>
      </c>
      <c r="M79">
        <v>0</v>
      </c>
      <c r="N79">
        <v>0</v>
      </c>
      <c r="O79" t="s">
        <v>1740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x14ac:dyDescent="0.25">
      <c r="A80">
        <v>970</v>
      </c>
      <c r="B80">
        <v>2</v>
      </c>
      <c r="C80" t="s">
        <v>1897</v>
      </c>
      <c r="D80">
        <v>0</v>
      </c>
      <c r="E80">
        <v>30</v>
      </c>
      <c r="F80">
        <v>0</v>
      </c>
      <c r="G80">
        <v>0</v>
      </c>
      <c r="H80" t="s">
        <v>1898</v>
      </c>
      <c r="I80">
        <v>13</v>
      </c>
      <c r="J80" t="s">
        <v>48</v>
      </c>
      <c r="K80" t="s">
        <v>14</v>
      </c>
      <c r="L80">
        <v>1</v>
      </c>
      <c r="M80">
        <v>0</v>
      </c>
      <c r="N80">
        <v>0</v>
      </c>
      <c r="O80" t="s">
        <v>1741</v>
      </c>
      <c r="P80">
        <v>0</v>
      </c>
      <c r="Q80">
        <v>0</v>
      </c>
      <c r="R80">
        <v>1</v>
      </c>
      <c r="S80">
        <v>0</v>
      </c>
      <c r="T80">
        <v>0</v>
      </c>
    </row>
    <row r="81" spans="1:20" x14ac:dyDescent="0.25">
      <c r="A81">
        <v>971</v>
      </c>
      <c r="B81">
        <v>3</v>
      </c>
      <c r="C81" t="s">
        <v>1899</v>
      </c>
      <c r="D81">
        <v>1</v>
      </c>
      <c r="E81">
        <v>24</v>
      </c>
      <c r="F81">
        <v>0</v>
      </c>
      <c r="G81">
        <v>0</v>
      </c>
      <c r="H81" t="s">
        <v>1900</v>
      </c>
      <c r="I81">
        <v>7.75</v>
      </c>
      <c r="J81" t="s">
        <v>48</v>
      </c>
      <c r="K81" t="s">
        <v>28</v>
      </c>
      <c r="L81">
        <v>0</v>
      </c>
      <c r="M81">
        <v>0</v>
      </c>
      <c r="N81">
        <v>1</v>
      </c>
      <c r="O81" t="s">
        <v>1739</v>
      </c>
      <c r="P81">
        <v>1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>
        <v>972</v>
      </c>
      <c r="B82">
        <v>3</v>
      </c>
      <c r="C82" t="s">
        <v>1901</v>
      </c>
      <c r="D82">
        <v>0</v>
      </c>
      <c r="E82">
        <v>6</v>
      </c>
      <c r="F82">
        <v>1</v>
      </c>
      <c r="G82">
        <v>1</v>
      </c>
      <c r="H82" t="s">
        <v>313</v>
      </c>
      <c r="I82">
        <v>15.245799999999999</v>
      </c>
      <c r="J82" t="s">
        <v>48</v>
      </c>
      <c r="K82" t="s">
        <v>18</v>
      </c>
      <c r="L82">
        <v>0</v>
      </c>
      <c r="M82">
        <v>1</v>
      </c>
      <c r="N82">
        <v>0</v>
      </c>
      <c r="O82" t="s">
        <v>1742</v>
      </c>
      <c r="P82">
        <v>0</v>
      </c>
      <c r="Q82">
        <v>0</v>
      </c>
      <c r="R82">
        <v>0</v>
      </c>
      <c r="S82">
        <v>1</v>
      </c>
      <c r="T82">
        <v>0</v>
      </c>
    </row>
    <row r="83" spans="1:20" x14ac:dyDescent="0.25">
      <c r="A83">
        <v>973</v>
      </c>
      <c r="B83">
        <v>1</v>
      </c>
      <c r="C83" t="s">
        <v>1902</v>
      </c>
      <c r="D83">
        <v>0</v>
      </c>
      <c r="E83">
        <v>67</v>
      </c>
      <c r="F83">
        <v>1</v>
      </c>
      <c r="G83">
        <v>0</v>
      </c>
      <c r="H83" t="s">
        <v>1076</v>
      </c>
      <c r="I83">
        <v>221.7792</v>
      </c>
      <c r="J83" t="s">
        <v>1903</v>
      </c>
      <c r="K83" t="s">
        <v>14</v>
      </c>
      <c r="L83">
        <v>1</v>
      </c>
      <c r="M83">
        <v>0</v>
      </c>
      <c r="N83">
        <v>0</v>
      </c>
      <c r="O83" t="s">
        <v>1741</v>
      </c>
      <c r="P83">
        <v>0</v>
      </c>
      <c r="Q83">
        <v>0</v>
      </c>
      <c r="R83">
        <v>1</v>
      </c>
      <c r="S83">
        <v>0</v>
      </c>
      <c r="T83">
        <v>0</v>
      </c>
    </row>
    <row r="84" spans="1:20" x14ac:dyDescent="0.25">
      <c r="A84">
        <v>974</v>
      </c>
      <c r="B84">
        <v>1</v>
      </c>
      <c r="C84" t="s">
        <v>1904</v>
      </c>
      <c r="D84">
        <v>0</v>
      </c>
      <c r="E84">
        <v>49</v>
      </c>
      <c r="F84">
        <v>0</v>
      </c>
      <c r="G84">
        <v>0</v>
      </c>
      <c r="H84" t="s">
        <v>1905</v>
      </c>
      <c r="I84">
        <v>26</v>
      </c>
      <c r="J84" t="s">
        <v>48</v>
      </c>
      <c r="K84" t="s">
        <v>14</v>
      </c>
      <c r="L84">
        <v>1</v>
      </c>
      <c r="M84">
        <v>0</v>
      </c>
      <c r="N84">
        <v>0</v>
      </c>
      <c r="O84" t="s">
        <v>1741</v>
      </c>
      <c r="P84">
        <v>0</v>
      </c>
      <c r="Q84">
        <v>0</v>
      </c>
      <c r="R84">
        <v>1</v>
      </c>
      <c r="S84">
        <v>0</v>
      </c>
      <c r="T84">
        <v>0</v>
      </c>
    </row>
    <row r="85" spans="1:20" x14ac:dyDescent="0.25">
      <c r="A85">
        <v>975</v>
      </c>
      <c r="B85">
        <v>3</v>
      </c>
      <c r="C85" t="s">
        <v>1906</v>
      </c>
      <c r="D85">
        <v>0</v>
      </c>
      <c r="E85">
        <v>32.180156657963444</v>
      </c>
      <c r="F85">
        <v>0</v>
      </c>
      <c r="G85">
        <v>0</v>
      </c>
      <c r="H85" t="s">
        <v>1907</v>
      </c>
      <c r="I85">
        <v>7.8958000000000004</v>
      </c>
      <c r="J85" t="s">
        <v>48</v>
      </c>
      <c r="K85" t="s">
        <v>14</v>
      </c>
      <c r="L85">
        <v>1</v>
      </c>
      <c r="M85">
        <v>0</v>
      </c>
      <c r="N85">
        <v>0</v>
      </c>
      <c r="O85" t="s">
        <v>1741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 x14ac:dyDescent="0.25">
      <c r="A86">
        <v>976</v>
      </c>
      <c r="B86">
        <v>2</v>
      </c>
      <c r="C86" t="s">
        <v>1908</v>
      </c>
      <c r="D86">
        <v>0</v>
      </c>
      <c r="E86">
        <v>32.180156657963444</v>
      </c>
      <c r="F86">
        <v>0</v>
      </c>
      <c r="G86">
        <v>0</v>
      </c>
      <c r="H86" t="s">
        <v>1909</v>
      </c>
      <c r="I86">
        <v>10.708299999999999</v>
      </c>
      <c r="J86" t="s">
        <v>48</v>
      </c>
      <c r="K86" t="s">
        <v>28</v>
      </c>
      <c r="L86">
        <v>0</v>
      </c>
      <c r="M86">
        <v>0</v>
      </c>
      <c r="N86">
        <v>1</v>
      </c>
      <c r="O86" t="s">
        <v>1741</v>
      </c>
      <c r="P86">
        <v>0</v>
      </c>
      <c r="Q86">
        <v>0</v>
      </c>
      <c r="R86">
        <v>1</v>
      </c>
      <c r="S86">
        <v>0</v>
      </c>
      <c r="T86">
        <v>0</v>
      </c>
    </row>
    <row r="87" spans="1:20" x14ac:dyDescent="0.25">
      <c r="A87">
        <v>977</v>
      </c>
      <c r="B87">
        <v>3</v>
      </c>
      <c r="C87" t="s">
        <v>1910</v>
      </c>
      <c r="D87">
        <v>0</v>
      </c>
      <c r="E87">
        <v>32.180156657963444</v>
      </c>
      <c r="F87">
        <v>1</v>
      </c>
      <c r="G87">
        <v>0</v>
      </c>
      <c r="H87" t="s">
        <v>1911</v>
      </c>
      <c r="I87">
        <v>14.4542</v>
      </c>
      <c r="J87" t="s">
        <v>48</v>
      </c>
      <c r="K87" t="s">
        <v>18</v>
      </c>
      <c r="L87">
        <v>0</v>
      </c>
      <c r="M87">
        <v>1</v>
      </c>
      <c r="N87">
        <v>0</v>
      </c>
      <c r="O87" t="s">
        <v>1741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 x14ac:dyDescent="0.25">
      <c r="A88">
        <v>978</v>
      </c>
      <c r="B88">
        <v>3</v>
      </c>
      <c r="C88" t="s">
        <v>1912</v>
      </c>
      <c r="D88">
        <v>1</v>
      </c>
      <c r="E88">
        <v>27</v>
      </c>
      <c r="F88">
        <v>0</v>
      </c>
      <c r="G88">
        <v>0</v>
      </c>
      <c r="H88" t="s">
        <v>1913</v>
      </c>
      <c r="I88">
        <v>7.8792</v>
      </c>
      <c r="J88" t="s">
        <v>48</v>
      </c>
      <c r="K88" t="s">
        <v>28</v>
      </c>
      <c r="L88">
        <v>0</v>
      </c>
      <c r="M88">
        <v>0</v>
      </c>
      <c r="N88">
        <v>1</v>
      </c>
      <c r="O88" t="s">
        <v>1739</v>
      </c>
      <c r="P88">
        <v>1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>
        <v>979</v>
      </c>
      <c r="B89">
        <v>3</v>
      </c>
      <c r="C89" t="s">
        <v>1914</v>
      </c>
      <c r="D89">
        <v>1</v>
      </c>
      <c r="E89">
        <v>18</v>
      </c>
      <c r="F89">
        <v>0</v>
      </c>
      <c r="G89">
        <v>0</v>
      </c>
      <c r="H89" t="s">
        <v>1915</v>
      </c>
      <c r="I89">
        <v>8.0500000000000007</v>
      </c>
      <c r="J89" t="s">
        <v>48</v>
      </c>
      <c r="K89" t="s">
        <v>14</v>
      </c>
      <c r="L89">
        <v>1</v>
      </c>
      <c r="M89">
        <v>0</v>
      </c>
      <c r="N89">
        <v>0</v>
      </c>
      <c r="O89" t="s">
        <v>1739</v>
      </c>
      <c r="P89">
        <v>1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>
        <v>980</v>
      </c>
      <c r="B90">
        <v>3</v>
      </c>
      <c r="C90" t="s">
        <v>1916</v>
      </c>
      <c r="D90">
        <v>1</v>
      </c>
      <c r="E90">
        <v>28</v>
      </c>
      <c r="F90">
        <v>0</v>
      </c>
      <c r="G90">
        <v>0</v>
      </c>
      <c r="H90" t="s">
        <v>1917</v>
      </c>
      <c r="I90">
        <v>7.75</v>
      </c>
      <c r="J90" t="s">
        <v>48</v>
      </c>
      <c r="K90" t="s">
        <v>28</v>
      </c>
      <c r="L90">
        <v>0</v>
      </c>
      <c r="M90">
        <v>0</v>
      </c>
      <c r="N90">
        <v>1</v>
      </c>
      <c r="O90" t="s">
        <v>1748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>
        <v>981</v>
      </c>
      <c r="B91">
        <v>2</v>
      </c>
      <c r="C91" t="s">
        <v>1918</v>
      </c>
      <c r="D91">
        <v>0</v>
      </c>
      <c r="E91">
        <v>2</v>
      </c>
      <c r="F91">
        <v>1</v>
      </c>
      <c r="G91">
        <v>1</v>
      </c>
      <c r="H91" t="s">
        <v>1486</v>
      </c>
      <c r="I91">
        <v>23</v>
      </c>
      <c r="J91" t="s">
        <v>48</v>
      </c>
      <c r="K91" t="s">
        <v>14</v>
      </c>
      <c r="L91">
        <v>1</v>
      </c>
      <c r="M91">
        <v>0</v>
      </c>
      <c r="N91">
        <v>0</v>
      </c>
      <c r="O91" t="s">
        <v>1742</v>
      </c>
      <c r="P91">
        <v>0</v>
      </c>
      <c r="Q91">
        <v>0</v>
      </c>
      <c r="R91">
        <v>0</v>
      </c>
      <c r="S91">
        <v>1</v>
      </c>
      <c r="T91">
        <v>0</v>
      </c>
    </row>
    <row r="92" spans="1:20" x14ac:dyDescent="0.25">
      <c r="A92">
        <v>982</v>
      </c>
      <c r="B92">
        <v>3</v>
      </c>
      <c r="C92" t="s">
        <v>1919</v>
      </c>
      <c r="D92">
        <v>1</v>
      </c>
      <c r="E92">
        <v>22</v>
      </c>
      <c r="F92">
        <v>1</v>
      </c>
      <c r="G92">
        <v>0</v>
      </c>
      <c r="H92" t="s">
        <v>1920</v>
      </c>
      <c r="I92">
        <v>13.9</v>
      </c>
      <c r="J92" t="s">
        <v>48</v>
      </c>
      <c r="K92" t="s">
        <v>14</v>
      </c>
      <c r="L92">
        <v>1</v>
      </c>
      <c r="M92">
        <v>0</v>
      </c>
      <c r="N92">
        <v>0</v>
      </c>
      <c r="O92" t="s">
        <v>1740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25">
      <c r="A93">
        <v>983</v>
      </c>
      <c r="B93">
        <v>3</v>
      </c>
      <c r="C93" t="s">
        <v>1921</v>
      </c>
      <c r="D93">
        <v>0</v>
      </c>
      <c r="E93">
        <v>32.180156657963444</v>
      </c>
      <c r="F93">
        <v>0</v>
      </c>
      <c r="G93">
        <v>0</v>
      </c>
      <c r="H93" t="s">
        <v>1922</v>
      </c>
      <c r="I93">
        <v>7.7750000000000004</v>
      </c>
      <c r="J93" t="s">
        <v>48</v>
      </c>
      <c r="K93" t="s">
        <v>14</v>
      </c>
      <c r="L93">
        <v>1</v>
      </c>
      <c r="M93">
        <v>0</v>
      </c>
      <c r="N93">
        <v>0</v>
      </c>
      <c r="O93" t="s">
        <v>1741</v>
      </c>
      <c r="P93">
        <v>0</v>
      </c>
      <c r="Q93">
        <v>0</v>
      </c>
      <c r="R93">
        <v>1</v>
      </c>
      <c r="S93">
        <v>0</v>
      </c>
      <c r="T93">
        <v>0</v>
      </c>
    </row>
    <row r="94" spans="1:20" x14ac:dyDescent="0.25">
      <c r="A94">
        <v>984</v>
      </c>
      <c r="B94">
        <v>1</v>
      </c>
      <c r="C94" t="s">
        <v>1923</v>
      </c>
      <c r="D94">
        <v>1</v>
      </c>
      <c r="E94">
        <v>27</v>
      </c>
      <c r="F94">
        <v>1</v>
      </c>
      <c r="G94">
        <v>2</v>
      </c>
      <c r="H94" t="s">
        <v>1340</v>
      </c>
      <c r="I94">
        <v>52</v>
      </c>
      <c r="J94" t="s">
        <v>1341</v>
      </c>
      <c r="K94" t="s">
        <v>14</v>
      </c>
      <c r="L94">
        <v>1</v>
      </c>
      <c r="M94">
        <v>0</v>
      </c>
      <c r="N94">
        <v>0</v>
      </c>
      <c r="O94" t="s">
        <v>1740</v>
      </c>
      <c r="P94">
        <v>0</v>
      </c>
      <c r="Q94">
        <v>1</v>
      </c>
      <c r="R94">
        <v>0</v>
      </c>
      <c r="S94">
        <v>0</v>
      </c>
      <c r="T94">
        <v>0</v>
      </c>
    </row>
    <row r="95" spans="1:20" x14ac:dyDescent="0.25">
      <c r="A95">
        <v>985</v>
      </c>
      <c r="B95">
        <v>3</v>
      </c>
      <c r="C95" t="s">
        <v>1924</v>
      </c>
      <c r="D95">
        <v>0</v>
      </c>
      <c r="E95">
        <v>32.180156657963444</v>
      </c>
      <c r="F95">
        <v>0</v>
      </c>
      <c r="G95">
        <v>0</v>
      </c>
      <c r="H95" t="s">
        <v>1925</v>
      </c>
      <c r="I95">
        <v>8.0500000000000007</v>
      </c>
      <c r="J95" t="s">
        <v>48</v>
      </c>
      <c r="K95" t="s">
        <v>14</v>
      </c>
      <c r="L95">
        <v>1</v>
      </c>
      <c r="M95">
        <v>0</v>
      </c>
      <c r="N95">
        <v>0</v>
      </c>
      <c r="O95" t="s">
        <v>1741</v>
      </c>
      <c r="P95">
        <v>0</v>
      </c>
      <c r="Q95">
        <v>0</v>
      </c>
      <c r="R95">
        <v>1</v>
      </c>
      <c r="S95">
        <v>0</v>
      </c>
      <c r="T95">
        <v>0</v>
      </c>
    </row>
    <row r="96" spans="1:20" x14ac:dyDescent="0.25">
      <c r="A96">
        <v>986</v>
      </c>
      <c r="B96">
        <v>1</v>
      </c>
      <c r="C96" t="s">
        <v>1926</v>
      </c>
      <c r="D96">
        <v>0</v>
      </c>
      <c r="E96">
        <v>25</v>
      </c>
      <c r="F96">
        <v>0</v>
      </c>
      <c r="G96">
        <v>0</v>
      </c>
      <c r="H96" t="s">
        <v>1927</v>
      </c>
      <c r="I96">
        <v>26</v>
      </c>
      <c r="J96" t="s">
        <v>48</v>
      </c>
      <c r="K96" t="s">
        <v>18</v>
      </c>
      <c r="L96">
        <v>0</v>
      </c>
      <c r="M96">
        <v>1</v>
      </c>
      <c r="N96">
        <v>0</v>
      </c>
      <c r="O96" t="s">
        <v>1741</v>
      </c>
      <c r="P96">
        <v>0</v>
      </c>
      <c r="Q96">
        <v>0</v>
      </c>
      <c r="R96">
        <v>1</v>
      </c>
      <c r="S96">
        <v>0</v>
      </c>
      <c r="T96">
        <v>0</v>
      </c>
    </row>
    <row r="97" spans="1:20" x14ac:dyDescent="0.25">
      <c r="A97">
        <v>987</v>
      </c>
      <c r="B97">
        <v>3</v>
      </c>
      <c r="C97" t="s">
        <v>1928</v>
      </c>
      <c r="D97">
        <v>0</v>
      </c>
      <c r="E97">
        <v>25</v>
      </c>
      <c r="F97">
        <v>0</v>
      </c>
      <c r="G97">
        <v>0</v>
      </c>
      <c r="H97" t="s">
        <v>1929</v>
      </c>
      <c r="I97">
        <v>7.7957999999999998</v>
      </c>
      <c r="J97" t="s">
        <v>48</v>
      </c>
      <c r="K97" t="s">
        <v>14</v>
      </c>
      <c r="L97">
        <v>1</v>
      </c>
      <c r="M97">
        <v>0</v>
      </c>
      <c r="N97">
        <v>0</v>
      </c>
      <c r="O97" t="s">
        <v>1741</v>
      </c>
      <c r="P97">
        <v>0</v>
      </c>
      <c r="Q97">
        <v>0</v>
      </c>
      <c r="R97">
        <v>1</v>
      </c>
      <c r="S97">
        <v>0</v>
      </c>
      <c r="T97">
        <v>0</v>
      </c>
    </row>
    <row r="98" spans="1:20" x14ac:dyDescent="0.25">
      <c r="A98">
        <v>988</v>
      </c>
      <c r="B98">
        <v>1</v>
      </c>
      <c r="C98" t="s">
        <v>1930</v>
      </c>
      <c r="D98">
        <v>1</v>
      </c>
      <c r="E98">
        <v>76</v>
      </c>
      <c r="F98">
        <v>1</v>
      </c>
      <c r="G98">
        <v>0</v>
      </c>
      <c r="H98" t="s">
        <v>617</v>
      </c>
      <c r="I98">
        <v>78.849999999999994</v>
      </c>
      <c r="J98" t="s">
        <v>1470</v>
      </c>
      <c r="K98" t="s">
        <v>14</v>
      </c>
      <c r="L98">
        <v>1</v>
      </c>
      <c r="M98">
        <v>0</v>
      </c>
      <c r="N98">
        <v>0</v>
      </c>
      <c r="O98" t="s">
        <v>1740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 x14ac:dyDescent="0.25">
      <c r="A99">
        <v>989</v>
      </c>
      <c r="B99">
        <v>3</v>
      </c>
      <c r="C99" t="s">
        <v>1931</v>
      </c>
      <c r="D99">
        <v>0</v>
      </c>
      <c r="E99">
        <v>29</v>
      </c>
      <c r="F99">
        <v>0</v>
      </c>
      <c r="G99">
        <v>0</v>
      </c>
      <c r="H99" t="s">
        <v>1932</v>
      </c>
      <c r="I99">
        <v>7.9249999999999998</v>
      </c>
      <c r="J99" t="s">
        <v>48</v>
      </c>
      <c r="K99" t="s">
        <v>14</v>
      </c>
      <c r="L99">
        <v>1</v>
      </c>
      <c r="M99">
        <v>0</v>
      </c>
      <c r="N99">
        <v>0</v>
      </c>
      <c r="O99" t="s">
        <v>1741</v>
      </c>
      <c r="P99">
        <v>0</v>
      </c>
      <c r="Q99">
        <v>0</v>
      </c>
      <c r="R99">
        <v>1</v>
      </c>
      <c r="S99">
        <v>0</v>
      </c>
      <c r="T99">
        <v>0</v>
      </c>
    </row>
    <row r="100" spans="1:20" x14ac:dyDescent="0.25">
      <c r="A100">
        <v>990</v>
      </c>
      <c r="B100">
        <v>3</v>
      </c>
      <c r="C100" t="s">
        <v>1933</v>
      </c>
      <c r="D100">
        <v>1</v>
      </c>
      <c r="E100">
        <v>20</v>
      </c>
      <c r="F100">
        <v>0</v>
      </c>
      <c r="G100">
        <v>0</v>
      </c>
      <c r="H100" t="s">
        <v>1934</v>
      </c>
      <c r="I100">
        <v>7.8541999999999996</v>
      </c>
      <c r="J100" t="s">
        <v>48</v>
      </c>
      <c r="K100" t="s">
        <v>14</v>
      </c>
      <c r="L100">
        <v>1</v>
      </c>
      <c r="M100">
        <v>0</v>
      </c>
      <c r="N100">
        <v>0</v>
      </c>
      <c r="O100" t="s">
        <v>1739</v>
      </c>
      <c r="P100">
        <v>1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>
        <v>991</v>
      </c>
      <c r="B101">
        <v>3</v>
      </c>
      <c r="C101" t="s">
        <v>1935</v>
      </c>
      <c r="D101">
        <v>0</v>
      </c>
      <c r="E101">
        <v>33</v>
      </c>
      <c r="F101">
        <v>0</v>
      </c>
      <c r="G101">
        <v>0</v>
      </c>
      <c r="H101" t="s">
        <v>1936</v>
      </c>
      <c r="I101">
        <v>8.0500000000000007</v>
      </c>
      <c r="J101" t="s">
        <v>48</v>
      </c>
      <c r="K101" t="s">
        <v>14</v>
      </c>
      <c r="L101">
        <v>1</v>
      </c>
      <c r="M101">
        <v>0</v>
      </c>
      <c r="N101">
        <v>0</v>
      </c>
      <c r="O101" t="s">
        <v>1741</v>
      </c>
      <c r="P101">
        <v>0</v>
      </c>
      <c r="Q101">
        <v>0</v>
      </c>
      <c r="R101">
        <v>1</v>
      </c>
      <c r="S101">
        <v>0</v>
      </c>
      <c r="T101">
        <v>0</v>
      </c>
    </row>
    <row r="102" spans="1:20" x14ac:dyDescent="0.25">
      <c r="A102">
        <v>992</v>
      </c>
      <c r="B102">
        <v>1</v>
      </c>
      <c r="C102" t="s">
        <v>1937</v>
      </c>
      <c r="D102">
        <v>1</v>
      </c>
      <c r="E102">
        <v>43</v>
      </c>
      <c r="F102">
        <v>1</v>
      </c>
      <c r="G102">
        <v>0</v>
      </c>
      <c r="H102" t="s">
        <v>1938</v>
      </c>
      <c r="I102">
        <v>55.441699999999997</v>
      </c>
      <c r="J102" t="s">
        <v>1939</v>
      </c>
      <c r="K102" t="s">
        <v>18</v>
      </c>
      <c r="L102">
        <v>0</v>
      </c>
      <c r="M102">
        <v>1</v>
      </c>
      <c r="N102">
        <v>0</v>
      </c>
      <c r="O102" t="s">
        <v>1740</v>
      </c>
      <c r="P102">
        <v>0</v>
      </c>
      <c r="Q102">
        <v>1</v>
      </c>
      <c r="R102">
        <v>0</v>
      </c>
      <c r="S102">
        <v>0</v>
      </c>
      <c r="T102">
        <v>0</v>
      </c>
    </row>
    <row r="103" spans="1:20" x14ac:dyDescent="0.25">
      <c r="A103">
        <v>993</v>
      </c>
      <c r="B103">
        <v>2</v>
      </c>
      <c r="C103" t="s">
        <v>1940</v>
      </c>
      <c r="D103">
        <v>0</v>
      </c>
      <c r="E103">
        <v>27</v>
      </c>
      <c r="F103">
        <v>1</v>
      </c>
      <c r="G103">
        <v>0</v>
      </c>
      <c r="H103" t="s">
        <v>298</v>
      </c>
      <c r="I103">
        <v>26</v>
      </c>
      <c r="J103" t="s">
        <v>48</v>
      </c>
      <c r="K103" t="s">
        <v>14</v>
      </c>
      <c r="L103">
        <v>1</v>
      </c>
      <c r="M103">
        <v>0</v>
      </c>
      <c r="N103">
        <v>0</v>
      </c>
      <c r="O103" t="s">
        <v>1741</v>
      </c>
      <c r="P103">
        <v>0</v>
      </c>
      <c r="Q103">
        <v>0</v>
      </c>
      <c r="R103">
        <v>1</v>
      </c>
      <c r="S103">
        <v>0</v>
      </c>
      <c r="T103">
        <v>0</v>
      </c>
    </row>
    <row r="104" spans="1:20" x14ac:dyDescent="0.25">
      <c r="A104">
        <v>994</v>
      </c>
      <c r="B104">
        <v>3</v>
      </c>
      <c r="C104" t="s">
        <v>1941</v>
      </c>
      <c r="D104">
        <v>0</v>
      </c>
      <c r="E104">
        <v>32.180156657963444</v>
      </c>
      <c r="F104">
        <v>0</v>
      </c>
      <c r="G104">
        <v>0</v>
      </c>
      <c r="H104" t="s">
        <v>1942</v>
      </c>
      <c r="I104">
        <v>7.75</v>
      </c>
      <c r="J104" t="s">
        <v>48</v>
      </c>
      <c r="K104" t="s">
        <v>28</v>
      </c>
      <c r="L104">
        <v>0</v>
      </c>
      <c r="M104">
        <v>0</v>
      </c>
      <c r="N104">
        <v>1</v>
      </c>
      <c r="O104" t="s">
        <v>1741</v>
      </c>
      <c r="P104">
        <v>0</v>
      </c>
      <c r="Q104">
        <v>0</v>
      </c>
      <c r="R104">
        <v>1</v>
      </c>
      <c r="S104">
        <v>0</v>
      </c>
      <c r="T104">
        <v>0</v>
      </c>
    </row>
    <row r="105" spans="1:20" x14ac:dyDescent="0.25">
      <c r="A105">
        <v>995</v>
      </c>
      <c r="B105">
        <v>3</v>
      </c>
      <c r="C105" t="s">
        <v>1943</v>
      </c>
      <c r="D105">
        <v>0</v>
      </c>
      <c r="E105">
        <v>26</v>
      </c>
      <c r="F105">
        <v>0</v>
      </c>
      <c r="G105">
        <v>0</v>
      </c>
      <c r="H105" t="s">
        <v>1944</v>
      </c>
      <c r="I105">
        <v>7.7750000000000004</v>
      </c>
      <c r="J105" t="s">
        <v>48</v>
      </c>
      <c r="K105" t="s">
        <v>14</v>
      </c>
      <c r="L105">
        <v>1</v>
      </c>
      <c r="M105">
        <v>0</v>
      </c>
      <c r="N105">
        <v>0</v>
      </c>
      <c r="O105" t="s">
        <v>1741</v>
      </c>
      <c r="P105">
        <v>0</v>
      </c>
      <c r="Q105">
        <v>0</v>
      </c>
      <c r="R105">
        <v>1</v>
      </c>
      <c r="S105">
        <v>0</v>
      </c>
      <c r="T105">
        <v>0</v>
      </c>
    </row>
    <row r="106" spans="1:20" x14ac:dyDescent="0.25">
      <c r="A106">
        <v>996</v>
      </c>
      <c r="B106">
        <v>3</v>
      </c>
      <c r="C106" t="s">
        <v>1945</v>
      </c>
      <c r="D106">
        <v>1</v>
      </c>
      <c r="E106">
        <v>16</v>
      </c>
      <c r="F106">
        <v>1</v>
      </c>
      <c r="G106">
        <v>1</v>
      </c>
      <c r="H106" t="s">
        <v>1581</v>
      </c>
      <c r="I106">
        <v>8.5167000000000002</v>
      </c>
      <c r="J106" t="s">
        <v>48</v>
      </c>
      <c r="K106" t="s">
        <v>18</v>
      </c>
      <c r="L106">
        <v>0</v>
      </c>
      <c r="M106">
        <v>1</v>
      </c>
      <c r="N106">
        <v>0</v>
      </c>
      <c r="O106" t="s">
        <v>1740</v>
      </c>
      <c r="P106">
        <v>0</v>
      </c>
      <c r="Q106">
        <v>1</v>
      </c>
      <c r="R106">
        <v>0</v>
      </c>
      <c r="S106">
        <v>0</v>
      </c>
      <c r="T106">
        <v>0</v>
      </c>
    </row>
    <row r="107" spans="1:20" x14ac:dyDescent="0.25">
      <c r="A107">
        <v>997</v>
      </c>
      <c r="B107">
        <v>3</v>
      </c>
      <c r="C107" t="s">
        <v>1946</v>
      </c>
      <c r="D107">
        <v>0</v>
      </c>
      <c r="E107">
        <v>28</v>
      </c>
      <c r="F107">
        <v>0</v>
      </c>
      <c r="G107">
        <v>0</v>
      </c>
      <c r="H107" t="s">
        <v>1038</v>
      </c>
      <c r="I107">
        <v>22.524999999999999</v>
      </c>
      <c r="J107" t="s">
        <v>48</v>
      </c>
      <c r="K107" t="s">
        <v>14</v>
      </c>
      <c r="L107">
        <v>1</v>
      </c>
      <c r="M107">
        <v>0</v>
      </c>
      <c r="N107">
        <v>0</v>
      </c>
      <c r="O107" t="s">
        <v>1741</v>
      </c>
      <c r="P107">
        <v>0</v>
      </c>
      <c r="Q107">
        <v>0</v>
      </c>
      <c r="R107">
        <v>1</v>
      </c>
      <c r="S107">
        <v>0</v>
      </c>
      <c r="T107">
        <v>0</v>
      </c>
    </row>
    <row r="108" spans="1:20" x14ac:dyDescent="0.25">
      <c r="A108">
        <v>998</v>
      </c>
      <c r="B108">
        <v>3</v>
      </c>
      <c r="C108" t="s">
        <v>1947</v>
      </c>
      <c r="D108">
        <v>0</v>
      </c>
      <c r="E108">
        <v>21</v>
      </c>
      <c r="F108">
        <v>0</v>
      </c>
      <c r="G108">
        <v>0</v>
      </c>
      <c r="H108" t="s">
        <v>1948</v>
      </c>
      <c r="I108">
        <v>7.8208000000000002</v>
      </c>
      <c r="J108" t="s">
        <v>48</v>
      </c>
      <c r="K108" t="s">
        <v>28</v>
      </c>
      <c r="L108">
        <v>0</v>
      </c>
      <c r="M108">
        <v>0</v>
      </c>
      <c r="N108">
        <v>1</v>
      </c>
      <c r="O108" t="s">
        <v>1741</v>
      </c>
      <c r="P108">
        <v>0</v>
      </c>
      <c r="Q108">
        <v>0</v>
      </c>
      <c r="R108">
        <v>1</v>
      </c>
      <c r="S108">
        <v>0</v>
      </c>
      <c r="T108">
        <v>0</v>
      </c>
    </row>
    <row r="109" spans="1:20" x14ac:dyDescent="0.25">
      <c r="A109">
        <v>999</v>
      </c>
      <c r="B109">
        <v>3</v>
      </c>
      <c r="C109" t="s">
        <v>1949</v>
      </c>
      <c r="D109">
        <v>0</v>
      </c>
      <c r="E109">
        <v>32.180156657963444</v>
      </c>
      <c r="F109">
        <v>0</v>
      </c>
      <c r="G109">
        <v>0</v>
      </c>
      <c r="H109" t="s">
        <v>1950</v>
      </c>
      <c r="I109">
        <v>7.75</v>
      </c>
      <c r="J109" t="s">
        <v>48</v>
      </c>
      <c r="K109" t="s">
        <v>28</v>
      </c>
      <c r="L109">
        <v>0</v>
      </c>
      <c r="M109">
        <v>0</v>
      </c>
      <c r="N109">
        <v>1</v>
      </c>
      <c r="O109" t="s">
        <v>1741</v>
      </c>
      <c r="P109">
        <v>0</v>
      </c>
      <c r="Q109">
        <v>0</v>
      </c>
      <c r="R109">
        <v>1</v>
      </c>
      <c r="S109">
        <v>0</v>
      </c>
      <c r="T109">
        <v>0</v>
      </c>
    </row>
    <row r="110" spans="1:20" x14ac:dyDescent="0.25">
      <c r="A110">
        <v>1000</v>
      </c>
      <c r="B110">
        <v>3</v>
      </c>
      <c r="C110" t="s">
        <v>1951</v>
      </c>
      <c r="D110">
        <v>0</v>
      </c>
      <c r="E110">
        <v>32.180156657963444</v>
      </c>
      <c r="F110">
        <v>0</v>
      </c>
      <c r="G110">
        <v>0</v>
      </c>
      <c r="H110" t="s">
        <v>1952</v>
      </c>
      <c r="I110">
        <v>8.7125000000000004</v>
      </c>
      <c r="J110" t="s">
        <v>48</v>
      </c>
      <c r="K110" t="s">
        <v>14</v>
      </c>
      <c r="L110">
        <v>1</v>
      </c>
      <c r="M110">
        <v>0</v>
      </c>
      <c r="N110">
        <v>0</v>
      </c>
      <c r="O110" t="s">
        <v>1741</v>
      </c>
      <c r="P110">
        <v>0</v>
      </c>
      <c r="Q110">
        <v>0</v>
      </c>
      <c r="R110">
        <v>1</v>
      </c>
      <c r="S110">
        <v>0</v>
      </c>
      <c r="T110">
        <v>0</v>
      </c>
    </row>
    <row r="111" spans="1:20" x14ac:dyDescent="0.25">
      <c r="A111">
        <v>1001</v>
      </c>
      <c r="B111">
        <v>2</v>
      </c>
      <c r="C111" t="s">
        <v>1953</v>
      </c>
      <c r="D111">
        <v>0</v>
      </c>
      <c r="E111">
        <v>18.5</v>
      </c>
      <c r="F111">
        <v>0</v>
      </c>
      <c r="G111">
        <v>0</v>
      </c>
      <c r="H111" t="s">
        <v>1954</v>
      </c>
      <c r="I111">
        <v>13</v>
      </c>
      <c r="J111" t="s">
        <v>1955</v>
      </c>
      <c r="K111" t="s">
        <v>14</v>
      </c>
      <c r="L111">
        <v>1</v>
      </c>
      <c r="M111">
        <v>0</v>
      </c>
      <c r="N111">
        <v>0</v>
      </c>
      <c r="O111" t="s">
        <v>1741</v>
      </c>
      <c r="P111">
        <v>0</v>
      </c>
      <c r="Q111">
        <v>0</v>
      </c>
      <c r="R111">
        <v>1</v>
      </c>
      <c r="S111">
        <v>0</v>
      </c>
      <c r="T111">
        <v>0</v>
      </c>
    </row>
    <row r="112" spans="1:20" x14ac:dyDescent="0.25">
      <c r="A112">
        <v>1002</v>
      </c>
      <c r="B112">
        <v>2</v>
      </c>
      <c r="C112" t="s">
        <v>1956</v>
      </c>
      <c r="D112">
        <v>0</v>
      </c>
      <c r="E112">
        <v>41</v>
      </c>
      <c r="F112">
        <v>0</v>
      </c>
      <c r="G112">
        <v>0</v>
      </c>
      <c r="H112" t="s">
        <v>1957</v>
      </c>
      <c r="I112">
        <v>15.0458</v>
      </c>
      <c r="J112" t="s">
        <v>48</v>
      </c>
      <c r="K112" t="s">
        <v>18</v>
      </c>
      <c r="L112">
        <v>0</v>
      </c>
      <c r="M112">
        <v>1</v>
      </c>
      <c r="N112">
        <v>0</v>
      </c>
      <c r="O112" t="s">
        <v>1741</v>
      </c>
      <c r="P112">
        <v>0</v>
      </c>
      <c r="Q112">
        <v>0</v>
      </c>
      <c r="R112">
        <v>1</v>
      </c>
      <c r="S112">
        <v>0</v>
      </c>
      <c r="T112">
        <v>0</v>
      </c>
    </row>
    <row r="113" spans="1:20" x14ac:dyDescent="0.25">
      <c r="A113">
        <v>1003</v>
      </c>
      <c r="B113">
        <v>3</v>
      </c>
      <c r="C113" t="s">
        <v>1958</v>
      </c>
      <c r="D113">
        <v>1</v>
      </c>
      <c r="E113">
        <v>21.98581560283688</v>
      </c>
      <c r="F113">
        <v>0</v>
      </c>
      <c r="G113">
        <v>0</v>
      </c>
      <c r="H113" t="s">
        <v>1959</v>
      </c>
      <c r="I113">
        <v>7.7792000000000003</v>
      </c>
      <c r="J113" t="s">
        <v>48</v>
      </c>
      <c r="K113" t="s">
        <v>28</v>
      </c>
      <c r="L113">
        <v>0</v>
      </c>
      <c r="M113">
        <v>0</v>
      </c>
      <c r="N113">
        <v>1</v>
      </c>
      <c r="O113" t="s">
        <v>1739</v>
      </c>
      <c r="P113">
        <v>1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>
        <v>1004</v>
      </c>
      <c r="B114">
        <v>1</v>
      </c>
      <c r="C114" t="s">
        <v>1960</v>
      </c>
      <c r="D114">
        <v>1</v>
      </c>
      <c r="E114">
        <v>36</v>
      </c>
      <c r="F114">
        <v>0</v>
      </c>
      <c r="G114">
        <v>0</v>
      </c>
      <c r="H114" t="s">
        <v>1961</v>
      </c>
      <c r="I114">
        <v>31.679200000000002</v>
      </c>
      <c r="J114" t="s">
        <v>1962</v>
      </c>
      <c r="K114" t="s">
        <v>18</v>
      </c>
      <c r="L114">
        <v>0</v>
      </c>
      <c r="M114">
        <v>1</v>
      </c>
      <c r="N114">
        <v>0</v>
      </c>
      <c r="O114" t="s">
        <v>1739</v>
      </c>
      <c r="P114">
        <v>1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>
        <v>1005</v>
      </c>
      <c r="B115">
        <v>3</v>
      </c>
      <c r="C115" t="s">
        <v>1963</v>
      </c>
      <c r="D115">
        <v>1</v>
      </c>
      <c r="E115">
        <v>18.5</v>
      </c>
      <c r="F115">
        <v>0</v>
      </c>
      <c r="G115">
        <v>0</v>
      </c>
      <c r="H115" t="s">
        <v>1964</v>
      </c>
      <c r="I115">
        <v>7.2832999999999997</v>
      </c>
      <c r="J115" t="s">
        <v>48</v>
      </c>
      <c r="K115" t="s">
        <v>28</v>
      </c>
      <c r="L115">
        <v>0</v>
      </c>
      <c r="M115">
        <v>0</v>
      </c>
      <c r="N115">
        <v>1</v>
      </c>
      <c r="O115" t="s">
        <v>1739</v>
      </c>
      <c r="P115">
        <v>1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>
        <v>1006</v>
      </c>
      <c r="B116">
        <v>1</v>
      </c>
      <c r="C116" t="s">
        <v>1965</v>
      </c>
      <c r="D116">
        <v>1</v>
      </c>
      <c r="E116">
        <v>63</v>
      </c>
      <c r="F116">
        <v>1</v>
      </c>
      <c r="G116">
        <v>0</v>
      </c>
      <c r="H116" t="s">
        <v>1076</v>
      </c>
      <c r="I116">
        <v>221.7792</v>
      </c>
      <c r="J116" t="s">
        <v>1903</v>
      </c>
      <c r="K116" t="s">
        <v>14</v>
      </c>
      <c r="L116">
        <v>1</v>
      </c>
      <c r="M116">
        <v>0</v>
      </c>
      <c r="N116">
        <v>0</v>
      </c>
      <c r="O116" t="s">
        <v>1740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1:20" x14ac:dyDescent="0.25">
      <c r="A117">
        <v>1007</v>
      </c>
      <c r="B117">
        <v>3</v>
      </c>
      <c r="C117" t="s">
        <v>1966</v>
      </c>
      <c r="D117">
        <v>0</v>
      </c>
      <c r="E117">
        <v>18</v>
      </c>
      <c r="F117">
        <v>1</v>
      </c>
      <c r="G117">
        <v>0</v>
      </c>
      <c r="H117" t="s">
        <v>176</v>
      </c>
      <c r="I117">
        <v>14.4542</v>
      </c>
      <c r="J117" t="s">
        <v>48</v>
      </c>
      <c r="K117" t="s">
        <v>18</v>
      </c>
      <c r="L117">
        <v>0</v>
      </c>
      <c r="M117">
        <v>1</v>
      </c>
      <c r="N117">
        <v>0</v>
      </c>
      <c r="O117" t="s">
        <v>1741</v>
      </c>
      <c r="P117">
        <v>0</v>
      </c>
      <c r="Q117">
        <v>0</v>
      </c>
      <c r="R117">
        <v>1</v>
      </c>
      <c r="S117">
        <v>0</v>
      </c>
      <c r="T117">
        <v>0</v>
      </c>
    </row>
    <row r="118" spans="1:20" x14ac:dyDescent="0.25">
      <c r="A118">
        <v>1008</v>
      </c>
      <c r="B118">
        <v>3</v>
      </c>
      <c r="C118" t="s">
        <v>1967</v>
      </c>
      <c r="D118">
        <v>0</v>
      </c>
      <c r="E118">
        <v>32.180156657963444</v>
      </c>
      <c r="F118">
        <v>0</v>
      </c>
      <c r="G118">
        <v>0</v>
      </c>
      <c r="H118" t="s">
        <v>1968</v>
      </c>
      <c r="I118">
        <v>6.4375</v>
      </c>
      <c r="J118" t="s">
        <v>48</v>
      </c>
      <c r="K118" t="s">
        <v>18</v>
      </c>
      <c r="L118">
        <v>0</v>
      </c>
      <c r="M118">
        <v>1</v>
      </c>
      <c r="N118">
        <v>0</v>
      </c>
      <c r="O118" t="s">
        <v>1741</v>
      </c>
      <c r="P118">
        <v>0</v>
      </c>
      <c r="Q118">
        <v>0</v>
      </c>
      <c r="R118">
        <v>1</v>
      </c>
      <c r="S118">
        <v>0</v>
      </c>
      <c r="T118">
        <v>0</v>
      </c>
    </row>
    <row r="119" spans="1:20" x14ac:dyDescent="0.25">
      <c r="A119">
        <v>1009</v>
      </c>
      <c r="B119">
        <v>3</v>
      </c>
      <c r="C119" t="s">
        <v>1969</v>
      </c>
      <c r="D119">
        <v>1</v>
      </c>
      <c r="E119">
        <v>1</v>
      </c>
      <c r="F119">
        <v>1</v>
      </c>
      <c r="G119">
        <v>1</v>
      </c>
      <c r="H119" t="s">
        <v>39</v>
      </c>
      <c r="I119">
        <v>16.7</v>
      </c>
      <c r="J119" t="s">
        <v>40</v>
      </c>
      <c r="K119" t="s">
        <v>14</v>
      </c>
      <c r="L119">
        <v>1</v>
      </c>
      <c r="M119">
        <v>0</v>
      </c>
      <c r="N119">
        <v>0</v>
      </c>
      <c r="O119" t="s">
        <v>1739</v>
      </c>
      <c r="P119">
        <v>1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>
        <v>1010</v>
      </c>
      <c r="B120">
        <v>1</v>
      </c>
      <c r="C120" t="s">
        <v>1970</v>
      </c>
      <c r="D120">
        <v>0</v>
      </c>
      <c r="E120">
        <v>36</v>
      </c>
      <c r="F120">
        <v>0</v>
      </c>
      <c r="G120">
        <v>0</v>
      </c>
      <c r="H120" t="s">
        <v>1971</v>
      </c>
      <c r="I120">
        <v>75.241699999999994</v>
      </c>
      <c r="J120" t="s">
        <v>1972</v>
      </c>
      <c r="K120" t="s">
        <v>18</v>
      </c>
      <c r="L120">
        <v>0</v>
      </c>
      <c r="M120">
        <v>1</v>
      </c>
      <c r="N120">
        <v>0</v>
      </c>
      <c r="O120" t="s">
        <v>1741</v>
      </c>
      <c r="P120">
        <v>0</v>
      </c>
      <c r="Q120">
        <v>0</v>
      </c>
      <c r="R120">
        <v>1</v>
      </c>
      <c r="S120">
        <v>0</v>
      </c>
      <c r="T120">
        <v>0</v>
      </c>
    </row>
    <row r="121" spans="1:20" x14ac:dyDescent="0.25">
      <c r="A121">
        <v>1011</v>
      </c>
      <c r="B121">
        <v>2</v>
      </c>
      <c r="C121" t="s">
        <v>1973</v>
      </c>
      <c r="D121">
        <v>1</v>
      </c>
      <c r="E121">
        <v>29</v>
      </c>
      <c r="F121">
        <v>1</v>
      </c>
      <c r="G121">
        <v>0</v>
      </c>
      <c r="H121" t="s">
        <v>1204</v>
      </c>
      <c r="I121">
        <v>26</v>
      </c>
      <c r="J121" t="s">
        <v>48</v>
      </c>
      <c r="K121" t="s">
        <v>14</v>
      </c>
      <c r="L121">
        <v>1</v>
      </c>
      <c r="M121">
        <v>0</v>
      </c>
      <c r="N121">
        <v>0</v>
      </c>
      <c r="O121" t="s">
        <v>1740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 x14ac:dyDescent="0.25">
      <c r="A122">
        <v>1012</v>
      </c>
      <c r="B122">
        <v>2</v>
      </c>
      <c r="C122" t="s">
        <v>1974</v>
      </c>
      <c r="D122">
        <v>1</v>
      </c>
      <c r="E122">
        <v>12</v>
      </c>
      <c r="F122">
        <v>0</v>
      </c>
      <c r="G122">
        <v>0</v>
      </c>
      <c r="H122" t="s">
        <v>356</v>
      </c>
      <c r="I122">
        <v>15.75</v>
      </c>
      <c r="J122" t="s">
        <v>48</v>
      </c>
      <c r="K122" t="s">
        <v>14</v>
      </c>
      <c r="L122">
        <v>1</v>
      </c>
      <c r="M122">
        <v>0</v>
      </c>
      <c r="N122">
        <v>0</v>
      </c>
      <c r="O122" t="s">
        <v>1739</v>
      </c>
      <c r="P122">
        <v>1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>
        <v>1013</v>
      </c>
      <c r="B123">
        <v>3</v>
      </c>
      <c r="C123" t="s">
        <v>1975</v>
      </c>
      <c r="D123">
        <v>0</v>
      </c>
      <c r="E123">
        <v>32.180156657963444</v>
      </c>
      <c r="F123">
        <v>1</v>
      </c>
      <c r="G123">
        <v>0</v>
      </c>
      <c r="H123" t="s">
        <v>1976</v>
      </c>
      <c r="I123">
        <v>7.75</v>
      </c>
      <c r="J123" t="s">
        <v>48</v>
      </c>
      <c r="K123" t="s">
        <v>28</v>
      </c>
      <c r="L123">
        <v>0</v>
      </c>
      <c r="M123">
        <v>0</v>
      </c>
      <c r="N123">
        <v>1</v>
      </c>
      <c r="O123" t="s">
        <v>1741</v>
      </c>
      <c r="P123">
        <v>0</v>
      </c>
      <c r="Q123">
        <v>0</v>
      </c>
      <c r="R123">
        <v>1</v>
      </c>
      <c r="S123">
        <v>0</v>
      </c>
      <c r="T123">
        <v>0</v>
      </c>
    </row>
    <row r="124" spans="1:20" x14ac:dyDescent="0.25">
      <c r="A124">
        <v>1014</v>
      </c>
      <c r="B124">
        <v>1</v>
      </c>
      <c r="C124" t="s">
        <v>1977</v>
      </c>
      <c r="D124">
        <v>1</v>
      </c>
      <c r="E124">
        <v>35</v>
      </c>
      <c r="F124">
        <v>1</v>
      </c>
      <c r="G124">
        <v>0</v>
      </c>
      <c r="H124" t="s">
        <v>1817</v>
      </c>
      <c r="I124">
        <v>57.75</v>
      </c>
      <c r="J124" t="s">
        <v>1978</v>
      </c>
      <c r="K124" t="s">
        <v>18</v>
      </c>
      <c r="L124">
        <v>0</v>
      </c>
      <c r="M124">
        <v>1</v>
      </c>
      <c r="N124">
        <v>0</v>
      </c>
      <c r="O124" t="s">
        <v>1740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x14ac:dyDescent="0.25">
      <c r="A125">
        <v>1015</v>
      </c>
      <c r="B125">
        <v>3</v>
      </c>
      <c r="C125" t="s">
        <v>1979</v>
      </c>
      <c r="D125">
        <v>0</v>
      </c>
      <c r="E125">
        <v>28</v>
      </c>
      <c r="F125">
        <v>0</v>
      </c>
      <c r="G125">
        <v>0</v>
      </c>
      <c r="H125" t="s">
        <v>1980</v>
      </c>
      <c r="I125">
        <v>7.25</v>
      </c>
      <c r="J125" t="s">
        <v>48</v>
      </c>
      <c r="K125" t="s">
        <v>14</v>
      </c>
      <c r="L125">
        <v>1</v>
      </c>
      <c r="M125">
        <v>0</v>
      </c>
      <c r="N125">
        <v>0</v>
      </c>
      <c r="O125" t="s">
        <v>1741</v>
      </c>
      <c r="P125">
        <v>0</v>
      </c>
      <c r="Q125">
        <v>0</v>
      </c>
      <c r="R125">
        <v>1</v>
      </c>
      <c r="S125">
        <v>0</v>
      </c>
      <c r="T125">
        <v>0</v>
      </c>
    </row>
    <row r="126" spans="1:20" x14ac:dyDescent="0.25">
      <c r="A126">
        <v>1016</v>
      </c>
      <c r="B126">
        <v>3</v>
      </c>
      <c r="C126" t="s">
        <v>1981</v>
      </c>
      <c r="D126">
        <v>0</v>
      </c>
      <c r="E126">
        <v>32.180156657963444</v>
      </c>
      <c r="F126">
        <v>0</v>
      </c>
      <c r="G126">
        <v>0</v>
      </c>
      <c r="H126" t="s">
        <v>1982</v>
      </c>
      <c r="I126">
        <v>7.75</v>
      </c>
      <c r="J126" t="s">
        <v>48</v>
      </c>
      <c r="K126" t="s">
        <v>28</v>
      </c>
      <c r="L126">
        <v>0</v>
      </c>
      <c r="M126">
        <v>0</v>
      </c>
      <c r="N126">
        <v>1</v>
      </c>
      <c r="O126" t="s">
        <v>1741</v>
      </c>
      <c r="P126">
        <v>0</v>
      </c>
      <c r="Q126">
        <v>0</v>
      </c>
      <c r="R126">
        <v>1</v>
      </c>
      <c r="S126">
        <v>0</v>
      </c>
      <c r="T126">
        <v>0</v>
      </c>
    </row>
    <row r="127" spans="1:20" x14ac:dyDescent="0.25">
      <c r="A127">
        <v>1017</v>
      </c>
      <c r="B127">
        <v>3</v>
      </c>
      <c r="C127" t="s">
        <v>1983</v>
      </c>
      <c r="D127">
        <v>1</v>
      </c>
      <c r="E127">
        <v>17</v>
      </c>
      <c r="F127">
        <v>0</v>
      </c>
      <c r="G127">
        <v>1</v>
      </c>
      <c r="H127" t="s">
        <v>354</v>
      </c>
      <c r="I127">
        <v>16.100000000000001</v>
      </c>
      <c r="J127" t="s">
        <v>48</v>
      </c>
      <c r="K127" t="s">
        <v>14</v>
      </c>
      <c r="L127">
        <v>1</v>
      </c>
      <c r="M127">
        <v>0</v>
      </c>
      <c r="N127">
        <v>0</v>
      </c>
      <c r="O127" t="s">
        <v>1739</v>
      </c>
      <c r="P127">
        <v>1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>
        <v>1018</v>
      </c>
      <c r="B128">
        <v>3</v>
      </c>
      <c r="C128" t="s">
        <v>1984</v>
      </c>
      <c r="D128">
        <v>0</v>
      </c>
      <c r="E128">
        <v>22</v>
      </c>
      <c r="F128">
        <v>0</v>
      </c>
      <c r="G128">
        <v>0</v>
      </c>
      <c r="H128" t="s">
        <v>1985</v>
      </c>
      <c r="I128">
        <v>7.7957999999999998</v>
      </c>
      <c r="J128" t="s">
        <v>48</v>
      </c>
      <c r="K128" t="s">
        <v>14</v>
      </c>
      <c r="L128">
        <v>1</v>
      </c>
      <c r="M128">
        <v>0</v>
      </c>
      <c r="N128">
        <v>0</v>
      </c>
      <c r="O128" t="s">
        <v>1741</v>
      </c>
      <c r="P128">
        <v>0</v>
      </c>
      <c r="Q128">
        <v>0</v>
      </c>
      <c r="R128">
        <v>1</v>
      </c>
      <c r="S128">
        <v>0</v>
      </c>
      <c r="T128">
        <v>0</v>
      </c>
    </row>
    <row r="129" spans="1:20" x14ac:dyDescent="0.25">
      <c r="A129">
        <v>1019</v>
      </c>
      <c r="B129">
        <v>3</v>
      </c>
      <c r="C129" t="s">
        <v>1986</v>
      </c>
      <c r="D129">
        <v>1</v>
      </c>
      <c r="E129">
        <v>21.98581560283688</v>
      </c>
      <c r="F129">
        <v>2</v>
      </c>
      <c r="G129">
        <v>0</v>
      </c>
      <c r="H129" t="s">
        <v>642</v>
      </c>
      <c r="I129">
        <v>23.25</v>
      </c>
      <c r="J129" t="s">
        <v>48</v>
      </c>
      <c r="K129" t="s">
        <v>28</v>
      </c>
      <c r="L129">
        <v>0</v>
      </c>
      <c r="M129">
        <v>0</v>
      </c>
      <c r="N129">
        <v>1</v>
      </c>
      <c r="O129" t="s">
        <v>1739</v>
      </c>
      <c r="P129">
        <v>1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>
        <v>1020</v>
      </c>
      <c r="B130">
        <v>2</v>
      </c>
      <c r="C130" t="s">
        <v>1987</v>
      </c>
      <c r="D130">
        <v>0</v>
      </c>
      <c r="E130">
        <v>42</v>
      </c>
      <c r="F130">
        <v>0</v>
      </c>
      <c r="G130">
        <v>0</v>
      </c>
      <c r="H130" t="s">
        <v>1988</v>
      </c>
      <c r="I130">
        <v>13</v>
      </c>
      <c r="J130" t="s">
        <v>48</v>
      </c>
      <c r="K130" t="s">
        <v>14</v>
      </c>
      <c r="L130">
        <v>1</v>
      </c>
      <c r="M130">
        <v>0</v>
      </c>
      <c r="N130">
        <v>0</v>
      </c>
      <c r="O130" t="s">
        <v>1741</v>
      </c>
      <c r="P130">
        <v>0</v>
      </c>
      <c r="Q130">
        <v>0</v>
      </c>
      <c r="R130">
        <v>1</v>
      </c>
      <c r="S130">
        <v>0</v>
      </c>
      <c r="T130">
        <v>0</v>
      </c>
    </row>
    <row r="131" spans="1:20" x14ac:dyDescent="0.25">
      <c r="A131">
        <v>1021</v>
      </c>
      <c r="B131">
        <v>3</v>
      </c>
      <c r="C131" t="s">
        <v>1989</v>
      </c>
      <c r="D131">
        <v>0</v>
      </c>
      <c r="E131">
        <v>24</v>
      </c>
      <c r="F131">
        <v>0</v>
      </c>
      <c r="G131">
        <v>0</v>
      </c>
      <c r="H131" t="s">
        <v>1990</v>
      </c>
      <c r="I131">
        <v>8.0500000000000007</v>
      </c>
      <c r="J131" t="s">
        <v>48</v>
      </c>
      <c r="K131" t="s">
        <v>14</v>
      </c>
      <c r="L131">
        <v>1</v>
      </c>
      <c r="M131">
        <v>0</v>
      </c>
      <c r="N131">
        <v>0</v>
      </c>
      <c r="O131" t="s">
        <v>1741</v>
      </c>
      <c r="P131">
        <v>0</v>
      </c>
      <c r="Q131">
        <v>0</v>
      </c>
      <c r="R131">
        <v>1</v>
      </c>
      <c r="S131">
        <v>0</v>
      </c>
      <c r="T131">
        <v>0</v>
      </c>
    </row>
    <row r="132" spans="1:20" x14ac:dyDescent="0.25">
      <c r="A132">
        <v>1022</v>
      </c>
      <c r="B132">
        <v>3</v>
      </c>
      <c r="C132" t="s">
        <v>1991</v>
      </c>
      <c r="D132">
        <v>0</v>
      </c>
      <c r="E132">
        <v>32</v>
      </c>
      <c r="F132">
        <v>0</v>
      </c>
      <c r="G132">
        <v>0</v>
      </c>
      <c r="H132" t="s">
        <v>1992</v>
      </c>
      <c r="I132">
        <v>8.0500000000000007</v>
      </c>
      <c r="J132" t="s">
        <v>48</v>
      </c>
      <c r="K132" t="s">
        <v>14</v>
      </c>
      <c r="L132">
        <v>1</v>
      </c>
      <c r="M132">
        <v>0</v>
      </c>
      <c r="N132">
        <v>0</v>
      </c>
      <c r="O132" t="s">
        <v>1741</v>
      </c>
      <c r="P132">
        <v>0</v>
      </c>
      <c r="Q132">
        <v>0</v>
      </c>
      <c r="R132">
        <v>1</v>
      </c>
      <c r="S132">
        <v>0</v>
      </c>
      <c r="T132">
        <v>0</v>
      </c>
    </row>
    <row r="133" spans="1:20" x14ac:dyDescent="0.25">
      <c r="A133">
        <v>1023</v>
      </c>
      <c r="B133">
        <v>1</v>
      </c>
      <c r="C133" t="s">
        <v>1993</v>
      </c>
      <c r="D133">
        <v>0</v>
      </c>
      <c r="E133">
        <v>53</v>
      </c>
      <c r="F133">
        <v>0</v>
      </c>
      <c r="G133">
        <v>0</v>
      </c>
      <c r="H133" t="s">
        <v>1994</v>
      </c>
      <c r="I133">
        <v>28.5</v>
      </c>
      <c r="J133" t="s">
        <v>1995</v>
      </c>
      <c r="K133" t="s">
        <v>18</v>
      </c>
      <c r="L133">
        <v>0</v>
      </c>
      <c r="M133">
        <v>1</v>
      </c>
      <c r="N133">
        <v>0</v>
      </c>
      <c r="O133" t="s">
        <v>1753</v>
      </c>
      <c r="P133">
        <v>0</v>
      </c>
      <c r="Q133">
        <v>0</v>
      </c>
      <c r="R133">
        <v>0</v>
      </c>
      <c r="S133">
        <v>0</v>
      </c>
      <c r="T133">
        <v>1</v>
      </c>
    </row>
    <row r="134" spans="1:20" x14ac:dyDescent="0.25">
      <c r="A134">
        <v>1024</v>
      </c>
      <c r="B134">
        <v>3</v>
      </c>
      <c r="C134" t="s">
        <v>1996</v>
      </c>
      <c r="D134">
        <v>1</v>
      </c>
      <c r="E134">
        <v>35.898148148148145</v>
      </c>
      <c r="F134">
        <v>0</v>
      </c>
      <c r="G134">
        <v>4</v>
      </c>
      <c r="H134" t="s">
        <v>384</v>
      </c>
      <c r="I134">
        <v>25.466699999999999</v>
      </c>
      <c r="J134" t="s">
        <v>48</v>
      </c>
      <c r="K134" t="s">
        <v>14</v>
      </c>
      <c r="L134">
        <v>1</v>
      </c>
      <c r="M134">
        <v>0</v>
      </c>
      <c r="N134">
        <v>0</v>
      </c>
      <c r="O134" t="s">
        <v>1740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5">
      <c r="A135">
        <v>1025</v>
      </c>
      <c r="B135">
        <v>3</v>
      </c>
      <c r="C135" t="s">
        <v>1997</v>
      </c>
      <c r="D135">
        <v>0</v>
      </c>
      <c r="E135">
        <v>32.180156657963444</v>
      </c>
      <c r="F135">
        <v>1</v>
      </c>
      <c r="G135">
        <v>0</v>
      </c>
      <c r="H135" t="s">
        <v>1998</v>
      </c>
      <c r="I135">
        <v>6.4375</v>
      </c>
      <c r="J135" t="s">
        <v>48</v>
      </c>
      <c r="K135" t="s">
        <v>18</v>
      </c>
      <c r="L135">
        <v>0</v>
      </c>
      <c r="M135">
        <v>1</v>
      </c>
      <c r="N135">
        <v>0</v>
      </c>
      <c r="O135" t="s">
        <v>1741</v>
      </c>
      <c r="P135">
        <v>0</v>
      </c>
      <c r="Q135">
        <v>0</v>
      </c>
      <c r="R135">
        <v>1</v>
      </c>
      <c r="S135">
        <v>0</v>
      </c>
      <c r="T135">
        <v>0</v>
      </c>
    </row>
    <row r="136" spans="1:20" x14ac:dyDescent="0.25">
      <c r="A136">
        <v>1026</v>
      </c>
      <c r="B136">
        <v>3</v>
      </c>
      <c r="C136" t="s">
        <v>1999</v>
      </c>
      <c r="D136">
        <v>0</v>
      </c>
      <c r="E136">
        <v>43</v>
      </c>
      <c r="F136">
        <v>0</v>
      </c>
      <c r="G136">
        <v>0</v>
      </c>
      <c r="H136" t="s">
        <v>2000</v>
      </c>
      <c r="I136">
        <v>7.8958000000000004</v>
      </c>
      <c r="J136" t="s">
        <v>48</v>
      </c>
      <c r="K136" t="s">
        <v>14</v>
      </c>
      <c r="L136">
        <v>1</v>
      </c>
      <c r="M136">
        <v>0</v>
      </c>
      <c r="N136">
        <v>0</v>
      </c>
      <c r="O136" t="s">
        <v>1741</v>
      </c>
      <c r="P136">
        <v>0</v>
      </c>
      <c r="Q136">
        <v>0</v>
      </c>
      <c r="R136">
        <v>1</v>
      </c>
      <c r="S136">
        <v>0</v>
      </c>
      <c r="T136">
        <v>0</v>
      </c>
    </row>
    <row r="137" spans="1:20" x14ac:dyDescent="0.25">
      <c r="A137">
        <v>1027</v>
      </c>
      <c r="B137">
        <v>3</v>
      </c>
      <c r="C137" t="s">
        <v>2001</v>
      </c>
      <c r="D137">
        <v>0</v>
      </c>
      <c r="E137">
        <v>24</v>
      </c>
      <c r="F137">
        <v>0</v>
      </c>
      <c r="G137">
        <v>0</v>
      </c>
      <c r="H137" t="s">
        <v>2002</v>
      </c>
      <c r="I137">
        <v>7.8541999999999996</v>
      </c>
      <c r="J137" t="s">
        <v>48</v>
      </c>
      <c r="K137" t="s">
        <v>14</v>
      </c>
      <c r="L137">
        <v>1</v>
      </c>
      <c r="M137">
        <v>0</v>
      </c>
      <c r="N137">
        <v>0</v>
      </c>
      <c r="O137" t="s">
        <v>1741</v>
      </c>
      <c r="P137">
        <v>0</v>
      </c>
      <c r="Q137">
        <v>0</v>
      </c>
      <c r="R137">
        <v>1</v>
      </c>
      <c r="S137">
        <v>0</v>
      </c>
      <c r="T137">
        <v>0</v>
      </c>
    </row>
    <row r="138" spans="1:20" x14ac:dyDescent="0.25">
      <c r="A138">
        <v>1028</v>
      </c>
      <c r="B138">
        <v>3</v>
      </c>
      <c r="C138" t="s">
        <v>2003</v>
      </c>
      <c r="D138">
        <v>0</v>
      </c>
      <c r="E138">
        <v>26.5</v>
      </c>
      <c r="F138">
        <v>0</v>
      </c>
      <c r="G138">
        <v>0</v>
      </c>
      <c r="H138" t="s">
        <v>2004</v>
      </c>
      <c r="I138">
        <v>7.2249999999999996</v>
      </c>
      <c r="J138" t="s">
        <v>48</v>
      </c>
      <c r="K138" t="s">
        <v>18</v>
      </c>
      <c r="L138">
        <v>0</v>
      </c>
      <c r="M138">
        <v>1</v>
      </c>
      <c r="N138">
        <v>0</v>
      </c>
      <c r="O138" t="s">
        <v>1741</v>
      </c>
      <c r="P138">
        <v>0</v>
      </c>
      <c r="Q138">
        <v>0</v>
      </c>
      <c r="R138">
        <v>1</v>
      </c>
      <c r="S138">
        <v>0</v>
      </c>
      <c r="T138">
        <v>0</v>
      </c>
    </row>
    <row r="139" spans="1:20" x14ac:dyDescent="0.25">
      <c r="A139">
        <v>1029</v>
      </c>
      <c r="B139">
        <v>2</v>
      </c>
      <c r="C139" t="s">
        <v>2005</v>
      </c>
      <c r="D139">
        <v>0</v>
      </c>
      <c r="E139">
        <v>26</v>
      </c>
      <c r="F139">
        <v>0</v>
      </c>
      <c r="G139">
        <v>0</v>
      </c>
      <c r="H139" t="s">
        <v>2006</v>
      </c>
      <c r="I139">
        <v>13</v>
      </c>
      <c r="J139" t="s">
        <v>48</v>
      </c>
      <c r="K139" t="s">
        <v>14</v>
      </c>
      <c r="L139">
        <v>1</v>
      </c>
      <c r="M139">
        <v>0</v>
      </c>
      <c r="N139">
        <v>0</v>
      </c>
      <c r="O139" t="s">
        <v>1741</v>
      </c>
      <c r="P139">
        <v>0</v>
      </c>
      <c r="Q139">
        <v>0</v>
      </c>
      <c r="R139">
        <v>1</v>
      </c>
      <c r="S139">
        <v>0</v>
      </c>
      <c r="T139">
        <v>0</v>
      </c>
    </row>
    <row r="140" spans="1:20" x14ac:dyDescent="0.25">
      <c r="A140">
        <v>1030</v>
      </c>
      <c r="B140">
        <v>3</v>
      </c>
      <c r="C140" t="s">
        <v>2007</v>
      </c>
      <c r="D140">
        <v>1</v>
      </c>
      <c r="E140">
        <v>23</v>
      </c>
      <c r="F140">
        <v>0</v>
      </c>
      <c r="G140">
        <v>0</v>
      </c>
      <c r="H140" t="s">
        <v>2008</v>
      </c>
      <c r="I140">
        <v>8.0500000000000007</v>
      </c>
      <c r="J140" t="s">
        <v>48</v>
      </c>
      <c r="K140" t="s">
        <v>14</v>
      </c>
      <c r="L140">
        <v>1</v>
      </c>
      <c r="M140">
        <v>0</v>
      </c>
      <c r="N140">
        <v>0</v>
      </c>
      <c r="O140" t="s">
        <v>1739</v>
      </c>
      <c r="P140">
        <v>1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>
        <v>1031</v>
      </c>
      <c r="B141">
        <v>3</v>
      </c>
      <c r="C141" t="s">
        <v>2009</v>
      </c>
      <c r="D141">
        <v>0</v>
      </c>
      <c r="E141">
        <v>40</v>
      </c>
      <c r="F141">
        <v>1</v>
      </c>
      <c r="G141">
        <v>6</v>
      </c>
      <c r="H141" t="s">
        <v>146</v>
      </c>
      <c r="I141">
        <v>46.9</v>
      </c>
      <c r="J141" t="s">
        <v>48</v>
      </c>
      <c r="K141" t="s">
        <v>14</v>
      </c>
      <c r="L141">
        <v>1</v>
      </c>
      <c r="M141">
        <v>0</v>
      </c>
      <c r="N141">
        <v>0</v>
      </c>
      <c r="O141" t="s">
        <v>1741</v>
      </c>
      <c r="P141">
        <v>0</v>
      </c>
      <c r="Q141">
        <v>0</v>
      </c>
      <c r="R141">
        <v>1</v>
      </c>
      <c r="S141">
        <v>0</v>
      </c>
      <c r="T141">
        <v>0</v>
      </c>
    </row>
    <row r="142" spans="1:20" x14ac:dyDescent="0.25">
      <c r="A142">
        <v>1032</v>
      </c>
      <c r="B142">
        <v>3</v>
      </c>
      <c r="C142" t="s">
        <v>2010</v>
      </c>
      <c r="D142">
        <v>1</v>
      </c>
      <c r="E142">
        <v>10</v>
      </c>
      <c r="F142">
        <v>5</v>
      </c>
      <c r="G142">
        <v>2</v>
      </c>
      <c r="H142" t="s">
        <v>146</v>
      </c>
      <c r="I142">
        <v>46.9</v>
      </c>
      <c r="J142" t="s">
        <v>48</v>
      </c>
      <c r="K142" t="s">
        <v>14</v>
      </c>
      <c r="L142">
        <v>1</v>
      </c>
      <c r="M142">
        <v>0</v>
      </c>
      <c r="N142">
        <v>0</v>
      </c>
      <c r="O142" t="s">
        <v>1739</v>
      </c>
      <c r="P142">
        <v>1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>
        <v>1033</v>
      </c>
      <c r="B143">
        <v>1</v>
      </c>
      <c r="C143" t="s">
        <v>2011</v>
      </c>
      <c r="D143">
        <v>1</v>
      </c>
      <c r="E143">
        <v>33</v>
      </c>
      <c r="F143">
        <v>0</v>
      </c>
      <c r="G143">
        <v>0</v>
      </c>
      <c r="H143" t="s">
        <v>633</v>
      </c>
      <c r="I143">
        <v>151.55000000000001</v>
      </c>
      <c r="J143" t="s">
        <v>48</v>
      </c>
      <c r="K143" t="s">
        <v>14</v>
      </c>
      <c r="L143">
        <v>1</v>
      </c>
      <c r="M143">
        <v>0</v>
      </c>
      <c r="N143">
        <v>0</v>
      </c>
      <c r="O143" t="s">
        <v>1739</v>
      </c>
      <c r="P143">
        <v>1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>
        <v>1034</v>
      </c>
      <c r="B144">
        <v>1</v>
      </c>
      <c r="C144" t="s">
        <v>2012</v>
      </c>
      <c r="D144">
        <v>0</v>
      </c>
      <c r="E144">
        <v>61</v>
      </c>
      <c r="F144">
        <v>1</v>
      </c>
      <c r="G144">
        <v>3</v>
      </c>
      <c r="H144" t="s">
        <v>663</v>
      </c>
      <c r="I144">
        <v>262.375</v>
      </c>
      <c r="J144" t="s">
        <v>664</v>
      </c>
      <c r="K144" t="s">
        <v>18</v>
      </c>
      <c r="L144">
        <v>0</v>
      </c>
      <c r="M144">
        <v>1</v>
      </c>
      <c r="N144">
        <v>0</v>
      </c>
      <c r="O144" t="s">
        <v>1741</v>
      </c>
      <c r="P144">
        <v>0</v>
      </c>
      <c r="Q144">
        <v>0</v>
      </c>
      <c r="R144">
        <v>1</v>
      </c>
      <c r="S144">
        <v>0</v>
      </c>
      <c r="T144">
        <v>0</v>
      </c>
    </row>
    <row r="145" spans="1:20" x14ac:dyDescent="0.25">
      <c r="A145">
        <v>1035</v>
      </c>
      <c r="B145">
        <v>2</v>
      </c>
      <c r="C145" t="s">
        <v>2013</v>
      </c>
      <c r="D145">
        <v>0</v>
      </c>
      <c r="E145">
        <v>28</v>
      </c>
      <c r="F145">
        <v>0</v>
      </c>
      <c r="G145">
        <v>0</v>
      </c>
      <c r="H145" t="s">
        <v>1120</v>
      </c>
      <c r="I145">
        <v>26</v>
      </c>
      <c r="J145" t="s">
        <v>48</v>
      </c>
      <c r="K145" t="s">
        <v>14</v>
      </c>
      <c r="L145">
        <v>1</v>
      </c>
      <c r="M145">
        <v>0</v>
      </c>
      <c r="N145">
        <v>0</v>
      </c>
      <c r="O145" t="s">
        <v>1741</v>
      </c>
      <c r="P145">
        <v>0</v>
      </c>
      <c r="Q145">
        <v>0</v>
      </c>
      <c r="R145">
        <v>1</v>
      </c>
      <c r="S145">
        <v>0</v>
      </c>
      <c r="T145">
        <v>0</v>
      </c>
    </row>
    <row r="146" spans="1:20" x14ac:dyDescent="0.25">
      <c r="A146">
        <v>1036</v>
      </c>
      <c r="B146">
        <v>1</v>
      </c>
      <c r="C146" t="s">
        <v>2014</v>
      </c>
      <c r="D146">
        <v>0</v>
      </c>
      <c r="E146">
        <v>42</v>
      </c>
      <c r="F146">
        <v>0</v>
      </c>
      <c r="G146">
        <v>0</v>
      </c>
      <c r="H146" t="s">
        <v>2015</v>
      </c>
      <c r="I146">
        <v>26.55</v>
      </c>
      <c r="J146" t="s">
        <v>48</v>
      </c>
      <c r="K146" t="s">
        <v>14</v>
      </c>
      <c r="L146">
        <v>1</v>
      </c>
      <c r="M146">
        <v>0</v>
      </c>
      <c r="N146">
        <v>0</v>
      </c>
      <c r="O146" t="s">
        <v>1741</v>
      </c>
      <c r="P146">
        <v>0</v>
      </c>
      <c r="Q146">
        <v>0</v>
      </c>
      <c r="R146">
        <v>1</v>
      </c>
      <c r="S146">
        <v>0</v>
      </c>
      <c r="T146">
        <v>0</v>
      </c>
    </row>
    <row r="147" spans="1:20" x14ac:dyDescent="0.25">
      <c r="A147">
        <v>1037</v>
      </c>
      <c r="B147">
        <v>3</v>
      </c>
      <c r="C147" t="s">
        <v>2016</v>
      </c>
      <c r="D147">
        <v>0</v>
      </c>
      <c r="E147">
        <v>31</v>
      </c>
      <c r="F147">
        <v>3</v>
      </c>
      <c r="G147">
        <v>0</v>
      </c>
      <c r="H147" t="s">
        <v>58</v>
      </c>
      <c r="I147">
        <v>18</v>
      </c>
      <c r="J147" t="s">
        <v>48</v>
      </c>
      <c r="K147" t="s">
        <v>14</v>
      </c>
      <c r="L147">
        <v>1</v>
      </c>
      <c r="M147">
        <v>0</v>
      </c>
      <c r="N147">
        <v>0</v>
      </c>
      <c r="O147" t="s">
        <v>1741</v>
      </c>
      <c r="P147">
        <v>0</v>
      </c>
      <c r="Q147">
        <v>0</v>
      </c>
      <c r="R147">
        <v>1</v>
      </c>
      <c r="S147">
        <v>0</v>
      </c>
      <c r="T147">
        <v>0</v>
      </c>
    </row>
    <row r="148" spans="1:20" x14ac:dyDescent="0.25">
      <c r="A148">
        <v>1038</v>
      </c>
      <c r="B148">
        <v>1</v>
      </c>
      <c r="C148" t="s">
        <v>2017</v>
      </c>
      <c r="D148">
        <v>0</v>
      </c>
      <c r="E148">
        <v>32.180156657963444</v>
      </c>
      <c r="F148">
        <v>0</v>
      </c>
      <c r="G148">
        <v>0</v>
      </c>
      <c r="H148" t="s">
        <v>30</v>
      </c>
      <c r="I148">
        <v>51.862499999999997</v>
      </c>
      <c r="J148" t="s">
        <v>31</v>
      </c>
      <c r="K148" t="s">
        <v>14</v>
      </c>
      <c r="L148">
        <v>1</v>
      </c>
      <c r="M148">
        <v>0</v>
      </c>
      <c r="N148">
        <v>0</v>
      </c>
      <c r="O148" t="s">
        <v>1741</v>
      </c>
      <c r="P148">
        <v>0</v>
      </c>
      <c r="Q148">
        <v>0</v>
      </c>
      <c r="R148">
        <v>1</v>
      </c>
      <c r="S148">
        <v>0</v>
      </c>
      <c r="T148">
        <v>0</v>
      </c>
    </row>
    <row r="149" spans="1:20" x14ac:dyDescent="0.25">
      <c r="A149">
        <v>1039</v>
      </c>
      <c r="B149">
        <v>3</v>
      </c>
      <c r="C149" t="s">
        <v>2018</v>
      </c>
      <c r="D149">
        <v>0</v>
      </c>
      <c r="E149">
        <v>22</v>
      </c>
      <c r="F149">
        <v>0</v>
      </c>
      <c r="G149">
        <v>0</v>
      </c>
      <c r="H149" t="s">
        <v>2019</v>
      </c>
      <c r="I149">
        <v>8.0500000000000007</v>
      </c>
      <c r="J149" t="s">
        <v>48</v>
      </c>
      <c r="K149" t="s">
        <v>14</v>
      </c>
      <c r="L149">
        <v>1</v>
      </c>
      <c r="M149">
        <v>0</v>
      </c>
      <c r="N149">
        <v>0</v>
      </c>
      <c r="O149" t="s">
        <v>1741</v>
      </c>
      <c r="P149">
        <v>0</v>
      </c>
      <c r="Q149">
        <v>0</v>
      </c>
      <c r="R149">
        <v>1</v>
      </c>
      <c r="S149">
        <v>0</v>
      </c>
      <c r="T149">
        <v>0</v>
      </c>
    </row>
    <row r="150" spans="1:20" x14ac:dyDescent="0.25">
      <c r="A150">
        <v>1040</v>
      </c>
      <c r="B150">
        <v>1</v>
      </c>
      <c r="C150" t="s">
        <v>2020</v>
      </c>
      <c r="D150">
        <v>0</v>
      </c>
      <c r="E150">
        <v>32.180156657963444</v>
      </c>
      <c r="F150">
        <v>0</v>
      </c>
      <c r="G150">
        <v>0</v>
      </c>
      <c r="H150" t="s">
        <v>2021</v>
      </c>
      <c r="I150">
        <v>26.55</v>
      </c>
      <c r="J150" t="s">
        <v>48</v>
      </c>
      <c r="K150" t="s">
        <v>14</v>
      </c>
      <c r="L150">
        <v>1</v>
      </c>
      <c r="M150">
        <v>0</v>
      </c>
      <c r="N150">
        <v>0</v>
      </c>
      <c r="O150" t="s">
        <v>1741</v>
      </c>
      <c r="P150">
        <v>0</v>
      </c>
      <c r="Q150">
        <v>0</v>
      </c>
      <c r="R150">
        <v>1</v>
      </c>
      <c r="S150">
        <v>0</v>
      </c>
      <c r="T150">
        <v>0</v>
      </c>
    </row>
    <row r="151" spans="1:20" x14ac:dyDescent="0.25">
      <c r="A151">
        <v>1041</v>
      </c>
      <c r="B151">
        <v>2</v>
      </c>
      <c r="C151" t="s">
        <v>2022</v>
      </c>
      <c r="D151">
        <v>0</v>
      </c>
      <c r="E151">
        <v>30</v>
      </c>
      <c r="F151">
        <v>1</v>
      </c>
      <c r="G151">
        <v>1</v>
      </c>
      <c r="H151" t="s">
        <v>666</v>
      </c>
      <c r="I151">
        <v>26</v>
      </c>
      <c r="J151" t="s">
        <v>48</v>
      </c>
      <c r="K151" t="s">
        <v>14</v>
      </c>
      <c r="L151">
        <v>1</v>
      </c>
      <c r="M151">
        <v>0</v>
      </c>
      <c r="N151">
        <v>0</v>
      </c>
      <c r="O151" t="s">
        <v>1745</v>
      </c>
      <c r="P151">
        <v>0</v>
      </c>
      <c r="Q151">
        <v>0</v>
      </c>
      <c r="R151">
        <v>0</v>
      </c>
      <c r="S151">
        <v>0</v>
      </c>
      <c r="T151">
        <v>1</v>
      </c>
    </row>
    <row r="152" spans="1:20" x14ac:dyDescent="0.25">
      <c r="A152">
        <v>1042</v>
      </c>
      <c r="B152">
        <v>1</v>
      </c>
      <c r="C152" t="s">
        <v>2023</v>
      </c>
      <c r="D152">
        <v>1</v>
      </c>
      <c r="E152">
        <v>23</v>
      </c>
      <c r="F152">
        <v>0</v>
      </c>
      <c r="G152">
        <v>1</v>
      </c>
      <c r="H152" t="s">
        <v>660</v>
      </c>
      <c r="I152">
        <v>83.158299999999997</v>
      </c>
      <c r="J152" t="s">
        <v>661</v>
      </c>
      <c r="K152" t="s">
        <v>18</v>
      </c>
      <c r="L152">
        <v>0</v>
      </c>
      <c r="M152">
        <v>1</v>
      </c>
      <c r="N152">
        <v>0</v>
      </c>
      <c r="O152" t="s">
        <v>1740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25">
      <c r="A153">
        <v>1043</v>
      </c>
      <c r="B153">
        <v>3</v>
      </c>
      <c r="C153" t="s">
        <v>2024</v>
      </c>
      <c r="D153">
        <v>0</v>
      </c>
      <c r="E153">
        <v>32.180156657963444</v>
      </c>
      <c r="F153">
        <v>0</v>
      </c>
      <c r="G153">
        <v>0</v>
      </c>
      <c r="H153" t="s">
        <v>2025</v>
      </c>
      <c r="I153">
        <v>7.8958000000000004</v>
      </c>
      <c r="J153" t="s">
        <v>48</v>
      </c>
      <c r="K153" t="s">
        <v>18</v>
      </c>
      <c r="L153">
        <v>0</v>
      </c>
      <c r="M153">
        <v>1</v>
      </c>
      <c r="N153">
        <v>0</v>
      </c>
      <c r="O153" t="s">
        <v>1741</v>
      </c>
      <c r="P153">
        <v>0</v>
      </c>
      <c r="Q153">
        <v>0</v>
      </c>
      <c r="R153">
        <v>1</v>
      </c>
      <c r="S153">
        <v>0</v>
      </c>
      <c r="T153">
        <v>0</v>
      </c>
    </row>
    <row r="154" spans="1:20" x14ac:dyDescent="0.25">
      <c r="A154">
        <v>1044</v>
      </c>
      <c r="B154">
        <v>3</v>
      </c>
      <c r="C154" t="s">
        <v>2026</v>
      </c>
      <c r="D154">
        <v>0</v>
      </c>
      <c r="E154">
        <v>60.5</v>
      </c>
      <c r="F154">
        <v>0</v>
      </c>
      <c r="G154">
        <v>0</v>
      </c>
      <c r="H154" t="s">
        <v>2027</v>
      </c>
      <c r="J154" t="s">
        <v>48</v>
      </c>
      <c r="K154" t="s">
        <v>14</v>
      </c>
      <c r="L154">
        <v>1</v>
      </c>
      <c r="M154">
        <v>0</v>
      </c>
      <c r="N154">
        <v>0</v>
      </c>
      <c r="O154" t="s">
        <v>1741</v>
      </c>
      <c r="P154">
        <v>0</v>
      </c>
      <c r="Q154">
        <v>0</v>
      </c>
      <c r="R154">
        <v>1</v>
      </c>
      <c r="S154">
        <v>0</v>
      </c>
      <c r="T154">
        <v>0</v>
      </c>
    </row>
    <row r="155" spans="1:20" x14ac:dyDescent="0.25">
      <c r="A155">
        <v>1045</v>
      </c>
      <c r="B155">
        <v>3</v>
      </c>
      <c r="C155" t="s">
        <v>2028</v>
      </c>
      <c r="D155">
        <v>1</v>
      </c>
      <c r="E155">
        <v>36</v>
      </c>
      <c r="F155">
        <v>0</v>
      </c>
      <c r="G155">
        <v>2</v>
      </c>
      <c r="H155" t="s">
        <v>2029</v>
      </c>
      <c r="I155">
        <v>12.183299999999999</v>
      </c>
      <c r="J155" t="s">
        <v>48</v>
      </c>
      <c r="K155" t="s">
        <v>14</v>
      </c>
      <c r="L155">
        <v>1</v>
      </c>
      <c r="M155">
        <v>0</v>
      </c>
      <c r="N155">
        <v>0</v>
      </c>
      <c r="O155" t="s">
        <v>1740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25">
      <c r="A156">
        <v>1046</v>
      </c>
      <c r="B156">
        <v>3</v>
      </c>
      <c r="C156" t="s">
        <v>2030</v>
      </c>
      <c r="D156">
        <v>0</v>
      </c>
      <c r="E156">
        <v>13</v>
      </c>
      <c r="F156">
        <v>4</v>
      </c>
      <c r="G156">
        <v>2</v>
      </c>
      <c r="H156" t="s">
        <v>73</v>
      </c>
      <c r="I156">
        <v>31.387499999999999</v>
      </c>
      <c r="J156" t="s">
        <v>48</v>
      </c>
      <c r="K156" t="s">
        <v>14</v>
      </c>
      <c r="L156">
        <v>1</v>
      </c>
      <c r="M156">
        <v>0</v>
      </c>
      <c r="N156">
        <v>0</v>
      </c>
      <c r="O156" t="s">
        <v>1742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5">
      <c r="A157">
        <v>1047</v>
      </c>
      <c r="B157">
        <v>3</v>
      </c>
      <c r="C157" t="s">
        <v>2031</v>
      </c>
      <c r="D157">
        <v>0</v>
      </c>
      <c r="E157">
        <v>24</v>
      </c>
      <c r="F157">
        <v>0</v>
      </c>
      <c r="G157">
        <v>0</v>
      </c>
      <c r="H157" t="s">
        <v>2032</v>
      </c>
      <c r="I157">
        <v>7.55</v>
      </c>
      <c r="J157" t="s">
        <v>48</v>
      </c>
      <c r="K157" t="s">
        <v>14</v>
      </c>
      <c r="L157">
        <v>1</v>
      </c>
      <c r="M157">
        <v>0</v>
      </c>
      <c r="N157">
        <v>0</v>
      </c>
      <c r="O157" t="s">
        <v>1741</v>
      </c>
      <c r="P157">
        <v>0</v>
      </c>
      <c r="Q157">
        <v>0</v>
      </c>
      <c r="R157">
        <v>1</v>
      </c>
      <c r="S157">
        <v>0</v>
      </c>
      <c r="T157">
        <v>0</v>
      </c>
    </row>
    <row r="158" spans="1:20" x14ac:dyDescent="0.25">
      <c r="A158">
        <v>1048</v>
      </c>
      <c r="B158">
        <v>1</v>
      </c>
      <c r="C158" t="s">
        <v>2033</v>
      </c>
      <c r="D158">
        <v>1</v>
      </c>
      <c r="E158">
        <v>29</v>
      </c>
      <c r="F158">
        <v>0</v>
      </c>
      <c r="G158">
        <v>0</v>
      </c>
      <c r="H158" t="s">
        <v>1076</v>
      </c>
      <c r="I158">
        <v>221.7792</v>
      </c>
      <c r="J158" t="s">
        <v>2034</v>
      </c>
      <c r="K158" t="s">
        <v>14</v>
      </c>
      <c r="L158">
        <v>1</v>
      </c>
      <c r="M158">
        <v>0</v>
      </c>
      <c r="N158">
        <v>0</v>
      </c>
      <c r="O158" t="s">
        <v>1739</v>
      </c>
      <c r="P158">
        <v>1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>
        <v>1049</v>
      </c>
      <c r="B159">
        <v>3</v>
      </c>
      <c r="C159" t="s">
        <v>2035</v>
      </c>
      <c r="D159">
        <v>1</v>
      </c>
      <c r="E159">
        <v>23</v>
      </c>
      <c r="F159">
        <v>0</v>
      </c>
      <c r="G159">
        <v>0</v>
      </c>
      <c r="H159" t="s">
        <v>2036</v>
      </c>
      <c r="I159">
        <v>7.8541999999999996</v>
      </c>
      <c r="J159" t="s">
        <v>48</v>
      </c>
      <c r="K159" t="s">
        <v>14</v>
      </c>
      <c r="L159">
        <v>1</v>
      </c>
      <c r="M159">
        <v>0</v>
      </c>
      <c r="N159">
        <v>0</v>
      </c>
      <c r="O159" t="s">
        <v>1739</v>
      </c>
      <c r="P159">
        <v>1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>
        <v>1050</v>
      </c>
      <c r="B160">
        <v>1</v>
      </c>
      <c r="C160" t="s">
        <v>2037</v>
      </c>
      <c r="D160">
        <v>0</v>
      </c>
      <c r="E160">
        <v>42</v>
      </c>
      <c r="F160">
        <v>0</v>
      </c>
      <c r="G160">
        <v>0</v>
      </c>
      <c r="H160" t="s">
        <v>2038</v>
      </c>
      <c r="I160">
        <v>26.55</v>
      </c>
      <c r="J160" t="s">
        <v>2039</v>
      </c>
      <c r="K160" t="s">
        <v>14</v>
      </c>
      <c r="L160">
        <v>1</v>
      </c>
      <c r="M160">
        <v>0</v>
      </c>
      <c r="N160">
        <v>0</v>
      </c>
      <c r="O160" t="s">
        <v>1741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 x14ac:dyDescent="0.25">
      <c r="A161">
        <v>1051</v>
      </c>
      <c r="B161">
        <v>3</v>
      </c>
      <c r="C161" t="s">
        <v>2040</v>
      </c>
      <c r="D161">
        <v>1</v>
      </c>
      <c r="E161">
        <v>26</v>
      </c>
      <c r="F161">
        <v>0</v>
      </c>
      <c r="G161">
        <v>2</v>
      </c>
      <c r="H161" t="s">
        <v>2041</v>
      </c>
      <c r="I161">
        <v>13.775</v>
      </c>
      <c r="J161" t="s">
        <v>48</v>
      </c>
      <c r="K161" t="s">
        <v>14</v>
      </c>
      <c r="L161">
        <v>1</v>
      </c>
      <c r="M161">
        <v>0</v>
      </c>
      <c r="N161">
        <v>0</v>
      </c>
      <c r="O161" t="s">
        <v>1740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25">
      <c r="A162">
        <v>1052</v>
      </c>
      <c r="B162">
        <v>3</v>
      </c>
      <c r="C162" t="s">
        <v>2042</v>
      </c>
      <c r="D162">
        <v>1</v>
      </c>
      <c r="E162">
        <v>21.98581560283688</v>
      </c>
      <c r="F162">
        <v>0</v>
      </c>
      <c r="G162">
        <v>0</v>
      </c>
      <c r="H162" t="s">
        <v>2043</v>
      </c>
      <c r="I162">
        <v>7.7332999999999998</v>
      </c>
      <c r="J162" t="s">
        <v>48</v>
      </c>
      <c r="K162" t="s">
        <v>28</v>
      </c>
      <c r="L162">
        <v>0</v>
      </c>
      <c r="M162">
        <v>0</v>
      </c>
      <c r="N162">
        <v>1</v>
      </c>
      <c r="O162" t="s">
        <v>1739</v>
      </c>
      <c r="P162">
        <v>1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>
        <v>1053</v>
      </c>
      <c r="B163">
        <v>3</v>
      </c>
      <c r="C163" t="s">
        <v>2044</v>
      </c>
      <c r="D163">
        <v>0</v>
      </c>
      <c r="E163">
        <v>7</v>
      </c>
      <c r="F163">
        <v>1</v>
      </c>
      <c r="G163">
        <v>1</v>
      </c>
      <c r="H163" t="s">
        <v>543</v>
      </c>
      <c r="I163">
        <v>15.245799999999999</v>
      </c>
      <c r="J163" t="s">
        <v>48</v>
      </c>
      <c r="K163" t="s">
        <v>18</v>
      </c>
      <c r="L163">
        <v>0</v>
      </c>
      <c r="M163">
        <v>1</v>
      </c>
      <c r="N163">
        <v>0</v>
      </c>
      <c r="O163" t="s">
        <v>1742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5">
      <c r="A164">
        <v>1054</v>
      </c>
      <c r="B164">
        <v>2</v>
      </c>
      <c r="C164" t="s">
        <v>2045</v>
      </c>
      <c r="D164">
        <v>1</v>
      </c>
      <c r="E164">
        <v>26</v>
      </c>
      <c r="F164">
        <v>0</v>
      </c>
      <c r="G164">
        <v>0</v>
      </c>
      <c r="H164" t="s">
        <v>2046</v>
      </c>
      <c r="I164">
        <v>13.5</v>
      </c>
      <c r="J164" t="s">
        <v>48</v>
      </c>
      <c r="K164" t="s">
        <v>14</v>
      </c>
      <c r="L164">
        <v>1</v>
      </c>
      <c r="M164">
        <v>0</v>
      </c>
      <c r="N164">
        <v>0</v>
      </c>
      <c r="O164" t="s">
        <v>1739</v>
      </c>
      <c r="P164">
        <v>1</v>
      </c>
      <c r="Q164">
        <v>0</v>
      </c>
      <c r="R164">
        <v>0</v>
      </c>
      <c r="S164">
        <v>0</v>
      </c>
      <c r="T164">
        <v>0</v>
      </c>
    </row>
    <row r="165" spans="1:20" x14ac:dyDescent="0.25">
      <c r="A165">
        <v>1055</v>
      </c>
      <c r="B165">
        <v>3</v>
      </c>
      <c r="C165" t="s">
        <v>2047</v>
      </c>
      <c r="D165">
        <v>0</v>
      </c>
      <c r="E165">
        <v>32.180156657963444</v>
      </c>
      <c r="F165">
        <v>0</v>
      </c>
      <c r="G165">
        <v>0</v>
      </c>
      <c r="H165" t="s">
        <v>2048</v>
      </c>
      <c r="I165">
        <v>7</v>
      </c>
      <c r="J165" t="s">
        <v>48</v>
      </c>
      <c r="K165" t="s">
        <v>14</v>
      </c>
      <c r="L165">
        <v>1</v>
      </c>
      <c r="M165">
        <v>0</v>
      </c>
      <c r="N165">
        <v>0</v>
      </c>
      <c r="O165" t="s">
        <v>1741</v>
      </c>
      <c r="P165">
        <v>0</v>
      </c>
      <c r="Q165">
        <v>0</v>
      </c>
      <c r="R165">
        <v>1</v>
      </c>
      <c r="S165">
        <v>0</v>
      </c>
      <c r="T165">
        <v>0</v>
      </c>
    </row>
    <row r="166" spans="1:20" x14ac:dyDescent="0.25">
      <c r="A166">
        <v>1056</v>
      </c>
      <c r="B166">
        <v>2</v>
      </c>
      <c r="C166" t="s">
        <v>2049</v>
      </c>
      <c r="D166">
        <v>0</v>
      </c>
      <c r="E166">
        <v>41</v>
      </c>
      <c r="F166">
        <v>0</v>
      </c>
      <c r="G166">
        <v>0</v>
      </c>
      <c r="H166" t="s">
        <v>2050</v>
      </c>
      <c r="I166">
        <v>13</v>
      </c>
      <c r="J166" t="s">
        <v>48</v>
      </c>
      <c r="K166" t="s">
        <v>14</v>
      </c>
      <c r="L166">
        <v>1</v>
      </c>
      <c r="M166">
        <v>0</v>
      </c>
      <c r="N166">
        <v>0</v>
      </c>
      <c r="O166" t="s">
        <v>1745</v>
      </c>
      <c r="P166">
        <v>0</v>
      </c>
      <c r="Q166">
        <v>0</v>
      </c>
      <c r="R166">
        <v>0</v>
      </c>
      <c r="S166">
        <v>0</v>
      </c>
      <c r="T166">
        <v>1</v>
      </c>
    </row>
    <row r="167" spans="1:20" x14ac:dyDescent="0.25">
      <c r="A167">
        <v>1057</v>
      </c>
      <c r="B167">
        <v>3</v>
      </c>
      <c r="C167" t="s">
        <v>2051</v>
      </c>
      <c r="D167">
        <v>1</v>
      </c>
      <c r="E167">
        <v>26</v>
      </c>
      <c r="F167">
        <v>1</v>
      </c>
      <c r="G167">
        <v>1</v>
      </c>
      <c r="H167" t="s">
        <v>400</v>
      </c>
      <c r="I167">
        <v>22.024999999999999</v>
      </c>
      <c r="J167" t="s">
        <v>48</v>
      </c>
      <c r="K167" t="s">
        <v>14</v>
      </c>
      <c r="L167">
        <v>1</v>
      </c>
      <c r="M167">
        <v>0</v>
      </c>
      <c r="N167">
        <v>0</v>
      </c>
      <c r="O167" t="s">
        <v>1740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25">
      <c r="A168">
        <v>1058</v>
      </c>
      <c r="B168">
        <v>1</v>
      </c>
      <c r="C168" t="s">
        <v>2052</v>
      </c>
      <c r="D168">
        <v>0</v>
      </c>
      <c r="E168">
        <v>48</v>
      </c>
      <c r="F168">
        <v>0</v>
      </c>
      <c r="G168">
        <v>0</v>
      </c>
      <c r="H168" t="s">
        <v>2053</v>
      </c>
      <c r="I168">
        <v>50.495800000000003</v>
      </c>
      <c r="J168" t="s">
        <v>2054</v>
      </c>
      <c r="K168" t="s">
        <v>18</v>
      </c>
      <c r="L168">
        <v>0</v>
      </c>
      <c r="M168">
        <v>1</v>
      </c>
      <c r="N168">
        <v>0</v>
      </c>
      <c r="O168" t="s">
        <v>1741</v>
      </c>
      <c r="P168">
        <v>0</v>
      </c>
      <c r="Q168">
        <v>0</v>
      </c>
      <c r="R168">
        <v>1</v>
      </c>
      <c r="S168">
        <v>0</v>
      </c>
      <c r="T168">
        <v>0</v>
      </c>
    </row>
    <row r="169" spans="1:20" x14ac:dyDescent="0.25">
      <c r="A169">
        <v>1059</v>
      </c>
      <c r="B169">
        <v>3</v>
      </c>
      <c r="C169" t="s">
        <v>2055</v>
      </c>
      <c r="D169">
        <v>0</v>
      </c>
      <c r="E169">
        <v>18</v>
      </c>
      <c r="F169">
        <v>2</v>
      </c>
      <c r="G169">
        <v>2</v>
      </c>
      <c r="H169" t="s">
        <v>203</v>
      </c>
      <c r="I169">
        <v>34.375</v>
      </c>
      <c r="J169" t="s">
        <v>48</v>
      </c>
      <c r="K169" t="s">
        <v>14</v>
      </c>
      <c r="L169">
        <v>1</v>
      </c>
      <c r="M169">
        <v>0</v>
      </c>
      <c r="N169">
        <v>0</v>
      </c>
      <c r="O169" t="s">
        <v>1741</v>
      </c>
      <c r="P169">
        <v>0</v>
      </c>
      <c r="Q169">
        <v>0</v>
      </c>
      <c r="R169">
        <v>1</v>
      </c>
      <c r="S169">
        <v>0</v>
      </c>
      <c r="T169">
        <v>0</v>
      </c>
    </row>
    <row r="170" spans="1:20" x14ac:dyDescent="0.25">
      <c r="A170">
        <v>1060</v>
      </c>
      <c r="B170">
        <v>1</v>
      </c>
      <c r="C170" t="s">
        <v>2056</v>
      </c>
      <c r="D170">
        <v>1</v>
      </c>
      <c r="E170">
        <v>35.898148148148145</v>
      </c>
      <c r="F170">
        <v>0</v>
      </c>
      <c r="G170">
        <v>0</v>
      </c>
      <c r="H170" t="s">
        <v>2057</v>
      </c>
      <c r="I170">
        <v>27.720800000000001</v>
      </c>
      <c r="J170" t="s">
        <v>48</v>
      </c>
      <c r="K170" t="s">
        <v>18</v>
      </c>
      <c r="L170">
        <v>0</v>
      </c>
      <c r="M170">
        <v>1</v>
      </c>
      <c r="N170">
        <v>0</v>
      </c>
      <c r="O170" t="s">
        <v>1740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25">
      <c r="A171">
        <v>1061</v>
      </c>
      <c r="B171">
        <v>3</v>
      </c>
      <c r="C171" t="s">
        <v>2058</v>
      </c>
      <c r="D171">
        <v>1</v>
      </c>
      <c r="E171">
        <v>22</v>
      </c>
      <c r="F171">
        <v>0</v>
      </c>
      <c r="G171">
        <v>0</v>
      </c>
      <c r="H171" t="s">
        <v>2059</v>
      </c>
      <c r="I171">
        <v>8.9625000000000004</v>
      </c>
      <c r="J171" t="s">
        <v>48</v>
      </c>
      <c r="K171" t="s">
        <v>14</v>
      </c>
      <c r="L171">
        <v>1</v>
      </c>
      <c r="M171">
        <v>0</v>
      </c>
      <c r="N171">
        <v>0</v>
      </c>
      <c r="O171" t="s">
        <v>1739</v>
      </c>
      <c r="P171">
        <v>1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>
        <v>1062</v>
      </c>
      <c r="B172">
        <v>3</v>
      </c>
      <c r="C172" t="s">
        <v>2060</v>
      </c>
      <c r="D172">
        <v>0</v>
      </c>
      <c r="E172">
        <v>32.180156657963444</v>
      </c>
      <c r="F172">
        <v>0</v>
      </c>
      <c r="G172">
        <v>0</v>
      </c>
      <c r="H172" t="s">
        <v>2061</v>
      </c>
      <c r="I172">
        <v>7.55</v>
      </c>
      <c r="J172" t="s">
        <v>48</v>
      </c>
      <c r="K172" t="s">
        <v>14</v>
      </c>
      <c r="L172">
        <v>1</v>
      </c>
      <c r="M172">
        <v>0</v>
      </c>
      <c r="N172">
        <v>0</v>
      </c>
      <c r="O172" t="s">
        <v>1741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25">
      <c r="A173">
        <v>1063</v>
      </c>
      <c r="B173">
        <v>3</v>
      </c>
      <c r="C173" t="s">
        <v>2062</v>
      </c>
      <c r="D173">
        <v>0</v>
      </c>
      <c r="E173">
        <v>27</v>
      </c>
      <c r="F173">
        <v>0</v>
      </c>
      <c r="G173">
        <v>0</v>
      </c>
      <c r="H173" t="s">
        <v>2063</v>
      </c>
      <c r="I173">
        <v>7.2249999999999996</v>
      </c>
      <c r="J173" t="s">
        <v>48</v>
      </c>
      <c r="K173" t="s">
        <v>18</v>
      </c>
      <c r="L173">
        <v>0</v>
      </c>
      <c r="M173">
        <v>1</v>
      </c>
      <c r="N173">
        <v>0</v>
      </c>
      <c r="O173" t="s">
        <v>1741</v>
      </c>
      <c r="P173">
        <v>0</v>
      </c>
      <c r="Q173">
        <v>0</v>
      </c>
      <c r="R173">
        <v>1</v>
      </c>
      <c r="S173">
        <v>0</v>
      </c>
      <c r="T173">
        <v>0</v>
      </c>
    </row>
    <row r="174" spans="1:20" x14ac:dyDescent="0.25">
      <c r="A174">
        <v>1064</v>
      </c>
      <c r="B174">
        <v>3</v>
      </c>
      <c r="C174" t="s">
        <v>2064</v>
      </c>
      <c r="D174">
        <v>0</v>
      </c>
      <c r="E174">
        <v>23</v>
      </c>
      <c r="F174">
        <v>1</v>
      </c>
      <c r="G174">
        <v>0</v>
      </c>
      <c r="H174" t="s">
        <v>1920</v>
      </c>
      <c r="I174">
        <v>13.9</v>
      </c>
      <c r="J174" t="s">
        <v>48</v>
      </c>
      <c r="K174" t="s">
        <v>14</v>
      </c>
      <c r="L174">
        <v>1</v>
      </c>
      <c r="M174">
        <v>0</v>
      </c>
      <c r="N174">
        <v>0</v>
      </c>
      <c r="O174" t="s">
        <v>1741</v>
      </c>
      <c r="P174">
        <v>0</v>
      </c>
      <c r="Q174">
        <v>0</v>
      </c>
      <c r="R174">
        <v>1</v>
      </c>
      <c r="S174">
        <v>0</v>
      </c>
      <c r="T174">
        <v>0</v>
      </c>
    </row>
    <row r="175" spans="1:20" x14ac:dyDescent="0.25">
      <c r="A175">
        <v>1065</v>
      </c>
      <c r="B175">
        <v>3</v>
      </c>
      <c r="C175" t="s">
        <v>2065</v>
      </c>
      <c r="D175">
        <v>0</v>
      </c>
      <c r="E175">
        <v>32.180156657963444</v>
      </c>
      <c r="F175">
        <v>0</v>
      </c>
      <c r="G175">
        <v>0</v>
      </c>
      <c r="H175" t="s">
        <v>2066</v>
      </c>
      <c r="I175">
        <v>7.2291999999999996</v>
      </c>
      <c r="J175" t="s">
        <v>48</v>
      </c>
      <c r="K175" t="s">
        <v>18</v>
      </c>
      <c r="L175">
        <v>0</v>
      </c>
      <c r="M175">
        <v>1</v>
      </c>
      <c r="N175">
        <v>0</v>
      </c>
      <c r="O175" t="s">
        <v>1741</v>
      </c>
      <c r="P175">
        <v>0</v>
      </c>
      <c r="Q175">
        <v>0</v>
      </c>
      <c r="R175">
        <v>1</v>
      </c>
      <c r="S175">
        <v>0</v>
      </c>
      <c r="T175">
        <v>0</v>
      </c>
    </row>
    <row r="176" spans="1:20" x14ac:dyDescent="0.25">
      <c r="A176">
        <v>1066</v>
      </c>
      <c r="B176">
        <v>3</v>
      </c>
      <c r="C176" t="s">
        <v>2067</v>
      </c>
      <c r="D176">
        <v>0</v>
      </c>
      <c r="E176">
        <v>40</v>
      </c>
      <c r="F176">
        <v>1</v>
      </c>
      <c r="G176">
        <v>5</v>
      </c>
      <c r="H176" t="s">
        <v>73</v>
      </c>
      <c r="I176">
        <v>31.387499999999999</v>
      </c>
      <c r="J176" t="s">
        <v>48</v>
      </c>
      <c r="K176" t="s">
        <v>14</v>
      </c>
      <c r="L176">
        <v>1</v>
      </c>
      <c r="M176">
        <v>0</v>
      </c>
      <c r="N176">
        <v>0</v>
      </c>
      <c r="O176" t="s">
        <v>1741</v>
      </c>
      <c r="P176">
        <v>0</v>
      </c>
      <c r="Q176">
        <v>0</v>
      </c>
      <c r="R176">
        <v>1</v>
      </c>
      <c r="S176">
        <v>0</v>
      </c>
      <c r="T176">
        <v>0</v>
      </c>
    </row>
    <row r="177" spans="1:20" x14ac:dyDescent="0.25">
      <c r="A177">
        <v>1067</v>
      </c>
      <c r="B177">
        <v>2</v>
      </c>
      <c r="C177" t="s">
        <v>2068</v>
      </c>
      <c r="D177">
        <v>1</v>
      </c>
      <c r="E177">
        <v>15</v>
      </c>
      <c r="F177">
        <v>0</v>
      </c>
      <c r="G177">
        <v>2</v>
      </c>
      <c r="H177" t="s">
        <v>1338</v>
      </c>
      <c r="I177">
        <v>39</v>
      </c>
      <c r="J177" t="s">
        <v>48</v>
      </c>
      <c r="K177" t="s">
        <v>14</v>
      </c>
      <c r="L177">
        <v>1</v>
      </c>
      <c r="M177">
        <v>0</v>
      </c>
      <c r="N177">
        <v>0</v>
      </c>
      <c r="O177" t="s">
        <v>1739</v>
      </c>
      <c r="P177">
        <v>1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>
        <v>1068</v>
      </c>
      <c r="B178">
        <v>2</v>
      </c>
      <c r="C178" t="s">
        <v>2069</v>
      </c>
      <c r="D178">
        <v>1</v>
      </c>
      <c r="E178">
        <v>20</v>
      </c>
      <c r="F178">
        <v>0</v>
      </c>
      <c r="G178">
        <v>0</v>
      </c>
      <c r="H178" t="s">
        <v>323</v>
      </c>
      <c r="I178">
        <v>36.75</v>
      </c>
      <c r="J178" t="s">
        <v>48</v>
      </c>
      <c r="K178" t="s">
        <v>14</v>
      </c>
      <c r="L178">
        <v>1</v>
      </c>
      <c r="M178">
        <v>0</v>
      </c>
      <c r="N178">
        <v>0</v>
      </c>
      <c r="O178" t="s">
        <v>1739</v>
      </c>
      <c r="P178">
        <v>1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>
        <v>1069</v>
      </c>
      <c r="B179">
        <v>1</v>
      </c>
      <c r="C179" t="s">
        <v>2070</v>
      </c>
      <c r="D179">
        <v>0</v>
      </c>
      <c r="E179">
        <v>54</v>
      </c>
      <c r="F179">
        <v>1</v>
      </c>
      <c r="G179">
        <v>0</v>
      </c>
      <c r="H179" t="s">
        <v>1938</v>
      </c>
      <c r="I179">
        <v>55.441699999999997</v>
      </c>
      <c r="J179" t="s">
        <v>1939</v>
      </c>
      <c r="K179" t="s">
        <v>18</v>
      </c>
      <c r="L179">
        <v>0</v>
      </c>
      <c r="M179">
        <v>1</v>
      </c>
      <c r="N179">
        <v>0</v>
      </c>
      <c r="O179" t="s">
        <v>1741</v>
      </c>
      <c r="P179">
        <v>0</v>
      </c>
      <c r="Q179">
        <v>0</v>
      </c>
      <c r="R179">
        <v>1</v>
      </c>
      <c r="S179">
        <v>0</v>
      </c>
      <c r="T179">
        <v>0</v>
      </c>
    </row>
    <row r="180" spans="1:20" x14ac:dyDescent="0.25">
      <c r="A180">
        <v>1070</v>
      </c>
      <c r="B180">
        <v>2</v>
      </c>
      <c r="C180" t="s">
        <v>2071</v>
      </c>
      <c r="D180">
        <v>1</v>
      </c>
      <c r="E180">
        <v>36</v>
      </c>
      <c r="F180">
        <v>0</v>
      </c>
      <c r="G180">
        <v>3</v>
      </c>
      <c r="H180" t="s">
        <v>397</v>
      </c>
      <c r="I180">
        <v>39</v>
      </c>
      <c r="J180" t="s">
        <v>398</v>
      </c>
      <c r="K180" t="s">
        <v>14</v>
      </c>
      <c r="L180">
        <v>1</v>
      </c>
      <c r="M180">
        <v>0</v>
      </c>
      <c r="N180">
        <v>0</v>
      </c>
      <c r="O180" t="s">
        <v>1740</v>
      </c>
      <c r="P180">
        <v>0</v>
      </c>
      <c r="Q180">
        <v>1</v>
      </c>
      <c r="R180">
        <v>0</v>
      </c>
      <c r="S180">
        <v>0</v>
      </c>
      <c r="T180">
        <v>0</v>
      </c>
    </row>
    <row r="181" spans="1:20" x14ac:dyDescent="0.25">
      <c r="A181">
        <v>1071</v>
      </c>
      <c r="B181">
        <v>1</v>
      </c>
      <c r="C181" t="s">
        <v>2072</v>
      </c>
      <c r="D181">
        <v>1</v>
      </c>
      <c r="E181">
        <v>64</v>
      </c>
      <c r="F181">
        <v>0</v>
      </c>
      <c r="G181">
        <v>2</v>
      </c>
      <c r="H181" t="s">
        <v>1636</v>
      </c>
      <c r="I181">
        <v>83.158299999999997</v>
      </c>
      <c r="J181" t="s">
        <v>2073</v>
      </c>
      <c r="K181" t="s">
        <v>18</v>
      </c>
      <c r="L181">
        <v>0</v>
      </c>
      <c r="M181">
        <v>1</v>
      </c>
      <c r="N181">
        <v>0</v>
      </c>
      <c r="O181" t="s">
        <v>1740</v>
      </c>
      <c r="P181">
        <v>0</v>
      </c>
      <c r="Q181">
        <v>1</v>
      </c>
      <c r="R181">
        <v>0</v>
      </c>
      <c r="S181">
        <v>0</v>
      </c>
      <c r="T181">
        <v>0</v>
      </c>
    </row>
    <row r="182" spans="1:20" x14ac:dyDescent="0.25">
      <c r="A182">
        <v>1072</v>
      </c>
      <c r="B182">
        <v>2</v>
      </c>
      <c r="C182" t="s">
        <v>2074</v>
      </c>
      <c r="D182">
        <v>0</v>
      </c>
      <c r="E182">
        <v>30</v>
      </c>
      <c r="F182">
        <v>0</v>
      </c>
      <c r="G182">
        <v>0</v>
      </c>
      <c r="H182" t="s">
        <v>2075</v>
      </c>
      <c r="I182">
        <v>13</v>
      </c>
      <c r="J182" t="s">
        <v>48</v>
      </c>
      <c r="K182" t="s">
        <v>14</v>
      </c>
      <c r="L182">
        <v>1</v>
      </c>
      <c r="M182">
        <v>0</v>
      </c>
      <c r="N182">
        <v>0</v>
      </c>
      <c r="O182" t="s">
        <v>1741</v>
      </c>
      <c r="P182">
        <v>0</v>
      </c>
      <c r="Q182">
        <v>0</v>
      </c>
      <c r="R182">
        <v>1</v>
      </c>
      <c r="S182">
        <v>0</v>
      </c>
      <c r="T182">
        <v>0</v>
      </c>
    </row>
    <row r="183" spans="1:20" x14ac:dyDescent="0.25">
      <c r="A183">
        <v>1073</v>
      </c>
      <c r="B183">
        <v>1</v>
      </c>
      <c r="C183" t="s">
        <v>2076</v>
      </c>
      <c r="D183">
        <v>0</v>
      </c>
      <c r="E183">
        <v>37</v>
      </c>
      <c r="F183">
        <v>1</v>
      </c>
      <c r="G183">
        <v>1</v>
      </c>
      <c r="H183" t="s">
        <v>1636</v>
      </c>
      <c r="I183">
        <v>83.158299999999997</v>
      </c>
      <c r="J183" t="s">
        <v>2077</v>
      </c>
      <c r="K183" t="s">
        <v>18</v>
      </c>
      <c r="L183">
        <v>0</v>
      </c>
      <c r="M183">
        <v>1</v>
      </c>
      <c r="N183">
        <v>0</v>
      </c>
      <c r="O183" t="s">
        <v>1741</v>
      </c>
      <c r="P183">
        <v>0</v>
      </c>
      <c r="Q183">
        <v>0</v>
      </c>
      <c r="R183">
        <v>1</v>
      </c>
      <c r="S183">
        <v>0</v>
      </c>
      <c r="T183">
        <v>0</v>
      </c>
    </row>
    <row r="184" spans="1:20" x14ac:dyDescent="0.25">
      <c r="A184">
        <v>1074</v>
      </c>
      <c r="B184">
        <v>1</v>
      </c>
      <c r="C184" t="s">
        <v>2078</v>
      </c>
      <c r="D184">
        <v>1</v>
      </c>
      <c r="E184">
        <v>18</v>
      </c>
      <c r="F184">
        <v>1</v>
      </c>
      <c r="G184">
        <v>0</v>
      </c>
      <c r="H184" t="s">
        <v>1481</v>
      </c>
      <c r="I184">
        <v>53.1</v>
      </c>
      <c r="J184" t="s">
        <v>1482</v>
      </c>
      <c r="K184" t="s">
        <v>14</v>
      </c>
      <c r="L184">
        <v>1</v>
      </c>
      <c r="M184">
        <v>0</v>
      </c>
      <c r="N184">
        <v>0</v>
      </c>
      <c r="O184" t="s">
        <v>1740</v>
      </c>
      <c r="P184">
        <v>0</v>
      </c>
      <c r="Q184">
        <v>1</v>
      </c>
      <c r="R184">
        <v>0</v>
      </c>
      <c r="S184">
        <v>0</v>
      </c>
      <c r="T184">
        <v>0</v>
      </c>
    </row>
    <row r="185" spans="1:20" x14ac:dyDescent="0.25">
      <c r="A185">
        <v>1075</v>
      </c>
      <c r="B185">
        <v>3</v>
      </c>
      <c r="C185" t="s">
        <v>2079</v>
      </c>
      <c r="D185">
        <v>0</v>
      </c>
      <c r="E185">
        <v>32.180156657963444</v>
      </c>
      <c r="F185">
        <v>0</v>
      </c>
      <c r="G185">
        <v>0</v>
      </c>
      <c r="H185" t="s">
        <v>2080</v>
      </c>
      <c r="I185">
        <v>7.75</v>
      </c>
      <c r="J185" t="s">
        <v>48</v>
      </c>
      <c r="K185" t="s">
        <v>28</v>
      </c>
      <c r="L185">
        <v>0</v>
      </c>
      <c r="M185">
        <v>0</v>
      </c>
      <c r="N185">
        <v>1</v>
      </c>
      <c r="O185" t="s">
        <v>1741</v>
      </c>
      <c r="P185">
        <v>0</v>
      </c>
      <c r="Q185">
        <v>0</v>
      </c>
      <c r="R185">
        <v>1</v>
      </c>
      <c r="S185">
        <v>0</v>
      </c>
      <c r="T185">
        <v>0</v>
      </c>
    </row>
    <row r="186" spans="1:20" x14ac:dyDescent="0.25">
      <c r="A186">
        <v>1076</v>
      </c>
      <c r="B186">
        <v>1</v>
      </c>
      <c r="C186" t="s">
        <v>2081</v>
      </c>
      <c r="D186">
        <v>1</v>
      </c>
      <c r="E186">
        <v>27</v>
      </c>
      <c r="F186">
        <v>1</v>
      </c>
      <c r="G186">
        <v>1</v>
      </c>
      <c r="H186" t="s">
        <v>270</v>
      </c>
      <c r="I186">
        <v>247.52080000000001</v>
      </c>
      <c r="J186" t="s">
        <v>271</v>
      </c>
      <c r="K186" t="s">
        <v>18</v>
      </c>
      <c r="L186">
        <v>0</v>
      </c>
      <c r="M186">
        <v>1</v>
      </c>
      <c r="N186">
        <v>0</v>
      </c>
      <c r="O186" t="s">
        <v>1740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25">
      <c r="A187">
        <v>1077</v>
      </c>
      <c r="B187">
        <v>2</v>
      </c>
      <c r="C187" t="s">
        <v>2082</v>
      </c>
      <c r="D187">
        <v>0</v>
      </c>
      <c r="E187">
        <v>40</v>
      </c>
      <c r="F187">
        <v>0</v>
      </c>
      <c r="G187">
        <v>0</v>
      </c>
      <c r="H187" t="s">
        <v>2083</v>
      </c>
      <c r="I187">
        <v>16</v>
      </c>
      <c r="J187" t="s">
        <v>48</v>
      </c>
      <c r="K187" t="s">
        <v>14</v>
      </c>
      <c r="L187">
        <v>1</v>
      </c>
      <c r="M187">
        <v>0</v>
      </c>
      <c r="N187">
        <v>0</v>
      </c>
      <c r="O187" t="s">
        <v>1741</v>
      </c>
      <c r="P187">
        <v>0</v>
      </c>
      <c r="Q187">
        <v>0</v>
      </c>
      <c r="R187">
        <v>1</v>
      </c>
      <c r="S187">
        <v>0</v>
      </c>
      <c r="T187">
        <v>0</v>
      </c>
    </row>
    <row r="188" spans="1:20" x14ac:dyDescent="0.25">
      <c r="A188">
        <v>1078</v>
      </c>
      <c r="B188">
        <v>2</v>
      </c>
      <c r="C188" t="s">
        <v>2084</v>
      </c>
      <c r="D188">
        <v>1</v>
      </c>
      <c r="E188">
        <v>21</v>
      </c>
      <c r="F188">
        <v>0</v>
      </c>
      <c r="G188">
        <v>1</v>
      </c>
      <c r="H188" t="s">
        <v>2085</v>
      </c>
      <c r="I188">
        <v>21</v>
      </c>
      <c r="J188" t="s">
        <v>48</v>
      </c>
      <c r="K188" t="s">
        <v>14</v>
      </c>
      <c r="L188">
        <v>1</v>
      </c>
      <c r="M188">
        <v>0</v>
      </c>
      <c r="N188">
        <v>0</v>
      </c>
      <c r="O188" t="s">
        <v>1739</v>
      </c>
      <c r="P188">
        <v>1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>
        <v>1079</v>
      </c>
      <c r="B189">
        <v>3</v>
      </c>
      <c r="C189" t="s">
        <v>2086</v>
      </c>
      <c r="D189">
        <v>0</v>
      </c>
      <c r="E189">
        <v>17</v>
      </c>
      <c r="F189">
        <v>2</v>
      </c>
      <c r="G189">
        <v>0</v>
      </c>
      <c r="H189" t="s">
        <v>2087</v>
      </c>
      <c r="I189">
        <v>8.0500000000000007</v>
      </c>
      <c r="J189" t="s">
        <v>48</v>
      </c>
      <c r="K189" t="s">
        <v>14</v>
      </c>
      <c r="L189">
        <v>1</v>
      </c>
      <c r="M189">
        <v>0</v>
      </c>
      <c r="N189">
        <v>0</v>
      </c>
      <c r="O189" t="s">
        <v>1741</v>
      </c>
      <c r="P189">
        <v>0</v>
      </c>
      <c r="Q189">
        <v>0</v>
      </c>
      <c r="R189">
        <v>1</v>
      </c>
      <c r="S189">
        <v>0</v>
      </c>
      <c r="T189">
        <v>0</v>
      </c>
    </row>
    <row r="190" spans="1:20" x14ac:dyDescent="0.25">
      <c r="A190">
        <v>1080</v>
      </c>
      <c r="B190">
        <v>3</v>
      </c>
      <c r="C190" t="s">
        <v>2088</v>
      </c>
      <c r="D190">
        <v>1</v>
      </c>
      <c r="E190">
        <v>21.98581560283688</v>
      </c>
      <c r="F190">
        <v>8</v>
      </c>
      <c r="G190">
        <v>2</v>
      </c>
      <c r="H190" t="s">
        <v>352</v>
      </c>
      <c r="I190">
        <v>69.55</v>
      </c>
      <c r="J190" t="s">
        <v>48</v>
      </c>
      <c r="K190" t="s">
        <v>14</v>
      </c>
      <c r="L190">
        <v>1</v>
      </c>
      <c r="M190">
        <v>0</v>
      </c>
      <c r="N190">
        <v>0</v>
      </c>
      <c r="O190" t="s">
        <v>1739</v>
      </c>
      <c r="P190">
        <v>1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>
        <v>1081</v>
      </c>
      <c r="B191">
        <v>2</v>
      </c>
      <c r="C191" t="s">
        <v>2089</v>
      </c>
      <c r="D191">
        <v>0</v>
      </c>
      <c r="E191">
        <v>40</v>
      </c>
      <c r="F191">
        <v>0</v>
      </c>
      <c r="G191">
        <v>0</v>
      </c>
      <c r="H191" t="s">
        <v>2090</v>
      </c>
      <c r="I191">
        <v>13</v>
      </c>
      <c r="J191" t="s">
        <v>48</v>
      </c>
      <c r="K191" t="s">
        <v>14</v>
      </c>
      <c r="L191">
        <v>1</v>
      </c>
      <c r="M191">
        <v>0</v>
      </c>
      <c r="N191">
        <v>0</v>
      </c>
      <c r="O191" t="s">
        <v>1741</v>
      </c>
      <c r="P191">
        <v>0</v>
      </c>
      <c r="Q191">
        <v>0</v>
      </c>
      <c r="R191">
        <v>1</v>
      </c>
      <c r="S191">
        <v>0</v>
      </c>
      <c r="T191">
        <v>0</v>
      </c>
    </row>
    <row r="192" spans="1:20" x14ac:dyDescent="0.25">
      <c r="A192">
        <v>1082</v>
      </c>
      <c r="B192">
        <v>2</v>
      </c>
      <c r="C192" t="s">
        <v>2091</v>
      </c>
      <c r="D192">
        <v>0</v>
      </c>
      <c r="E192">
        <v>34</v>
      </c>
      <c r="F192">
        <v>1</v>
      </c>
      <c r="G192">
        <v>0</v>
      </c>
      <c r="H192" t="s">
        <v>1058</v>
      </c>
      <c r="I192">
        <v>26</v>
      </c>
      <c r="J192" t="s">
        <v>48</v>
      </c>
      <c r="K192" t="s">
        <v>14</v>
      </c>
      <c r="L192">
        <v>1</v>
      </c>
      <c r="M192">
        <v>0</v>
      </c>
      <c r="N192">
        <v>0</v>
      </c>
      <c r="O192" t="s">
        <v>1741</v>
      </c>
      <c r="P192">
        <v>0</v>
      </c>
      <c r="Q192">
        <v>0</v>
      </c>
      <c r="R192">
        <v>1</v>
      </c>
      <c r="S192">
        <v>0</v>
      </c>
      <c r="T192">
        <v>0</v>
      </c>
    </row>
    <row r="193" spans="1:20" x14ac:dyDescent="0.25">
      <c r="A193">
        <v>1083</v>
      </c>
      <c r="B193">
        <v>1</v>
      </c>
      <c r="C193" t="s">
        <v>2092</v>
      </c>
      <c r="D193">
        <v>0</v>
      </c>
      <c r="E193">
        <v>32.180156657963444</v>
      </c>
      <c r="F193">
        <v>0</v>
      </c>
      <c r="G193">
        <v>0</v>
      </c>
      <c r="H193" t="s">
        <v>2093</v>
      </c>
      <c r="I193">
        <v>26</v>
      </c>
      <c r="J193" t="s">
        <v>48</v>
      </c>
      <c r="K193" t="s">
        <v>14</v>
      </c>
      <c r="L193">
        <v>1</v>
      </c>
      <c r="M193">
        <v>0</v>
      </c>
      <c r="N193">
        <v>0</v>
      </c>
      <c r="O193" t="s">
        <v>1741</v>
      </c>
      <c r="P193">
        <v>0</v>
      </c>
      <c r="Q193">
        <v>0</v>
      </c>
      <c r="R193">
        <v>1</v>
      </c>
      <c r="S193">
        <v>0</v>
      </c>
      <c r="T193">
        <v>0</v>
      </c>
    </row>
    <row r="194" spans="1:20" x14ac:dyDescent="0.25">
      <c r="A194">
        <v>1084</v>
      </c>
      <c r="B194">
        <v>3</v>
      </c>
      <c r="C194" t="s">
        <v>2094</v>
      </c>
      <c r="D194">
        <v>0</v>
      </c>
      <c r="E194">
        <v>11.5</v>
      </c>
      <c r="F194">
        <v>1</v>
      </c>
      <c r="G194">
        <v>1</v>
      </c>
      <c r="H194" t="s">
        <v>340</v>
      </c>
      <c r="I194">
        <v>14.5</v>
      </c>
      <c r="J194" t="s">
        <v>48</v>
      </c>
      <c r="K194" t="s">
        <v>14</v>
      </c>
      <c r="L194">
        <v>1</v>
      </c>
      <c r="M194">
        <v>0</v>
      </c>
      <c r="N194">
        <v>0</v>
      </c>
      <c r="O194" t="s">
        <v>1742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5">
      <c r="A195">
        <v>1085</v>
      </c>
      <c r="B195">
        <v>2</v>
      </c>
      <c r="C195" t="s">
        <v>2095</v>
      </c>
      <c r="D195">
        <v>0</v>
      </c>
      <c r="E195">
        <v>61</v>
      </c>
      <c r="F195">
        <v>0</v>
      </c>
      <c r="G195">
        <v>0</v>
      </c>
      <c r="H195" t="s">
        <v>2096</v>
      </c>
      <c r="I195">
        <v>12.35</v>
      </c>
      <c r="J195" t="s">
        <v>48</v>
      </c>
      <c r="K195" t="s">
        <v>28</v>
      </c>
      <c r="L195">
        <v>0</v>
      </c>
      <c r="M195">
        <v>0</v>
      </c>
      <c r="N195">
        <v>1</v>
      </c>
      <c r="O195" t="s">
        <v>1741</v>
      </c>
      <c r="P195">
        <v>0</v>
      </c>
      <c r="Q195">
        <v>0</v>
      </c>
      <c r="R195">
        <v>1</v>
      </c>
      <c r="S195">
        <v>0</v>
      </c>
      <c r="T195">
        <v>0</v>
      </c>
    </row>
    <row r="196" spans="1:20" x14ac:dyDescent="0.25">
      <c r="A196">
        <v>1086</v>
      </c>
      <c r="B196">
        <v>2</v>
      </c>
      <c r="C196" t="s">
        <v>2097</v>
      </c>
      <c r="D196">
        <v>0</v>
      </c>
      <c r="E196">
        <v>8</v>
      </c>
      <c r="F196">
        <v>0</v>
      </c>
      <c r="G196">
        <v>2</v>
      </c>
      <c r="H196" t="s">
        <v>860</v>
      </c>
      <c r="I196">
        <v>32.5</v>
      </c>
      <c r="J196" t="s">
        <v>48</v>
      </c>
      <c r="K196" t="s">
        <v>14</v>
      </c>
      <c r="L196">
        <v>1</v>
      </c>
      <c r="M196">
        <v>0</v>
      </c>
      <c r="N196">
        <v>0</v>
      </c>
      <c r="O196" t="s">
        <v>1742</v>
      </c>
      <c r="P196">
        <v>0</v>
      </c>
      <c r="Q196">
        <v>0</v>
      </c>
      <c r="R196">
        <v>0</v>
      </c>
      <c r="S196">
        <v>1</v>
      </c>
      <c r="T196">
        <v>0</v>
      </c>
    </row>
    <row r="197" spans="1:20" x14ac:dyDescent="0.25">
      <c r="A197">
        <v>1087</v>
      </c>
      <c r="B197">
        <v>3</v>
      </c>
      <c r="C197" t="s">
        <v>2098</v>
      </c>
      <c r="D197">
        <v>0</v>
      </c>
      <c r="E197">
        <v>33</v>
      </c>
      <c r="F197">
        <v>0</v>
      </c>
      <c r="G197">
        <v>0</v>
      </c>
      <c r="H197" t="s">
        <v>2099</v>
      </c>
      <c r="I197">
        <v>7.8541999999999996</v>
      </c>
      <c r="J197" t="s">
        <v>48</v>
      </c>
      <c r="K197" t="s">
        <v>14</v>
      </c>
      <c r="L197">
        <v>1</v>
      </c>
      <c r="M197">
        <v>0</v>
      </c>
      <c r="N197">
        <v>0</v>
      </c>
      <c r="O197" t="s">
        <v>1741</v>
      </c>
      <c r="P197">
        <v>0</v>
      </c>
      <c r="Q197">
        <v>0</v>
      </c>
      <c r="R197">
        <v>1</v>
      </c>
      <c r="S197">
        <v>0</v>
      </c>
      <c r="T197">
        <v>0</v>
      </c>
    </row>
    <row r="198" spans="1:20" x14ac:dyDescent="0.25">
      <c r="A198">
        <v>1088</v>
      </c>
      <c r="B198">
        <v>1</v>
      </c>
      <c r="C198" t="s">
        <v>2100</v>
      </c>
      <c r="D198">
        <v>0</v>
      </c>
      <c r="E198">
        <v>6</v>
      </c>
      <c r="F198">
        <v>0</v>
      </c>
      <c r="G198">
        <v>2</v>
      </c>
      <c r="H198" t="s">
        <v>680</v>
      </c>
      <c r="I198">
        <v>134.5</v>
      </c>
      <c r="J198" t="s">
        <v>681</v>
      </c>
      <c r="K198" t="s">
        <v>18</v>
      </c>
      <c r="L198">
        <v>0</v>
      </c>
      <c r="M198">
        <v>1</v>
      </c>
      <c r="N198">
        <v>0</v>
      </c>
      <c r="O198" t="s">
        <v>1742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5">
      <c r="A199">
        <v>1089</v>
      </c>
      <c r="B199">
        <v>3</v>
      </c>
      <c r="C199" t="s">
        <v>2101</v>
      </c>
      <c r="D199">
        <v>1</v>
      </c>
      <c r="E199">
        <v>18</v>
      </c>
      <c r="F199">
        <v>0</v>
      </c>
      <c r="G199">
        <v>0</v>
      </c>
      <c r="H199" t="s">
        <v>2102</v>
      </c>
      <c r="I199">
        <v>7.7750000000000004</v>
      </c>
      <c r="J199" t="s">
        <v>48</v>
      </c>
      <c r="K199" t="s">
        <v>14</v>
      </c>
      <c r="L199">
        <v>1</v>
      </c>
      <c r="M199">
        <v>0</v>
      </c>
      <c r="N199">
        <v>0</v>
      </c>
      <c r="O199" t="s">
        <v>1739</v>
      </c>
      <c r="P199">
        <v>1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>
        <v>1090</v>
      </c>
      <c r="B200">
        <v>2</v>
      </c>
      <c r="C200" t="s">
        <v>2103</v>
      </c>
      <c r="D200">
        <v>0</v>
      </c>
      <c r="E200">
        <v>23</v>
      </c>
      <c r="F200">
        <v>0</v>
      </c>
      <c r="G200">
        <v>0</v>
      </c>
      <c r="H200" t="s">
        <v>2104</v>
      </c>
      <c r="I200">
        <v>10.5</v>
      </c>
      <c r="J200" t="s">
        <v>48</v>
      </c>
      <c r="K200" t="s">
        <v>14</v>
      </c>
      <c r="L200">
        <v>1</v>
      </c>
      <c r="M200">
        <v>0</v>
      </c>
      <c r="N200">
        <v>0</v>
      </c>
      <c r="O200" t="s">
        <v>1741</v>
      </c>
      <c r="P200">
        <v>0</v>
      </c>
      <c r="Q200">
        <v>0</v>
      </c>
      <c r="R200">
        <v>1</v>
      </c>
      <c r="S200">
        <v>0</v>
      </c>
      <c r="T200">
        <v>0</v>
      </c>
    </row>
    <row r="201" spans="1:20" x14ac:dyDescent="0.25">
      <c r="A201">
        <v>1091</v>
      </c>
      <c r="B201">
        <v>3</v>
      </c>
      <c r="C201" t="s">
        <v>2105</v>
      </c>
      <c r="D201">
        <v>1</v>
      </c>
      <c r="E201">
        <v>35.898148148148145</v>
      </c>
      <c r="F201">
        <v>0</v>
      </c>
      <c r="G201">
        <v>0</v>
      </c>
      <c r="H201" t="s">
        <v>2106</v>
      </c>
      <c r="I201">
        <v>8.1125000000000007</v>
      </c>
      <c r="J201" t="s">
        <v>48</v>
      </c>
      <c r="K201" t="s">
        <v>14</v>
      </c>
      <c r="L201">
        <v>1</v>
      </c>
      <c r="M201">
        <v>0</v>
      </c>
      <c r="N201">
        <v>0</v>
      </c>
      <c r="O201" t="s">
        <v>1740</v>
      </c>
      <c r="P201">
        <v>0</v>
      </c>
      <c r="Q201">
        <v>1</v>
      </c>
      <c r="R201">
        <v>0</v>
      </c>
      <c r="S201">
        <v>0</v>
      </c>
      <c r="T201">
        <v>0</v>
      </c>
    </row>
    <row r="202" spans="1:20" x14ac:dyDescent="0.25">
      <c r="A202">
        <v>1092</v>
      </c>
      <c r="B202">
        <v>3</v>
      </c>
      <c r="C202" t="s">
        <v>2107</v>
      </c>
      <c r="D202">
        <v>1</v>
      </c>
      <c r="E202">
        <v>21.98581560283688</v>
      </c>
      <c r="F202">
        <v>0</v>
      </c>
      <c r="G202">
        <v>0</v>
      </c>
      <c r="H202" t="s">
        <v>1428</v>
      </c>
      <c r="I202">
        <v>15.5</v>
      </c>
      <c r="J202" t="s">
        <v>48</v>
      </c>
      <c r="K202" t="s">
        <v>28</v>
      </c>
      <c r="L202">
        <v>0</v>
      </c>
      <c r="M202">
        <v>0</v>
      </c>
      <c r="N202">
        <v>1</v>
      </c>
      <c r="O202" t="s">
        <v>1739</v>
      </c>
      <c r="P202">
        <v>1</v>
      </c>
      <c r="Q202">
        <v>0</v>
      </c>
      <c r="R202">
        <v>0</v>
      </c>
      <c r="S202">
        <v>0</v>
      </c>
      <c r="T202">
        <v>0</v>
      </c>
    </row>
    <row r="203" spans="1:20" x14ac:dyDescent="0.25">
      <c r="A203">
        <v>1093</v>
      </c>
      <c r="B203">
        <v>3</v>
      </c>
      <c r="C203" t="s">
        <v>2108</v>
      </c>
      <c r="D203">
        <v>0</v>
      </c>
      <c r="E203">
        <v>0.33</v>
      </c>
      <c r="F203">
        <v>0</v>
      </c>
      <c r="G203">
        <v>2</v>
      </c>
      <c r="H203" t="s">
        <v>874</v>
      </c>
      <c r="I203">
        <v>14.4</v>
      </c>
      <c r="J203" t="s">
        <v>48</v>
      </c>
      <c r="K203" t="s">
        <v>14</v>
      </c>
      <c r="L203">
        <v>1</v>
      </c>
      <c r="M203">
        <v>0</v>
      </c>
      <c r="N203">
        <v>0</v>
      </c>
      <c r="O203" t="s">
        <v>1742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5">
      <c r="A204">
        <v>1094</v>
      </c>
      <c r="B204">
        <v>1</v>
      </c>
      <c r="C204" t="s">
        <v>2109</v>
      </c>
      <c r="D204">
        <v>0</v>
      </c>
      <c r="E204">
        <v>47</v>
      </c>
      <c r="F204">
        <v>1</v>
      </c>
      <c r="G204">
        <v>0</v>
      </c>
      <c r="H204" t="s">
        <v>796</v>
      </c>
      <c r="I204">
        <v>227.52500000000001</v>
      </c>
      <c r="J204" t="s">
        <v>1395</v>
      </c>
      <c r="K204" t="s">
        <v>18</v>
      </c>
      <c r="L204">
        <v>0</v>
      </c>
      <c r="M204">
        <v>1</v>
      </c>
      <c r="N204">
        <v>0</v>
      </c>
      <c r="O204" t="s">
        <v>1753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25">
      <c r="A205">
        <v>1095</v>
      </c>
      <c r="B205">
        <v>2</v>
      </c>
      <c r="C205" t="s">
        <v>2110</v>
      </c>
      <c r="D205">
        <v>1</v>
      </c>
      <c r="E205">
        <v>8</v>
      </c>
      <c r="F205">
        <v>1</v>
      </c>
      <c r="G205">
        <v>1</v>
      </c>
      <c r="H205" t="s">
        <v>1034</v>
      </c>
      <c r="I205">
        <v>26</v>
      </c>
      <c r="J205" t="s">
        <v>48</v>
      </c>
      <c r="K205" t="s">
        <v>14</v>
      </c>
      <c r="L205">
        <v>1</v>
      </c>
      <c r="M205">
        <v>0</v>
      </c>
      <c r="N205">
        <v>0</v>
      </c>
      <c r="O205" t="s">
        <v>1739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>
        <v>1096</v>
      </c>
      <c r="B206">
        <v>2</v>
      </c>
      <c r="C206" t="s">
        <v>2111</v>
      </c>
      <c r="D206">
        <v>0</v>
      </c>
      <c r="E206">
        <v>25</v>
      </c>
      <c r="F206">
        <v>0</v>
      </c>
      <c r="G206">
        <v>0</v>
      </c>
      <c r="H206" t="s">
        <v>2112</v>
      </c>
      <c r="I206">
        <v>10.5</v>
      </c>
      <c r="J206" t="s">
        <v>48</v>
      </c>
      <c r="K206" t="s">
        <v>14</v>
      </c>
      <c r="L206">
        <v>1</v>
      </c>
      <c r="M206">
        <v>0</v>
      </c>
      <c r="N206">
        <v>0</v>
      </c>
      <c r="O206" t="s">
        <v>1741</v>
      </c>
      <c r="P206">
        <v>0</v>
      </c>
      <c r="Q206">
        <v>0</v>
      </c>
      <c r="R206">
        <v>1</v>
      </c>
      <c r="S206">
        <v>0</v>
      </c>
      <c r="T206">
        <v>0</v>
      </c>
    </row>
    <row r="207" spans="1:20" x14ac:dyDescent="0.25">
      <c r="A207">
        <v>1097</v>
      </c>
      <c r="B207">
        <v>1</v>
      </c>
      <c r="C207" t="s">
        <v>2113</v>
      </c>
      <c r="D207">
        <v>0</v>
      </c>
      <c r="E207">
        <v>32.180156657963444</v>
      </c>
      <c r="F207">
        <v>0</v>
      </c>
      <c r="G207">
        <v>0</v>
      </c>
      <c r="H207" t="s">
        <v>2114</v>
      </c>
      <c r="I207">
        <v>25.741700000000002</v>
      </c>
      <c r="J207" t="s">
        <v>48</v>
      </c>
      <c r="K207" t="s">
        <v>18</v>
      </c>
      <c r="L207">
        <v>0</v>
      </c>
      <c r="M207">
        <v>1</v>
      </c>
      <c r="N207">
        <v>0</v>
      </c>
      <c r="O207" t="s">
        <v>1741</v>
      </c>
      <c r="P207">
        <v>0</v>
      </c>
      <c r="Q207">
        <v>0</v>
      </c>
      <c r="R207">
        <v>1</v>
      </c>
      <c r="S207">
        <v>0</v>
      </c>
      <c r="T207">
        <v>0</v>
      </c>
    </row>
    <row r="208" spans="1:20" x14ac:dyDescent="0.25">
      <c r="A208">
        <v>1098</v>
      </c>
      <c r="B208">
        <v>3</v>
      </c>
      <c r="C208" t="s">
        <v>2115</v>
      </c>
      <c r="D208">
        <v>1</v>
      </c>
      <c r="E208">
        <v>35</v>
      </c>
      <c r="F208">
        <v>0</v>
      </c>
      <c r="G208">
        <v>0</v>
      </c>
      <c r="H208" t="s">
        <v>2116</v>
      </c>
      <c r="I208">
        <v>7.75</v>
      </c>
      <c r="J208" t="s">
        <v>48</v>
      </c>
      <c r="K208" t="s">
        <v>28</v>
      </c>
      <c r="L208">
        <v>0</v>
      </c>
      <c r="M208">
        <v>0</v>
      </c>
      <c r="N208">
        <v>1</v>
      </c>
      <c r="O208" t="s">
        <v>1739</v>
      </c>
      <c r="P208">
        <v>1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>
        <v>1099</v>
      </c>
      <c r="B209">
        <v>2</v>
      </c>
      <c r="C209" t="s">
        <v>2117</v>
      </c>
      <c r="D209">
        <v>0</v>
      </c>
      <c r="E209">
        <v>24</v>
      </c>
      <c r="F209">
        <v>0</v>
      </c>
      <c r="G209">
        <v>0</v>
      </c>
      <c r="H209" t="s">
        <v>2118</v>
      </c>
      <c r="I209">
        <v>10.5</v>
      </c>
      <c r="J209" t="s">
        <v>48</v>
      </c>
      <c r="K209" t="s">
        <v>14</v>
      </c>
      <c r="L209">
        <v>1</v>
      </c>
      <c r="M209">
        <v>0</v>
      </c>
      <c r="N209">
        <v>0</v>
      </c>
      <c r="O209" t="s">
        <v>1741</v>
      </c>
      <c r="P209">
        <v>0</v>
      </c>
      <c r="Q209">
        <v>0</v>
      </c>
      <c r="R209">
        <v>1</v>
      </c>
      <c r="S209">
        <v>0</v>
      </c>
      <c r="T209">
        <v>0</v>
      </c>
    </row>
    <row r="210" spans="1:20" x14ac:dyDescent="0.25">
      <c r="A210">
        <v>1100</v>
      </c>
      <c r="B210">
        <v>1</v>
      </c>
      <c r="C210" t="s">
        <v>2119</v>
      </c>
      <c r="D210">
        <v>1</v>
      </c>
      <c r="E210">
        <v>33</v>
      </c>
      <c r="F210">
        <v>0</v>
      </c>
      <c r="G210">
        <v>0</v>
      </c>
      <c r="H210" t="s">
        <v>2120</v>
      </c>
      <c r="I210">
        <v>27.720800000000001</v>
      </c>
      <c r="J210" t="s">
        <v>2121</v>
      </c>
      <c r="K210" t="s">
        <v>18</v>
      </c>
      <c r="L210">
        <v>0</v>
      </c>
      <c r="M210">
        <v>1</v>
      </c>
      <c r="N210">
        <v>0</v>
      </c>
      <c r="O210" t="s">
        <v>1739</v>
      </c>
      <c r="P210">
        <v>1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>
        <v>1101</v>
      </c>
      <c r="B211">
        <v>3</v>
      </c>
      <c r="C211" t="s">
        <v>2122</v>
      </c>
      <c r="D211">
        <v>0</v>
      </c>
      <c r="E211">
        <v>25</v>
      </c>
      <c r="F211">
        <v>0</v>
      </c>
      <c r="G211">
        <v>0</v>
      </c>
      <c r="H211" t="s">
        <v>2123</v>
      </c>
      <c r="I211">
        <v>7.8958000000000004</v>
      </c>
      <c r="J211" t="s">
        <v>48</v>
      </c>
      <c r="K211" t="s">
        <v>14</v>
      </c>
      <c r="L211">
        <v>1</v>
      </c>
      <c r="M211">
        <v>0</v>
      </c>
      <c r="N211">
        <v>0</v>
      </c>
      <c r="O211" t="s">
        <v>1741</v>
      </c>
      <c r="P211">
        <v>0</v>
      </c>
      <c r="Q211">
        <v>0</v>
      </c>
      <c r="R211">
        <v>1</v>
      </c>
      <c r="S211">
        <v>0</v>
      </c>
      <c r="T211">
        <v>0</v>
      </c>
    </row>
    <row r="212" spans="1:20" x14ac:dyDescent="0.25">
      <c r="A212">
        <v>1102</v>
      </c>
      <c r="B212">
        <v>3</v>
      </c>
      <c r="C212" t="s">
        <v>2124</v>
      </c>
      <c r="D212">
        <v>0</v>
      </c>
      <c r="E212">
        <v>32</v>
      </c>
      <c r="F212">
        <v>0</v>
      </c>
      <c r="G212">
        <v>0</v>
      </c>
      <c r="H212" t="s">
        <v>1038</v>
      </c>
      <c r="I212">
        <v>22.524999999999999</v>
      </c>
      <c r="J212" t="s">
        <v>48</v>
      </c>
      <c r="K212" t="s">
        <v>14</v>
      </c>
      <c r="L212">
        <v>1</v>
      </c>
      <c r="M212">
        <v>0</v>
      </c>
      <c r="N212">
        <v>0</v>
      </c>
      <c r="O212" t="s">
        <v>1741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x14ac:dyDescent="0.25">
      <c r="A213">
        <v>1103</v>
      </c>
      <c r="B213">
        <v>3</v>
      </c>
      <c r="C213" t="s">
        <v>2125</v>
      </c>
      <c r="D213">
        <v>0</v>
      </c>
      <c r="E213">
        <v>32.180156657963444</v>
      </c>
      <c r="F213">
        <v>0</v>
      </c>
      <c r="G213">
        <v>0</v>
      </c>
      <c r="H213" t="s">
        <v>2126</v>
      </c>
      <c r="I213">
        <v>7.05</v>
      </c>
      <c r="J213" t="s">
        <v>48</v>
      </c>
      <c r="K213" t="s">
        <v>14</v>
      </c>
      <c r="L213">
        <v>1</v>
      </c>
      <c r="M213">
        <v>0</v>
      </c>
      <c r="N213">
        <v>0</v>
      </c>
      <c r="O213" t="s">
        <v>1741</v>
      </c>
      <c r="P213">
        <v>0</v>
      </c>
      <c r="Q213">
        <v>0</v>
      </c>
      <c r="R213">
        <v>1</v>
      </c>
      <c r="S213">
        <v>0</v>
      </c>
      <c r="T213">
        <v>0</v>
      </c>
    </row>
    <row r="214" spans="1:20" x14ac:dyDescent="0.25">
      <c r="A214">
        <v>1104</v>
      </c>
      <c r="B214">
        <v>2</v>
      </c>
      <c r="C214" t="s">
        <v>2127</v>
      </c>
      <c r="D214">
        <v>0</v>
      </c>
      <c r="E214">
        <v>17</v>
      </c>
      <c r="F214">
        <v>0</v>
      </c>
      <c r="G214">
        <v>0</v>
      </c>
      <c r="H214" t="s">
        <v>174</v>
      </c>
      <c r="I214">
        <v>73.5</v>
      </c>
      <c r="J214" t="s">
        <v>48</v>
      </c>
      <c r="K214" t="s">
        <v>14</v>
      </c>
      <c r="L214">
        <v>1</v>
      </c>
      <c r="M214">
        <v>0</v>
      </c>
      <c r="N214">
        <v>0</v>
      </c>
      <c r="O214" t="s">
        <v>1741</v>
      </c>
      <c r="P214">
        <v>0</v>
      </c>
      <c r="Q214">
        <v>0</v>
      </c>
      <c r="R214">
        <v>1</v>
      </c>
      <c r="S214">
        <v>0</v>
      </c>
      <c r="T214">
        <v>0</v>
      </c>
    </row>
    <row r="215" spans="1:20" x14ac:dyDescent="0.25">
      <c r="A215">
        <v>1105</v>
      </c>
      <c r="B215">
        <v>2</v>
      </c>
      <c r="C215" t="s">
        <v>2128</v>
      </c>
      <c r="D215">
        <v>1</v>
      </c>
      <c r="E215">
        <v>60</v>
      </c>
      <c r="F215">
        <v>1</v>
      </c>
      <c r="G215">
        <v>0</v>
      </c>
      <c r="H215" t="s">
        <v>1784</v>
      </c>
      <c r="I215">
        <v>26</v>
      </c>
      <c r="J215" t="s">
        <v>48</v>
      </c>
      <c r="K215" t="s">
        <v>14</v>
      </c>
      <c r="L215">
        <v>1</v>
      </c>
      <c r="M215">
        <v>0</v>
      </c>
      <c r="N215">
        <v>0</v>
      </c>
      <c r="O215" t="s">
        <v>1740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25">
      <c r="A216">
        <v>1106</v>
      </c>
      <c r="B216">
        <v>3</v>
      </c>
      <c r="C216" t="s">
        <v>2129</v>
      </c>
      <c r="D216">
        <v>1</v>
      </c>
      <c r="E216">
        <v>38</v>
      </c>
      <c r="F216">
        <v>4</v>
      </c>
      <c r="G216">
        <v>2</v>
      </c>
      <c r="H216" t="s">
        <v>2130</v>
      </c>
      <c r="I216">
        <v>7.7750000000000004</v>
      </c>
      <c r="J216" t="s">
        <v>48</v>
      </c>
      <c r="K216" t="s">
        <v>14</v>
      </c>
      <c r="L216">
        <v>1</v>
      </c>
      <c r="M216">
        <v>0</v>
      </c>
      <c r="N216">
        <v>0</v>
      </c>
      <c r="O216" t="s">
        <v>1739</v>
      </c>
      <c r="P216">
        <v>1</v>
      </c>
      <c r="Q216">
        <v>0</v>
      </c>
      <c r="R216">
        <v>0</v>
      </c>
      <c r="S216">
        <v>0</v>
      </c>
      <c r="T216">
        <v>0</v>
      </c>
    </row>
    <row r="217" spans="1:20" x14ac:dyDescent="0.25">
      <c r="A217">
        <v>1107</v>
      </c>
      <c r="B217">
        <v>1</v>
      </c>
      <c r="C217" t="s">
        <v>2131</v>
      </c>
      <c r="D217">
        <v>0</v>
      </c>
      <c r="E217">
        <v>42</v>
      </c>
      <c r="F217">
        <v>0</v>
      </c>
      <c r="G217">
        <v>0</v>
      </c>
      <c r="H217" t="s">
        <v>2132</v>
      </c>
      <c r="I217">
        <v>42.5</v>
      </c>
      <c r="J217" t="s">
        <v>2133</v>
      </c>
      <c r="K217" t="s">
        <v>14</v>
      </c>
      <c r="L217">
        <v>1</v>
      </c>
      <c r="M217">
        <v>0</v>
      </c>
      <c r="N217">
        <v>0</v>
      </c>
      <c r="O217" t="s">
        <v>1741</v>
      </c>
      <c r="P217">
        <v>0</v>
      </c>
      <c r="Q217">
        <v>0</v>
      </c>
      <c r="R217">
        <v>1</v>
      </c>
      <c r="S217">
        <v>0</v>
      </c>
      <c r="T217">
        <v>0</v>
      </c>
    </row>
    <row r="218" spans="1:20" x14ac:dyDescent="0.25">
      <c r="A218">
        <v>1108</v>
      </c>
      <c r="B218">
        <v>3</v>
      </c>
      <c r="C218" t="s">
        <v>2134</v>
      </c>
      <c r="D218">
        <v>1</v>
      </c>
      <c r="E218">
        <v>21.98581560283688</v>
      </c>
      <c r="F218">
        <v>0</v>
      </c>
      <c r="G218">
        <v>0</v>
      </c>
      <c r="H218" t="s">
        <v>2135</v>
      </c>
      <c r="I218">
        <v>7.8792</v>
      </c>
      <c r="J218" t="s">
        <v>48</v>
      </c>
      <c r="K218" t="s">
        <v>28</v>
      </c>
      <c r="L218">
        <v>0</v>
      </c>
      <c r="M218">
        <v>0</v>
      </c>
      <c r="N218">
        <v>1</v>
      </c>
      <c r="O218" t="s">
        <v>1739</v>
      </c>
      <c r="P218">
        <v>1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>
        <v>1109</v>
      </c>
      <c r="B219">
        <v>1</v>
      </c>
      <c r="C219" t="s">
        <v>2136</v>
      </c>
      <c r="D219">
        <v>0</v>
      </c>
      <c r="E219">
        <v>57</v>
      </c>
      <c r="F219">
        <v>1</v>
      </c>
      <c r="G219">
        <v>1</v>
      </c>
      <c r="H219" t="s">
        <v>677</v>
      </c>
      <c r="I219">
        <v>164.86670000000001</v>
      </c>
      <c r="J219" t="s">
        <v>48</v>
      </c>
      <c r="K219" t="s">
        <v>14</v>
      </c>
      <c r="L219">
        <v>1</v>
      </c>
      <c r="M219">
        <v>0</v>
      </c>
      <c r="N219">
        <v>0</v>
      </c>
      <c r="O219" t="s">
        <v>1741</v>
      </c>
      <c r="P219">
        <v>0</v>
      </c>
      <c r="Q219">
        <v>0</v>
      </c>
      <c r="R219">
        <v>1</v>
      </c>
      <c r="S219">
        <v>0</v>
      </c>
      <c r="T219">
        <v>0</v>
      </c>
    </row>
    <row r="220" spans="1:20" x14ac:dyDescent="0.25">
      <c r="A220">
        <v>1110</v>
      </c>
      <c r="B220">
        <v>1</v>
      </c>
      <c r="C220" t="s">
        <v>2137</v>
      </c>
      <c r="D220">
        <v>1</v>
      </c>
      <c r="E220">
        <v>50</v>
      </c>
      <c r="F220">
        <v>1</v>
      </c>
      <c r="G220">
        <v>1</v>
      </c>
      <c r="H220" t="s">
        <v>789</v>
      </c>
      <c r="I220">
        <v>211.5</v>
      </c>
      <c r="J220" t="s">
        <v>2138</v>
      </c>
      <c r="K220" t="s">
        <v>18</v>
      </c>
      <c r="L220">
        <v>0</v>
      </c>
      <c r="M220">
        <v>1</v>
      </c>
      <c r="N220">
        <v>0</v>
      </c>
      <c r="O220" t="s">
        <v>1740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25">
      <c r="A221">
        <v>1111</v>
      </c>
      <c r="B221">
        <v>3</v>
      </c>
      <c r="C221" t="s">
        <v>2139</v>
      </c>
      <c r="D221">
        <v>0</v>
      </c>
      <c r="E221">
        <v>32.180156657963444</v>
      </c>
      <c r="F221">
        <v>0</v>
      </c>
      <c r="G221">
        <v>0</v>
      </c>
      <c r="H221" t="s">
        <v>2140</v>
      </c>
      <c r="I221">
        <v>8.0500000000000007</v>
      </c>
      <c r="J221" t="s">
        <v>48</v>
      </c>
      <c r="K221" t="s">
        <v>14</v>
      </c>
      <c r="L221">
        <v>1</v>
      </c>
      <c r="M221">
        <v>0</v>
      </c>
      <c r="N221">
        <v>0</v>
      </c>
      <c r="O221" t="s">
        <v>1741</v>
      </c>
      <c r="P221">
        <v>0</v>
      </c>
      <c r="Q221">
        <v>0</v>
      </c>
      <c r="R221">
        <v>1</v>
      </c>
      <c r="S221">
        <v>0</v>
      </c>
      <c r="T221">
        <v>0</v>
      </c>
    </row>
    <row r="222" spans="1:20" x14ac:dyDescent="0.25">
      <c r="A222">
        <v>1112</v>
      </c>
      <c r="B222">
        <v>2</v>
      </c>
      <c r="C222" t="s">
        <v>2141</v>
      </c>
      <c r="D222">
        <v>1</v>
      </c>
      <c r="E222">
        <v>30</v>
      </c>
      <c r="F222">
        <v>1</v>
      </c>
      <c r="G222">
        <v>0</v>
      </c>
      <c r="H222" t="s">
        <v>2142</v>
      </c>
      <c r="I222">
        <v>13.8583</v>
      </c>
      <c r="J222" t="s">
        <v>48</v>
      </c>
      <c r="K222" t="s">
        <v>18</v>
      </c>
      <c r="L222">
        <v>0</v>
      </c>
      <c r="M222">
        <v>1</v>
      </c>
      <c r="N222">
        <v>0</v>
      </c>
      <c r="O222" t="s">
        <v>1739</v>
      </c>
      <c r="P222">
        <v>1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>
        <v>1113</v>
      </c>
      <c r="B223">
        <v>3</v>
      </c>
      <c r="C223" t="s">
        <v>2143</v>
      </c>
      <c r="D223">
        <v>0</v>
      </c>
      <c r="E223">
        <v>21</v>
      </c>
      <c r="F223">
        <v>0</v>
      </c>
      <c r="G223">
        <v>0</v>
      </c>
      <c r="H223" t="s">
        <v>2144</v>
      </c>
      <c r="I223">
        <v>8.0500000000000007</v>
      </c>
      <c r="J223" t="s">
        <v>48</v>
      </c>
      <c r="K223" t="s">
        <v>14</v>
      </c>
      <c r="L223">
        <v>1</v>
      </c>
      <c r="M223">
        <v>0</v>
      </c>
      <c r="N223">
        <v>0</v>
      </c>
      <c r="O223" t="s">
        <v>1741</v>
      </c>
      <c r="P223">
        <v>0</v>
      </c>
      <c r="Q223">
        <v>0</v>
      </c>
      <c r="R223">
        <v>1</v>
      </c>
      <c r="S223">
        <v>0</v>
      </c>
      <c r="T223">
        <v>0</v>
      </c>
    </row>
    <row r="224" spans="1:20" x14ac:dyDescent="0.25">
      <c r="A224">
        <v>1114</v>
      </c>
      <c r="B224">
        <v>2</v>
      </c>
      <c r="C224" t="s">
        <v>2145</v>
      </c>
      <c r="D224">
        <v>1</v>
      </c>
      <c r="E224">
        <v>22</v>
      </c>
      <c r="F224">
        <v>0</v>
      </c>
      <c r="G224">
        <v>0</v>
      </c>
      <c r="H224" t="s">
        <v>2146</v>
      </c>
      <c r="I224">
        <v>10.5</v>
      </c>
      <c r="J224" t="s">
        <v>163</v>
      </c>
      <c r="K224" t="s">
        <v>14</v>
      </c>
      <c r="L224">
        <v>1</v>
      </c>
      <c r="M224">
        <v>0</v>
      </c>
      <c r="N224">
        <v>0</v>
      </c>
      <c r="O224" t="s">
        <v>1740</v>
      </c>
      <c r="P224">
        <v>0</v>
      </c>
      <c r="Q224">
        <v>1</v>
      </c>
      <c r="R224">
        <v>0</v>
      </c>
      <c r="S224">
        <v>0</v>
      </c>
      <c r="T224">
        <v>0</v>
      </c>
    </row>
    <row r="225" spans="1:20" x14ac:dyDescent="0.25">
      <c r="A225">
        <v>1115</v>
      </c>
      <c r="B225">
        <v>3</v>
      </c>
      <c r="C225" t="s">
        <v>2147</v>
      </c>
      <c r="D225">
        <v>0</v>
      </c>
      <c r="E225">
        <v>21</v>
      </c>
      <c r="F225">
        <v>0</v>
      </c>
      <c r="G225">
        <v>0</v>
      </c>
      <c r="H225" t="s">
        <v>2148</v>
      </c>
      <c r="I225">
        <v>7.7957999999999998</v>
      </c>
      <c r="J225" t="s">
        <v>48</v>
      </c>
      <c r="K225" t="s">
        <v>14</v>
      </c>
      <c r="L225">
        <v>1</v>
      </c>
      <c r="M225">
        <v>0</v>
      </c>
      <c r="N225">
        <v>0</v>
      </c>
      <c r="O225" t="s">
        <v>1741</v>
      </c>
      <c r="P225">
        <v>0</v>
      </c>
      <c r="Q225">
        <v>0</v>
      </c>
      <c r="R225">
        <v>1</v>
      </c>
      <c r="S225">
        <v>0</v>
      </c>
      <c r="T225">
        <v>0</v>
      </c>
    </row>
    <row r="226" spans="1:20" x14ac:dyDescent="0.25">
      <c r="A226">
        <v>1116</v>
      </c>
      <c r="B226">
        <v>1</v>
      </c>
      <c r="C226" t="s">
        <v>2149</v>
      </c>
      <c r="D226">
        <v>1</v>
      </c>
      <c r="E226">
        <v>53</v>
      </c>
      <c r="F226">
        <v>0</v>
      </c>
      <c r="G226">
        <v>0</v>
      </c>
      <c r="H226" t="s">
        <v>2150</v>
      </c>
      <c r="I226">
        <v>27.445799999999998</v>
      </c>
      <c r="J226" t="s">
        <v>48</v>
      </c>
      <c r="K226" t="s">
        <v>18</v>
      </c>
      <c r="L226">
        <v>0</v>
      </c>
      <c r="M226">
        <v>1</v>
      </c>
      <c r="N226">
        <v>0</v>
      </c>
      <c r="O226" t="s">
        <v>1740</v>
      </c>
      <c r="P226">
        <v>0</v>
      </c>
      <c r="Q226">
        <v>1</v>
      </c>
      <c r="R226">
        <v>0</v>
      </c>
      <c r="S226">
        <v>0</v>
      </c>
      <c r="T226">
        <v>0</v>
      </c>
    </row>
    <row r="227" spans="1:20" x14ac:dyDescent="0.25">
      <c r="A227">
        <v>1117</v>
      </c>
      <c r="B227">
        <v>3</v>
      </c>
      <c r="C227" t="s">
        <v>2151</v>
      </c>
      <c r="D227">
        <v>1</v>
      </c>
      <c r="E227">
        <v>35.898148148148145</v>
      </c>
      <c r="F227">
        <v>0</v>
      </c>
      <c r="G227">
        <v>2</v>
      </c>
      <c r="H227" t="s">
        <v>160</v>
      </c>
      <c r="I227">
        <v>15.245799999999999</v>
      </c>
      <c r="J227" t="s">
        <v>48</v>
      </c>
      <c r="K227" t="s">
        <v>18</v>
      </c>
      <c r="L227">
        <v>0</v>
      </c>
      <c r="M227">
        <v>1</v>
      </c>
      <c r="N227">
        <v>0</v>
      </c>
      <c r="O227" t="s">
        <v>1740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25">
      <c r="A228">
        <v>1118</v>
      </c>
      <c r="B228">
        <v>3</v>
      </c>
      <c r="C228" t="s">
        <v>2152</v>
      </c>
      <c r="D228">
        <v>0</v>
      </c>
      <c r="E228">
        <v>23</v>
      </c>
      <c r="F228">
        <v>0</v>
      </c>
      <c r="G228">
        <v>0</v>
      </c>
      <c r="H228" t="s">
        <v>2153</v>
      </c>
      <c r="I228">
        <v>7.7957999999999998</v>
      </c>
      <c r="J228" t="s">
        <v>48</v>
      </c>
      <c r="K228" t="s">
        <v>14</v>
      </c>
      <c r="L228">
        <v>1</v>
      </c>
      <c r="M228">
        <v>0</v>
      </c>
      <c r="N228">
        <v>0</v>
      </c>
      <c r="O228" t="s">
        <v>1741</v>
      </c>
      <c r="P228">
        <v>0</v>
      </c>
      <c r="Q228">
        <v>0</v>
      </c>
      <c r="R228">
        <v>1</v>
      </c>
      <c r="S228">
        <v>0</v>
      </c>
      <c r="T228">
        <v>0</v>
      </c>
    </row>
    <row r="229" spans="1:20" x14ac:dyDescent="0.25">
      <c r="A229">
        <v>1119</v>
      </c>
      <c r="B229">
        <v>3</v>
      </c>
      <c r="C229" t="s">
        <v>2154</v>
      </c>
      <c r="D229">
        <v>1</v>
      </c>
      <c r="E229">
        <v>21.98581560283688</v>
      </c>
      <c r="F229">
        <v>0</v>
      </c>
      <c r="G229">
        <v>0</v>
      </c>
      <c r="H229" t="s">
        <v>2155</v>
      </c>
      <c r="I229">
        <v>7.75</v>
      </c>
      <c r="J229" t="s">
        <v>48</v>
      </c>
      <c r="K229" t="s">
        <v>28</v>
      </c>
      <c r="L229">
        <v>0</v>
      </c>
      <c r="M229">
        <v>0</v>
      </c>
      <c r="N229">
        <v>1</v>
      </c>
      <c r="O229" t="s">
        <v>1739</v>
      </c>
      <c r="P229">
        <v>1</v>
      </c>
      <c r="Q229">
        <v>0</v>
      </c>
      <c r="R229">
        <v>0</v>
      </c>
      <c r="S229">
        <v>0</v>
      </c>
      <c r="T229">
        <v>0</v>
      </c>
    </row>
    <row r="230" spans="1:20" x14ac:dyDescent="0.25">
      <c r="A230">
        <v>1120</v>
      </c>
      <c r="B230">
        <v>3</v>
      </c>
      <c r="C230" t="s">
        <v>2156</v>
      </c>
      <c r="D230">
        <v>0</v>
      </c>
      <c r="E230">
        <v>40.5</v>
      </c>
      <c r="F230">
        <v>0</v>
      </c>
      <c r="G230">
        <v>0</v>
      </c>
      <c r="H230" t="s">
        <v>1018</v>
      </c>
      <c r="I230">
        <v>15.1</v>
      </c>
      <c r="J230" t="s">
        <v>48</v>
      </c>
      <c r="K230" t="s">
        <v>14</v>
      </c>
      <c r="L230">
        <v>1</v>
      </c>
      <c r="M230">
        <v>0</v>
      </c>
      <c r="N230">
        <v>0</v>
      </c>
      <c r="O230" t="s">
        <v>1741</v>
      </c>
      <c r="P230">
        <v>0</v>
      </c>
      <c r="Q230">
        <v>0</v>
      </c>
      <c r="R230">
        <v>1</v>
      </c>
      <c r="S230">
        <v>0</v>
      </c>
      <c r="T230">
        <v>0</v>
      </c>
    </row>
    <row r="231" spans="1:20" x14ac:dyDescent="0.25">
      <c r="A231">
        <v>1121</v>
      </c>
      <c r="B231">
        <v>2</v>
      </c>
      <c r="C231" t="s">
        <v>2157</v>
      </c>
      <c r="D231">
        <v>0</v>
      </c>
      <c r="E231">
        <v>36</v>
      </c>
      <c r="F231">
        <v>0</v>
      </c>
      <c r="G231">
        <v>0</v>
      </c>
      <c r="H231" t="s">
        <v>2158</v>
      </c>
      <c r="I231">
        <v>13</v>
      </c>
      <c r="J231" t="s">
        <v>48</v>
      </c>
      <c r="K231" t="s">
        <v>14</v>
      </c>
      <c r="L231">
        <v>1</v>
      </c>
      <c r="M231">
        <v>0</v>
      </c>
      <c r="N231">
        <v>0</v>
      </c>
      <c r="O231" t="s">
        <v>1741</v>
      </c>
      <c r="P231">
        <v>0</v>
      </c>
      <c r="Q231">
        <v>0</v>
      </c>
      <c r="R231">
        <v>1</v>
      </c>
      <c r="S231">
        <v>0</v>
      </c>
      <c r="T231">
        <v>0</v>
      </c>
    </row>
    <row r="232" spans="1:20" x14ac:dyDescent="0.25">
      <c r="A232">
        <v>1122</v>
      </c>
      <c r="B232">
        <v>2</v>
      </c>
      <c r="C232" t="s">
        <v>2159</v>
      </c>
      <c r="D232">
        <v>0</v>
      </c>
      <c r="E232">
        <v>14</v>
      </c>
      <c r="F232">
        <v>0</v>
      </c>
      <c r="G232">
        <v>0</v>
      </c>
      <c r="H232" t="s">
        <v>1239</v>
      </c>
      <c r="I232">
        <v>65</v>
      </c>
      <c r="J232" t="s">
        <v>48</v>
      </c>
      <c r="K232" t="s">
        <v>14</v>
      </c>
      <c r="L232">
        <v>1</v>
      </c>
      <c r="M232">
        <v>0</v>
      </c>
      <c r="N232">
        <v>0</v>
      </c>
      <c r="O232" t="s">
        <v>1741</v>
      </c>
      <c r="P232">
        <v>0</v>
      </c>
      <c r="Q232">
        <v>0</v>
      </c>
      <c r="R232">
        <v>1</v>
      </c>
      <c r="S232">
        <v>0</v>
      </c>
      <c r="T232">
        <v>0</v>
      </c>
    </row>
    <row r="233" spans="1:20" x14ac:dyDescent="0.25">
      <c r="A233">
        <v>1123</v>
      </c>
      <c r="B233">
        <v>1</v>
      </c>
      <c r="C233" t="s">
        <v>2160</v>
      </c>
      <c r="D233">
        <v>1</v>
      </c>
      <c r="E233">
        <v>21</v>
      </c>
      <c r="F233">
        <v>0</v>
      </c>
      <c r="G233">
        <v>0</v>
      </c>
      <c r="H233" t="s">
        <v>2161</v>
      </c>
      <c r="I233">
        <v>26.55</v>
      </c>
      <c r="J233" t="s">
        <v>48</v>
      </c>
      <c r="K233" t="s">
        <v>14</v>
      </c>
      <c r="L233">
        <v>1</v>
      </c>
      <c r="M233">
        <v>0</v>
      </c>
      <c r="N233">
        <v>0</v>
      </c>
      <c r="O233" t="s">
        <v>1739</v>
      </c>
      <c r="P233">
        <v>1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>
        <v>1124</v>
      </c>
      <c r="B234">
        <v>3</v>
      </c>
      <c r="C234" t="s">
        <v>2162</v>
      </c>
      <c r="D234">
        <v>0</v>
      </c>
      <c r="E234">
        <v>21</v>
      </c>
      <c r="F234">
        <v>1</v>
      </c>
      <c r="G234">
        <v>0</v>
      </c>
      <c r="H234" t="s">
        <v>2163</v>
      </c>
      <c r="I234">
        <v>6.4958</v>
      </c>
      <c r="J234" t="s">
        <v>48</v>
      </c>
      <c r="K234" t="s">
        <v>14</v>
      </c>
      <c r="L234">
        <v>1</v>
      </c>
      <c r="M234">
        <v>0</v>
      </c>
      <c r="N234">
        <v>0</v>
      </c>
      <c r="O234" t="s">
        <v>1741</v>
      </c>
      <c r="P234">
        <v>0</v>
      </c>
      <c r="Q234">
        <v>0</v>
      </c>
      <c r="R234">
        <v>1</v>
      </c>
      <c r="S234">
        <v>0</v>
      </c>
      <c r="T234">
        <v>0</v>
      </c>
    </row>
    <row r="235" spans="1:20" x14ac:dyDescent="0.25">
      <c r="A235">
        <v>1125</v>
      </c>
      <c r="B235">
        <v>3</v>
      </c>
      <c r="C235" t="s">
        <v>2164</v>
      </c>
      <c r="D235">
        <v>0</v>
      </c>
      <c r="E235">
        <v>32.180156657963444</v>
      </c>
      <c r="F235">
        <v>0</v>
      </c>
      <c r="G235">
        <v>0</v>
      </c>
      <c r="H235" t="s">
        <v>2165</v>
      </c>
      <c r="I235">
        <v>7.8792</v>
      </c>
      <c r="J235" t="s">
        <v>48</v>
      </c>
      <c r="K235" t="s">
        <v>28</v>
      </c>
      <c r="L235">
        <v>0</v>
      </c>
      <c r="M235">
        <v>0</v>
      </c>
      <c r="N235">
        <v>1</v>
      </c>
      <c r="O235" t="s">
        <v>1741</v>
      </c>
      <c r="P235">
        <v>0</v>
      </c>
      <c r="Q235">
        <v>0</v>
      </c>
      <c r="R235">
        <v>1</v>
      </c>
      <c r="S235">
        <v>0</v>
      </c>
      <c r="T235">
        <v>0</v>
      </c>
    </row>
    <row r="236" spans="1:20" x14ac:dyDescent="0.25">
      <c r="A236">
        <v>1126</v>
      </c>
      <c r="B236">
        <v>1</v>
      </c>
      <c r="C236" t="s">
        <v>2166</v>
      </c>
      <c r="D236">
        <v>0</v>
      </c>
      <c r="E236">
        <v>39</v>
      </c>
      <c r="F236">
        <v>1</v>
      </c>
      <c r="G236">
        <v>0</v>
      </c>
      <c r="H236" t="s">
        <v>16</v>
      </c>
      <c r="I236">
        <v>71.283299999999997</v>
      </c>
      <c r="J236" t="s">
        <v>17</v>
      </c>
      <c r="K236" t="s">
        <v>18</v>
      </c>
      <c r="L236">
        <v>0</v>
      </c>
      <c r="M236">
        <v>1</v>
      </c>
      <c r="N236">
        <v>0</v>
      </c>
      <c r="O236" t="s">
        <v>1741</v>
      </c>
      <c r="P236">
        <v>0</v>
      </c>
      <c r="Q236">
        <v>0</v>
      </c>
      <c r="R236">
        <v>1</v>
      </c>
      <c r="S236">
        <v>0</v>
      </c>
      <c r="T236">
        <v>0</v>
      </c>
    </row>
    <row r="237" spans="1:20" x14ac:dyDescent="0.25">
      <c r="A237">
        <v>1127</v>
      </c>
      <c r="B237">
        <v>3</v>
      </c>
      <c r="C237" t="s">
        <v>2167</v>
      </c>
      <c r="D237">
        <v>0</v>
      </c>
      <c r="E237">
        <v>20</v>
      </c>
      <c r="F237">
        <v>0</v>
      </c>
      <c r="G237">
        <v>0</v>
      </c>
      <c r="H237" t="s">
        <v>2168</v>
      </c>
      <c r="I237">
        <v>7.8541999999999996</v>
      </c>
      <c r="J237" t="s">
        <v>48</v>
      </c>
      <c r="K237" t="s">
        <v>14</v>
      </c>
      <c r="L237">
        <v>1</v>
      </c>
      <c r="M237">
        <v>0</v>
      </c>
      <c r="N237">
        <v>0</v>
      </c>
      <c r="O237" t="s">
        <v>1741</v>
      </c>
      <c r="P237">
        <v>0</v>
      </c>
      <c r="Q237">
        <v>0</v>
      </c>
      <c r="R237">
        <v>1</v>
      </c>
      <c r="S237">
        <v>0</v>
      </c>
      <c r="T237">
        <v>0</v>
      </c>
    </row>
    <row r="238" spans="1:20" x14ac:dyDescent="0.25">
      <c r="A238">
        <v>1128</v>
      </c>
      <c r="B238">
        <v>1</v>
      </c>
      <c r="C238" t="s">
        <v>2169</v>
      </c>
      <c r="D238">
        <v>0</v>
      </c>
      <c r="E238">
        <v>64</v>
      </c>
      <c r="F238">
        <v>1</v>
      </c>
      <c r="G238">
        <v>0</v>
      </c>
      <c r="H238" t="s">
        <v>767</v>
      </c>
      <c r="I238">
        <v>75.25</v>
      </c>
      <c r="J238" t="s">
        <v>768</v>
      </c>
      <c r="K238" t="s">
        <v>18</v>
      </c>
      <c r="L238">
        <v>0</v>
      </c>
      <c r="M238">
        <v>1</v>
      </c>
      <c r="N238">
        <v>0</v>
      </c>
      <c r="O238" t="s">
        <v>1741</v>
      </c>
      <c r="P238">
        <v>0</v>
      </c>
      <c r="Q238">
        <v>0</v>
      </c>
      <c r="R238">
        <v>1</v>
      </c>
      <c r="S238">
        <v>0</v>
      </c>
      <c r="T238">
        <v>0</v>
      </c>
    </row>
    <row r="239" spans="1:20" x14ac:dyDescent="0.25">
      <c r="A239">
        <v>1129</v>
      </c>
      <c r="B239">
        <v>3</v>
      </c>
      <c r="C239" t="s">
        <v>2170</v>
      </c>
      <c r="D239">
        <v>0</v>
      </c>
      <c r="E239">
        <v>20</v>
      </c>
      <c r="F239">
        <v>0</v>
      </c>
      <c r="G239">
        <v>0</v>
      </c>
      <c r="H239" t="s">
        <v>2171</v>
      </c>
      <c r="I239">
        <v>7.2249999999999996</v>
      </c>
      <c r="J239" t="s">
        <v>48</v>
      </c>
      <c r="K239" t="s">
        <v>18</v>
      </c>
      <c r="L239">
        <v>0</v>
      </c>
      <c r="M239">
        <v>1</v>
      </c>
      <c r="N239">
        <v>0</v>
      </c>
      <c r="O239" t="s">
        <v>1741</v>
      </c>
      <c r="P239">
        <v>0</v>
      </c>
      <c r="Q239">
        <v>0</v>
      </c>
      <c r="R239">
        <v>1</v>
      </c>
      <c r="S239">
        <v>0</v>
      </c>
      <c r="T239">
        <v>0</v>
      </c>
    </row>
    <row r="240" spans="1:20" x14ac:dyDescent="0.25">
      <c r="A240">
        <v>1130</v>
      </c>
      <c r="B240">
        <v>2</v>
      </c>
      <c r="C240" t="s">
        <v>2172</v>
      </c>
      <c r="D240">
        <v>1</v>
      </c>
      <c r="E240">
        <v>18</v>
      </c>
      <c r="F240">
        <v>1</v>
      </c>
      <c r="G240">
        <v>1</v>
      </c>
      <c r="H240" t="s">
        <v>2173</v>
      </c>
      <c r="I240">
        <v>13</v>
      </c>
      <c r="J240" t="s">
        <v>48</v>
      </c>
      <c r="K240" t="s">
        <v>14</v>
      </c>
      <c r="L240">
        <v>1</v>
      </c>
      <c r="M240">
        <v>0</v>
      </c>
      <c r="N240">
        <v>0</v>
      </c>
      <c r="O240" t="s">
        <v>1739</v>
      </c>
      <c r="P240">
        <v>1</v>
      </c>
      <c r="Q240">
        <v>0</v>
      </c>
      <c r="R240">
        <v>0</v>
      </c>
      <c r="S240">
        <v>0</v>
      </c>
      <c r="T240">
        <v>0</v>
      </c>
    </row>
    <row r="241" spans="1:20" x14ac:dyDescent="0.25">
      <c r="A241">
        <v>1131</v>
      </c>
      <c r="B241">
        <v>1</v>
      </c>
      <c r="C241" t="s">
        <v>2174</v>
      </c>
      <c r="D241">
        <v>1</v>
      </c>
      <c r="E241">
        <v>48</v>
      </c>
      <c r="F241">
        <v>1</v>
      </c>
      <c r="G241">
        <v>0</v>
      </c>
      <c r="H241" t="s">
        <v>1095</v>
      </c>
      <c r="I241">
        <v>106.425</v>
      </c>
      <c r="J241" t="s">
        <v>1109</v>
      </c>
      <c r="K241" t="s">
        <v>18</v>
      </c>
      <c r="L241">
        <v>0</v>
      </c>
      <c r="M241">
        <v>1</v>
      </c>
      <c r="N241">
        <v>0</v>
      </c>
      <c r="O241" t="s">
        <v>1740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25">
      <c r="A242">
        <v>1132</v>
      </c>
      <c r="B242">
        <v>1</v>
      </c>
      <c r="C242" t="s">
        <v>2175</v>
      </c>
      <c r="D242">
        <v>1</v>
      </c>
      <c r="E242">
        <v>55</v>
      </c>
      <c r="F242">
        <v>0</v>
      </c>
      <c r="G242">
        <v>0</v>
      </c>
      <c r="H242" t="s">
        <v>2176</v>
      </c>
      <c r="I242">
        <v>27.720800000000001</v>
      </c>
      <c r="J242" t="s">
        <v>48</v>
      </c>
      <c r="K242" t="s">
        <v>18</v>
      </c>
      <c r="L242">
        <v>0</v>
      </c>
      <c r="M242">
        <v>1</v>
      </c>
      <c r="N242">
        <v>0</v>
      </c>
      <c r="O242" t="s">
        <v>1740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25">
      <c r="A243">
        <v>1133</v>
      </c>
      <c r="B243">
        <v>2</v>
      </c>
      <c r="C243" t="s">
        <v>2177</v>
      </c>
      <c r="D243">
        <v>1</v>
      </c>
      <c r="E243">
        <v>45</v>
      </c>
      <c r="F243">
        <v>0</v>
      </c>
      <c r="G243">
        <v>2</v>
      </c>
      <c r="H243" t="s">
        <v>1176</v>
      </c>
      <c r="I243">
        <v>30</v>
      </c>
      <c r="J243" t="s">
        <v>48</v>
      </c>
      <c r="K243" t="s">
        <v>14</v>
      </c>
      <c r="L243">
        <v>1</v>
      </c>
      <c r="M243">
        <v>0</v>
      </c>
      <c r="N243">
        <v>0</v>
      </c>
      <c r="O243" t="s">
        <v>1740</v>
      </c>
      <c r="P243">
        <v>0</v>
      </c>
      <c r="Q243">
        <v>1</v>
      </c>
      <c r="R243">
        <v>0</v>
      </c>
      <c r="S243">
        <v>0</v>
      </c>
      <c r="T243">
        <v>0</v>
      </c>
    </row>
    <row r="244" spans="1:20" x14ac:dyDescent="0.25">
      <c r="A244">
        <v>1134</v>
      </c>
      <c r="B244">
        <v>1</v>
      </c>
      <c r="C244" t="s">
        <v>2178</v>
      </c>
      <c r="D244">
        <v>0</v>
      </c>
      <c r="E244">
        <v>45</v>
      </c>
      <c r="F244">
        <v>1</v>
      </c>
      <c r="G244">
        <v>1</v>
      </c>
      <c r="H244" t="s">
        <v>680</v>
      </c>
      <c r="I244">
        <v>134.5</v>
      </c>
      <c r="J244" t="s">
        <v>681</v>
      </c>
      <c r="K244" t="s">
        <v>18</v>
      </c>
      <c r="L244">
        <v>0</v>
      </c>
      <c r="M244">
        <v>1</v>
      </c>
      <c r="N244">
        <v>0</v>
      </c>
      <c r="O244" t="s">
        <v>1741</v>
      </c>
      <c r="P244">
        <v>0</v>
      </c>
      <c r="Q244">
        <v>0</v>
      </c>
      <c r="R244">
        <v>1</v>
      </c>
      <c r="S244">
        <v>0</v>
      </c>
      <c r="T244">
        <v>0</v>
      </c>
    </row>
    <row r="245" spans="1:20" x14ac:dyDescent="0.25">
      <c r="A245">
        <v>1135</v>
      </c>
      <c r="B245">
        <v>3</v>
      </c>
      <c r="C245" t="s">
        <v>2179</v>
      </c>
      <c r="D245">
        <v>0</v>
      </c>
      <c r="E245">
        <v>32.180156657963444</v>
      </c>
      <c r="F245">
        <v>0</v>
      </c>
      <c r="G245">
        <v>0</v>
      </c>
      <c r="H245" t="s">
        <v>2180</v>
      </c>
      <c r="I245">
        <v>7.8875000000000002</v>
      </c>
      <c r="J245" t="s">
        <v>48</v>
      </c>
      <c r="K245" t="s">
        <v>14</v>
      </c>
      <c r="L245">
        <v>1</v>
      </c>
      <c r="M245">
        <v>0</v>
      </c>
      <c r="N245">
        <v>0</v>
      </c>
      <c r="O245" t="s">
        <v>1741</v>
      </c>
      <c r="P245">
        <v>0</v>
      </c>
      <c r="Q245">
        <v>0</v>
      </c>
      <c r="R245">
        <v>1</v>
      </c>
      <c r="S245">
        <v>0</v>
      </c>
      <c r="T245">
        <v>0</v>
      </c>
    </row>
    <row r="246" spans="1:20" x14ac:dyDescent="0.25">
      <c r="A246">
        <v>1136</v>
      </c>
      <c r="B246">
        <v>3</v>
      </c>
      <c r="C246" t="s">
        <v>2181</v>
      </c>
      <c r="D246">
        <v>0</v>
      </c>
      <c r="E246">
        <v>5.193548387096774</v>
      </c>
      <c r="F246">
        <v>1</v>
      </c>
      <c r="G246">
        <v>2</v>
      </c>
      <c r="H246" t="s">
        <v>1548</v>
      </c>
      <c r="I246">
        <v>23.45</v>
      </c>
      <c r="J246" t="s">
        <v>48</v>
      </c>
      <c r="K246" t="s">
        <v>14</v>
      </c>
      <c r="L246">
        <v>1</v>
      </c>
      <c r="M246">
        <v>0</v>
      </c>
      <c r="N246">
        <v>0</v>
      </c>
      <c r="O246" t="s">
        <v>1742</v>
      </c>
      <c r="P246">
        <v>0</v>
      </c>
      <c r="Q246">
        <v>0</v>
      </c>
      <c r="R246">
        <v>0</v>
      </c>
      <c r="S246">
        <v>1</v>
      </c>
      <c r="T246">
        <v>0</v>
      </c>
    </row>
    <row r="247" spans="1:20" x14ac:dyDescent="0.25">
      <c r="A247">
        <v>1137</v>
      </c>
      <c r="B247">
        <v>1</v>
      </c>
      <c r="C247" t="s">
        <v>2182</v>
      </c>
      <c r="D247">
        <v>0</v>
      </c>
      <c r="E247">
        <v>41</v>
      </c>
      <c r="F247">
        <v>1</v>
      </c>
      <c r="G247">
        <v>0</v>
      </c>
      <c r="H247" t="s">
        <v>941</v>
      </c>
      <c r="I247">
        <v>51.862499999999997</v>
      </c>
      <c r="J247" t="s">
        <v>942</v>
      </c>
      <c r="K247" t="s">
        <v>14</v>
      </c>
      <c r="L247">
        <v>1</v>
      </c>
      <c r="M247">
        <v>0</v>
      </c>
      <c r="N247">
        <v>0</v>
      </c>
      <c r="O247" t="s">
        <v>1741</v>
      </c>
      <c r="P247">
        <v>0</v>
      </c>
      <c r="Q247">
        <v>0</v>
      </c>
      <c r="R247">
        <v>1</v>
      </c>
      <c r="S247">
        <v>0</v>
      </c>
      <c r="T247">
        <v>0</v>
      </c>
    </row>
    <row r="248" spans="1:20" x14ac:dyDescent="0.25">
      <c r="A248">
        <v>1138</v>
      </c>
      <c r="B248">
        <v>2</v>
      </c>
      <c r="C248" t="s">
        <v>2183</v>
      </c>
      <c r="D248">
        <v>1</v>
      </c>
      <c r="E248">
        <v>22</v>
      </c>
      <c r="F248">
        <v>0</v>
      </c>
      <c r="G248">
        <v>0</v>
      </c>
      <c r="H248" t="s">
        <v>1872</v>
      </c>
      <c r="I248">
        <v>21</v>
      </c>
      <c r="J248" t="s">
        <v>48</v>
      </c>
      <c r="K248" t="s">
        <v>14</v>
      </c>
      <c r="L248">
        <v>1</v>
      </c>
      <c r="M248">
        <v>0</v>
      </c>
      <c r="N248">
        <v>0</v>
      </c>
      <c r="O248" t="s">
        <v>1740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x14ac:dyDescent="0.25">
      <c r="A249">
        <v>1139</v>
      </c>
      <c r="B249">
        <v>2</v>
      </c>
      <c r="C249" t="s">
        <v>2184</v>
      </c>
      <c r="D249">
        <v>0</v>
      </c>
      <c r="E249">
        <v>42</v>
      </c>
      <c r="F249">
        <v>1</v>
      </c>
      <c r="G249">
        <v>1</v>
      </c>
      <c r="H249" t="s">
        <v>860</v>
      </c>
      <c r="I249">
        <v>32.5</v>
      </c>
      <c r="J249" t="s">
        <v>48</v>
      </c>
      <c r="K249" t="s">
        <v>14</v>
      </c>
      <c r="L249">
        <v>1</v>
      </c>
      <c r="M249">
        <v>0</v>
      </c>
      <c r="N249">
        <v>0</v>
      </c>
      <c r="O249" t="s">
        <v>1741</v>
      </c>
      <c r="P249">
        <v>0</v>
      </c>
      <c r="Q249">
        <v>0</v>
      </c>
      <c r="R249">
        <v>1</v>
      </c>
      <c r="S249">
        <v>0</v>
      </c>
      <c r="T249">
        <v>0</v>
      </c>
    </row>
    <row r="250" spans="1:20" x14ac:dyDescent="0.25">
      <c r="A250">
        <v>1140</v>
      </c>
      <c r="B250">
        <v>2</v>
      </c>
      <c r="C250" t="s">
        <v>2185</v>
      </c>
      <c r="D250">
        <v>1</v>
      </c>
      <c r="E250">
        <v>29</v>
      </c>
      <c r="F250">
        <v>1</v>
      </c>
      <c r="G250">
        <v>0</v>
      </c>
      <c r="H250" t="s">
        <v>504</v>
      </c>
      <c r="I250">
        <v>26</v>
      </c>
      <c r="J250" t="s">
        <v>48</v>
      </c>
      <c r="K250" t="s">
        <v>14</v>
      </c>
      <c r="L250">
        <v>1</v>
      </c>
      <c r="M250">
        <v>0</v>
      </c>
      <c r="N250">
        <v>0</v>
      </c>
      <c r="O250" t="s">
        <v>1740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 x14ac:dyDescent="0.25">
      <c r="A251">
        <v>1141</v>
      </c>
      <c r="B251">
        <v>3</v>
      </c>
      <c r="C251" t="s">
        <v>2186</v>
      </c>
      <c r="D251">
        <v>1</v>
      </c>
      <c r="E251">
        <v>35.898148148148145</v>
      </c>
      <c r="F251">
        <v>1</v>
      </c>
      <c r="G251">
        <v>0</v>
      </c>
      <c r="H251" t="s">
        <v>1911</v>
      </c>
      <c r="I251">
        <v>14.4542</v>
      </c>
      <c r="J251" t="s">
        <v>48</v>
      </c>
      <c r="K251" t="s">
        <v>18</v>
      </c>
      <c r="L251">
        <v>0</v>
      </c>
      <c r="M251">
        <v>1</v>
      </c>
      <c r="N251">
        <v>0</v>
      </c>
      <c r="O251" t="s">
        <v>1740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25">
      <c r="A252">
        <v>1142</v>
      </c>
      <c r="B252">
        <v>2</v>
      </c>
      <c r="C252" t="s">
        <v>2187</v>
      </c>
      <c r="D252">
        <v>1</v>
      </c>
      <c r="E252">
        <v>0.92</v>
      </c>
      <c r="F252">
        <v>1</v>
      </c>
      <c r="G252">
        <v>2</v>
      </c>
      <c r="H252" t="s">
        <v>144</v>
      </c>
      <c r="I252">
        <v>27.75</v>
      </c>
      <c r="J252" t="s">
        <v>48</v>
      </c>
      <c r="K252" t="s">
        <v>14</v>
      </c>
      <c r="L252">
        <v>1</v>
      </c>
      <c r="M252">
        <v>0</v>
      </c>
      <c r="N252">
        <v>0</v>
      </c>
      <c r="O252" t="s">
        <v>1739</v>
      </c>
      <c r="P252">
        <v>1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>
        <v>1143</v>
      </c>
      <c r="B253">
        <v>3</v>
      </c>
      <c r="C253" t="s">
        <v>2188</v>
      </c>
      <c r="D253">
        <v>0</v>
      </c>
      <c r="E253">
        <v>20</v>
      </c>
      <c r="F253">
        <v>0</v>
      </c>
      <c r="G253">
        <v>0</v>
      </c>
      <c r="H253" t="s">
        <v>2189</v>
      </c>
      <c r="I253">
        <v>7.9249999999999998</v>
      </c>
      <c r="J253" t="s">
        <v>48</v>
      </c>
      <c r="K253" t="s">
        <v>14</v>
      </c>
      <c r="L253">
        <v>1</v>
      </c>
      <c r="M253">
        <v>0</v>
      </c>
      <c r="N253">
        <v>0</v>
      </c>
      <c r="O253" t="s">
        <v>1741</v>
      </c>
      <c r="P253">
        <v>0</v>
      </c>
      <c r="Q253">
        <v>0</v>
      </c>
      <c r="R253">
        <v>1</v>
      </c>
      <c r="S253">
        <v>0</v>
      </c>
      <c r="T253">
        <v>0</v>
      </c>
    </row>
    <row r="254" spans="1:20" x14ac:dyDescent="0.25">
      <c r="A254">
        <v>1144</v>
      </c>
      <c r="B254">
        <v>1</v>
      </c>
      <c r="C254" t="s">
        <v>2190</v>
      </c>
      <c r="D254">
        <v>0</v>
      </c>
      <c r="E254">
        <v>27</v>
      </c>
      <c r="F254">
        <v>1</v>
      </c>
      <c r="G254">
        <v>0</v>
      </c>
      <c r="H254" t="s">
        <v>2191</v>
      </c>
      <c r="I254">
        <v>136.7792</v>
      </c>
      <c r="J254" t="s">
        <v>2192</v>
      </c>
      <c r="K254" t="s">
        <v>18</v>
      </c>
      <c r="L254">
        <v>0</v>
      </c>
      <c r="M254">
        <v>1</v>
      </c>
      <c r="N254">
        <v>0</v>
      </c>
      <c r="O254" t="s">
        <v>1741</v>
      </c>
      <c r="P254">
        <v>0</v>
      </c>
      <c r="Q254">
        <v>0</v>
      </c>
      <c r="R254">
        <v>1</v>
      </c>
      <c r="S254">
        <v>0</v>
      </c>
      <c r="T254">
        <v>0</v>
      </c>
    </row>
    <row r="255" spans="1:20" x14ac:dyDescent="0.25">
      <c r="A255">
        <v>1145</v>
      </c>
      <c r="B255">
        <v>3</v>
      </c>
      <c r="C255" t="s">
        <v>2193</v>
      </c>
      <c r="D255">
        <v>0</v>
      </c>
      <c r="E255">
        <v>24</v>
      </c>
      <c r="F255">
        <v>0</v>
      </c>
      <c r="G255">
        <v>0</v>
      </c>
      <c r="H255" t="s">
        <v>2194</v>
      </c>
      <c r="I255">
        <v>9.3249999999999993</v>
      </c>
      <c r="J255" t="s">
        <v>48</v>
      </c>
      <c r="K255" t="s">
        <v>14</v>
      </c>
      <c r="L255">
        <v>1</v>
      </c>
      <c r="M255">
        <v>0</v>
      </c>
      <c r="N255">
        <v>0</v>
      </c>
      <c r="O255" t="s">
        <v>1741</v>
      </c>
      <c r="P255">
        <v>0</v>
      </c>
      <c r="Q255">
        <v>0</v>
      </c>
      <c r="R255">
        <v>1</v>
      </c>
      <c r="S255">
        <v>0</v>
      </c>
      <c r="T255">
        <v>0</v>
      </c>
    </row>
    <row r="256" spans="1:20" x14ac:dyDescent="0.25">
      <c r="A256">
        <v>1146</v>
      </c>
      <c r="B256">
        <v>3</v>
      </c>
      <c r="C256" t="s">
        <v>2195</v>
      </c>
      <c r="D256">
        <v>0</v>
      </c>
      <c r="E256">
        <v>32.5</v>
      </c>
      <c r="F256">
        <v>0</v>
      </c>
      <c r="G256">
        <v>0</v>
      </c>
      <c r="H256" t="s">
        <v>2196</v>
      </c>
      <c r="I256">
        <v>9.5</v>
      </c>
      <c r="J256" t="s">
        <v>48</v>
      </c>
      <c r="K256" t="s">
        <v>14</v>
      </c>
      <c r="L256">
        <v>1</v>
      </c>
      <c r="M256">
        <v>0</v>
      </c>
      <c r="N256">
        <v>0</v>
      </c>
      <c r="O256" t="s">
        <v>1741</v>
      </c>
      <c r="P256">
        <v>0</v>
      </c>
      <c r="Q256">
        <v>0</v>
      </c>
      <c r="R256">
        <v>1</v>
      </c>
      <c r="S256">
        <v>0</v>
      </c>
      <c r="T256">
        <v>0</v>
      </c>
    </row>
    <row r="257" spans="1:20" x14ac:dyDescent="0.25">
      <c r="A257">
        <v>1147</v>
      </c>
      <c r="B257">
        <v>3</v>
      </c>
      <c r="C257" t="s">
        <v>2197</v>
      </c>
      <c r="D257">
        <v>0</v>
      </c>
      <c r="E257">
        <v>32.180156657963444</v>
      </c>
      <c r="F257">
        <v>0</v>
      </c>
      <c r="G257">
        <v>0</v>
      </c>
      <c r="H257" t="s">
        <v>2198</v>
      </c>
      <c r="I257">
        <v>7.55</v>
      </c>
      <c r="J257" t="s">
        <v>48</v>
      </c>
      <c r="K257" t="s">
        <v>14</v>
      </c>
      <c r="L257">
        <v>1</v>
      </c>
      <c r="M257">
        <v>0</v>
      </c>
      <c r="N257">
        <v>0</v>
      </c>
      <c r="O257" t="s">
        <v>1741</v>
      </c>
      <c r="P257">
        <v>0</v>
      </c>
      <c r="Q257">
        <v>0</v>
      </c>
      <c r="R257">
        <v>1</v>
      </c>
      <c r="S257">
        <v>0</v>
      </c>
      <c r="T257">
        <v>0</v>
      </c>
    </row>
    <row r="258" spans="1:20" x14ac:dyDescent="0.25">
      <c r="A258">
        <v>1148</v>
      </c>
      <c r="B258">
        <v>3</v>
      </c>
      <c r="C258" t="s">
        <v>2199</v>
      </c>
      <c r="D258">
        <v>0</v>
      </c>
      <c r="E258">
        <v>32.180156657963444</v>
      </c>
      <c r="F258">
        <v>0</v>
      </c>
      <c r="G258">
        <v>0</v>
      </c>
      <c r="H258" t="s">
        <v>2200</v>
      </c>
      <c r="I258">
        <v>7.75</v>
      </c>
      <c r="J258" t="s">
        <v>48</v>
      </c>
      <c r="K258" t="s">
        <v>28</v>
      </c>
      <c r="L258">
        <v>0</v>
      </c>
      <c r="M258">
        <v>0</v>
      </c>
      <c r="N258">
        <v>1</v>
      </c>
      <c r="O258" t="s">
        <v>1741</v>
      </c>
      <c r="P258">
        <v>0</v>
      </c>
      <c r="Q258">
        <v>0</v>
      </c>
      <c r="R258">
        <v>1</v>
      </c>
      <c r="S258">
        <v>0</v>
      </c>
      <c r="T258">
        <v>0</v>
      </c>
    </row>
    <row r="259" spans="1:20" x14ac:dyDescent="0.25">
      <c r="A259">
        <v>1149</v>
      </c>
      <c r="B259">
        <v>3</v>
      </c>
      <c r="C259" t="s">
        <v>2201</v>
      </c>
      <c r="D259">
        <v>0</v>
      </c>
      <c r="E259">
        <v>28</v>
      </c>
      <c r="F259">
        <v>0</v>
      </c>
      <c r="G259">
        <v>0</v>
      </c>
      <c r="H259" t="s">
        <v>2202</v>
      </c>
      <c r="I259">
        <v>8.0500000000000007</v>
      </c>
      <c r="J259" t="s">
        <v>48</v>
      </c>
      <c r="K259" t="s">
        <v>14</v>
      </c>
      <c r="L259">
        <v>1</v>
      </c>
      <c r="M259">
        <v>0</v>
      </c>
      <c r="N259">
        <v>0</v>
      </c>
      <c r="O259" t="s">
        <v>1741</v>
      </c>
      <c r="P259">
        <v>0</v>
      </c>
      <c r="Q259">
        <v>0</v>
      </c>
      <c r="R259">
        <v>1</v>
      </c>
      <c r="S259">
        <v>0</v>
      </c>
      <c r="T259">
        <v>0</v>
      </c>
    </row>
    <row r="260" spans="1:20" x14ac:dyDescent="0.25">
      <c r="A260">
        <v>1150</v>
      </c>
      <c r="B260">
        <v>2</v>
      </c>
      <c r="C260" t="s">
        <v>2203</v>
      </c>
      <c r="D260">
        <v>1</v>
      </c>
      <c r="E260">
        <v>19</v>
      </c>
      <c r="F260">
        <v>0</v>
      </c>
      <c r="G260">
        <v>0</v>
      </c>
      <c r="H260" t="s">
        <v>2204</v>
      </c>
      <c r="I260">
        <v>13</v>
      </c>
      <c r="J260" t="s">
        <v>48</v>
      </c>
      <c r="K260" t="s">
        <v>14</v>
      </c>
      <c r="L260">
        <v>1</v>
      </c>
      <c r="M260">
        <v>0</v>
      </c>
      <c r="N260">
        <v>0</v>
      </c>
      <c r="O260" t="s">
        <v>1739</v>
      </c>
      <c r="P260">
        <v>1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>
        <v>1151</v>
      </c>
      <c r="B261">
        <v>3</v>
      </c>
      <c r="C261" t="s">
        <v>2205</v>
      </c>
      <c r="D261">
        <v>0</v>
      </c>
      <c r="E261">
        <v>21</v>
      </c>
      <c r="F261">
        <v>0</v>
      </c>
      <c r="G261">
        <v>0</v>
      </c>
      <c r="H261" t="s">
        <v>2206</v>
      </c>
      <c r="I261">
        <v>7.7750000000000004</v>
      </c>
      <c r="J261" t="s">
        <v>48</v>
      </c>
      <c r="K261" t="s">
        <v>14</v>
      </c>
      <c r="L261">
        <v>1</v>
      </c>
      <c r="M261">
        <v>0</v>
      </c>
      <c r="N261">
        <v>0</v>
      </c>
      <c r="O261" t="s">
        <v>1741</v>
      </c>
      <c r="P261">
        <v>0</v>
      </c>
      <c r="Q261">
        <v>0</v>
      </c>
      <c r="R261">
        <v>1</v>
      </c>
      <c r="S261">
        <v>0</v>
      </c>
      <c r="T261">
        <v>0</v>
      </c>
    </row>
    <row r="262" spans="1:20" x14ac:dyDescent="0.25">
      <c r="A262">
        <v>1152</v>
      </c>
      <c r="B262">
        <v>3</v>
      </c>
      <c r="C262" t="s">
        <v>2207</v>
      </c>
      <c r="D262">
        <v>0</v>
      </c>
      <c r="E262">
        <v>36.5</v>
      </c>
      <c r="F262">
        <v>1</v>
      </c>
      <c r="G262">
        <v>0</v>
      </c>
      <c r="H262" t="s">
        <v>1135</v>
      </c>
      <c r="I262">
        <v>17.399999999999999</v>
      </c>
      <c r="J262" t="s">
        <v>48</v>
      </c>
      <c r="K262" t="s">
        <v>14</v>
      </c>
      <c r="L262">
        <v>1</v>
      </c>
      <c r="M262">
        <v>0</v>
      </c>
      <c r="N262">
        <v>0</v>
      </c>
      <c r="O262" t="s">
        <v>1741</v>
      </c>
      <c r="P262">
        <v>0</v>
      </c>
      <c r="Q262">
        <v>0</v>
      </c>
      <c r="R262">
        <v>1</v>
      </c>
      <c r="S262">
        <v>0</v>
      </c>
      <c r="T262">
        <v>0</v>
      </c>
    </row>
    <row r="263" spans="1:20" x14ac:dyDescent="0.25">
      <c r="A263">
        <v>1153</v>
      </c>
      <c r="B263">
        <v>3</v>
      </c>
      <c r="C263" t="s">
        <v>2208</v>
      </c>
      <c r="D263">
        <v>0</v>
      </c>
      <c r="E263">
        <v>21</v>
      </c>
      <c r="F263">
        <v>0</v>
      </c>
      <c r="G263">
        <v>0</v>
      </c>
      <c r="H263" t="s">
        <v>2209</v>
      </c>
      <c r="I263">
        <v>7.8541999999999996</v>
      </c>
      <c r="J263" t="s">
        <v>48</v>
      </c>
      <c r="K263" t="s">
        <v>14</v>
      </c>
      <c r="L263">
        <v>1</v>
      </c>
      <c r="M263">
        <v>0</v>
      </c>
      <c r="N263">
        <v>0</v>
      </c>
      <c r="O263" t="s">
        <v>1741</v>
      </c>
      <c r="P263">
        <v>0</v>
      </c>
      <c r="Q263">
        <v>0</v>
      </c>
      <c r="R263">
        <v>1</v>
      </c>
      <c r="S263">
        <v>0</v>
      </c>
      <c r="T263">
        <v>0</v>
      </c>
    </row>
    <row r="264" spans="1:20" x14ac:dyDescent="0.25">
      <c r="A264">
        <v>1154</v>
      </c>
      <c r="B264">
        <v>2</v>
      </c>
      <c r="C264" t="s">
        <v>2210</v>
      </c>
      <c r="D264">
        <v>1</v>
      </c>
      <c r="E264">
        <v>29</v>
      </c>
      <c r="F264">
        <v>0</v>
      </c>
      <c r="G264">
        <v>2</v>
      </c>
      <c r="H264" t="s">
        <v>1486</v>
      </c>
      <c r="I264">
        <v>23</v>
      </c>
      <c r="J264" t="s">
        <v>48</v>
      </c>
      <c r="K264" t="s">
        <v>14</v>
      </c>
      <c r="L264">
        <v>1</v>
      </c>
      <c r="M264">
        <v>0</v>
      </c>
      <c r="N264">
        <v>0</v>
      </c>
      <c r="O264" t="s">
        <v>1740</v>
      </c>
      <c r="P264">
        <v>0</v>
      </c>
      <c r="Q264">
        <v>1</v>
      </c>
      <c r="R264">
        <v>0</v>
      </c>
      <c r="S264">
        <v>0</v>
      </c>
      <c r="T264">
        <v>0</v>
      </c>
    </row>
    <row r="265" spans="1:20" x14ac:dyDescent="0.25">
      <c r="A265">
        <v>1155</v>
      </c>
      <c r="B265">
        <v>3</v>
      </c>
      <c r="C265" t="s">
        <v>2211</v>
      </c>
      <c r="D265">
        <v>1</v>
      </c>
      <c r="E265">
        <v>1</v>
      </c>
      <c r="F265">
        <v>1</v>
      </c>
      <c r="G265">
        <v>1</v>
      </c>
      <c r="H265" t="s">
        <v>2029</v>
      </c>
      <c r="I265">
        <v>12.183299999999999</v>
      </c>
      <c r="J265" t="s">
        <v>48</v>
      </c>
      <c r="K265" t="s">
        <v>14</v>
      </c>
      <c r="L265">
        <v>1</v>
      </c>
      <c r="M265">
        <v>0</v>
      </c>
      <c r="N265">
        <v>0</v>
      </c>
      <c r="O265" t="s">
        <v>1739</v>
      </c>
      <c r="P265">
        <v>1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>
        <v>1156</v>
      </c>
      <c r="B266">
        <v>2</v>
      </c>
      <c r="C266" t="s">
        <v>2212</v>
      </c>
      <c r="D266">
        <v>0</v>
      </c>
      <c r="E266">
        <v>30</v>
      </c>
      <c r="F266">
        <v>0</v>
      </c>
      <c r="G266">
        <v>0</v>
      </c>
      <c r="H266" t="s">
        <v>2213</v>
      </c>
      <c r="I266">
        <v>12.737500000000001</v>
      </c>
      <c r="J266" t="s">
        <v>48</v>
      </c>
      <c r="K266" t="s">
        <v>18</v>
      </c>
      <c r="L266">
        <v>0</v>
      </c>
      <c r="M266">
        <v>1</v>
      </c>
      <c r="N266">
        <v>0</v>
      </c>
      <c r="O266" t="s">
        <v>1741</v>
      </c>
      <c r="P266">
        <v>0</v>
      </c>
      <c r="Q266">
        <v>0</v>
      </c>
      <c r="R266">
        <v>1</v>
      </c>
      <c r="S266">
        <v>0</v>
      </c>
      <c r="T266">
        <v>0</v>
      </c>
    </row>
    <row r="267" spans="1:20" x14ac:dyDescent="0.25">
      <c r="A267">
        <v>1157</v>
      </c>
      <c r="B267">
        <v>3</v>
      </c>
      <c r="C267" t="s">
        <v>2214</v>
      </c>
      <c r="D267">
        <v>0</v>
      </c>
      <c r="E267">
        <v>32.180156657963444</v>
      </c>
      <c r="F267">
        <v>0</v>
      </c>
      <c r="G267">
        <v>0</v>
      </c>
      <c r="H267" t="s">
        <v>2215</v>
      </c>
      <c r="I267">
        <v>7.8958000000000004</v>
      </c>
      <c r="J267" t="s">
        <v>48</v>
      </c>
      <c r="K267" t="s">
        <v>14</v>
      </c>
      <c r="L267">
        <v>1</v>
      </c>
      <c r="M267">
        <v>0</v>
      </c>
      <c r="N267">
        <v>0</v>
      </c>
      <c r="O267" t="s">
        <v>1741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 x14ac:dyDescent="0.25">
      <c r="A268">
        <v>1158</v>
      </c>
      <c r="B268">
        <v>1</v>
      </c>
      <c r="C268" t="s">
        <v>2216</v>
      </c>
      <c r="D268">
        <v>0</v>
      </c>
      <c r="E268">
        <v>32.180156657963444</v>
      </c>
      <c r="F268">
        <v>0</v>
      </c>
      <c r="G268">
        <v>0</v>
      </c>
      <c r="H268" t="s">
        <v>2217</v>
      </c>
      <c r="I268">
        <v>0</v>
      </c>
      <c r="J268" t="s">
        <v>48</v>
      </c>
      <c r="K268" t="s">
        <v>14</v>
      </c>
      <c r="L268">
        <v>1</v>
      </c>
      <c r="M268">
        <v>0</v>
      </c>
      <c r="N268">
        <v>0</v>
      </c>
      <c r="O268" t="s">
        <v>1741</v>
      </c>
      <c r="P268">
        <v>0</v>
      </c>
      <c r="Q268">
        <v>0</v>
      </c>
      <c r="R268">
        <v>1</v>
      </c>
      <c r="S268">
        <v>0</v>
      </c>
      <c r="T268">
        <v>0</v>
      </c>
    </row>
    <row r="269" spans="1:20" x14ac:dyDescent="0.25">
      <c r="A269">
        <v>1159</v>
      </c>
      <c r="B269">
        <v>3</v>
      </c>
      <c r="C269" t="s">
        <v>2218</v>
      </c>
      <c r="D269">
        <v>0</v>
      </c>
      <c r="E269">
        <v>32.180156657963444</v>
      </c>
      <c r="F269">
        <v>0</v>
      </c>
      <c r="G269">
        <v>0</v>
      </c>
      <c r="H269" t="s">
        <v>2219</v>
      </c>
      <c r="I269">
        <v>7.55</v>
      </c>
      <c r="J269" t="s">
        <v>48</v>
      </c>
      <c r="K269" t="s">
        <v>14</v>
      </c>
      <c r="L269">
        <v>1</v>
      </c>
      <c r="M269">
        <v>0</v>
      </c>
      <c r="N269">
        <v>0</v>
      </c>
      <c r="O269" t="s">
        <v>1741</v>
      </c>
      <c r="P269">
        <v>0</v>
      </c>
      <c r="Q269">
        <v>0</v>
      </c>
      <c r="R269">
        <v>1</v>
      </c>
      <c r="S269">
        <v>0</v>
      </c>
      <c r="T269">
        <v>0</v>
      </c>
    </row>
    <row r="270" spans="1:20" x14ac:dyDescent="0.25">
      <c r="A270">
        <v>1160</v>
      </c>
      <c r="B270">
        <v>3</v>
      </c>
      <c r="C270" t="s">
        <v>2220</v>
      </c>
      <c r="D270">
        <v>1</v>
      </c>
      <c r="E270">
        <v>21.98581560283688</v>
      </c>
      <c r="F270">
        <v>0</v>
      </c>
      <c r="G270">
        <v>0</v>
      </c>
      <c r="H270" t="s">
        <v>2221</v>
      </c>
      <c r="I270">
        <v>8.0500000000000007</v>
      </c>
      <c r="J270" t="s">
        <v>48</v>
      </c>
      <c r="K270" t="s">
        <v>14</v>
      </c>
      <c r="L270">
        <v>1</v>
      </c>
      <c r="M270">
        <v>0</v>
      </c>
      <c r="N270">
        <v>0</v>
      </c>
      <c r="O270" t="s">
        <v>1739</v>
      </c>
      <c r="P270">
        <v>1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>
        <v>1161</v>
      </c>
      <c r="B271">
        <v>3</v>
      </c>
      <c r="C271" t="s">
        <v>2222</v>
      </c>
      <c r="D271">
        <v>0</v>
      </c>
      <c r="E271">
        <v>17</v>
      </c>
      <c r="F271">
        <v>0</v>
      </c>
      <c r="G271">
        <v>0</v>
      </c>
      <c r="H271" t="s">
        <v>2223</v>
      </c>
      <c r="I271">
        <v>8.6624999999999996</v>
      </c>
      <c r="J271" t="s">
        <v>48</v>
      </c>
      <c r="K271" t="s">
        <v>14</v>
      </c>
      <c r="L271">
        <v>1</v>
      </c>
      <c r="M271">
        <v>0</v>
      </c>
      <c r="N271">
        <v>0</v>
      </c>
      <c r="O271" t="s">
        <v>1741</v>
      </c>
      <c r="P271">
        <v>0</v>
      </c>
      <c r="Q271">
        <v>0</v>
      </c>
      <c r="R271">
        <v>1</v>
      </c>
      <c r="S271">
        <v>0</v>
      </c>
      <c r="T271">
        <v>0</v>
      </c>
    </row>
    <row r="272" spans="1:20" x14ac:dyDescent="0.25">
      <c r="A272">
        <v>1162</v>
      </c>
      <c r="B272">
        <v>1</v>
      </c>
      <c r="C272" t="s">
        <v>2224</v>
      </c>
      <c r="D272">
        <v>0</v>
      </c>
      <c r="E272">
        <v>46</v>
      </c>
      <c r="F272">
        <v>0</v>
      </c>
      <c r="G272">
        <v>0</v>
      </c>
      <c r="H272" t="s">
        <v>1971</v>
      </c>
      <c r="I272">
        <v>75.241699999999994</v>
      </c>
      <c r="J272" t="s">
        <v>1972</v>
      </c>
      <c r="K272" t="s">
        <v>18</v>
      </c>
      <c r="L272">
        <v>0</v>
      </c>
      <c r="M272">
        <v>1</v>
      </c>
      <c r="N272">
        <v>0</v>
      </c>
      <c r="O272" t="s">
        <v>1741</v>
      </c>
      <c r="P272">
        <v>0</v>
      </c>
      <c r="Q272">
        <v>0</v>
      </c>
      <c r="R272">
        <v>1</v>
      </c>
      <c r="S272">
        <v>0</v>
      </c>
      <c r="T272">
        <v>0</v>
      </c>
    </row>
    <row r="273" spans="1:20" x14ac:dyDescent="0.25">
      <c r="A273">
        <v>1163</v>
      </c>
      <c r="B273">
        <v>3</v>
      </c>
      <c r="C273" t="s">
        <v>2225</v>
      </c>
      <c r="D273">
        <v>0</v>
      </c>
      <c r="E273">
        <v>32.180156657963444</v>
      </c>
      <c r="F273">
        <v>0</v>
      </c>
      <c r="G273">
        <v>0</v>
      </c>
      <c r="H273" t="s">
        <v>2226</v>
      </c>
      <c r="I273">
        <v>7.75</v>
      </c>
      <c r="J273" t="s">
        <v>48</v>
      </c>
      <c r="K273" t="s">
        <v>28</v>
      </c>
      <c r="L273">
        <v>0</v>
      </c>
      <c r="M273">
        <v>0</v>
      </c>
      <c r="N273">
        <v>1</v>
      </c>
      <c r="O273" t="s">
        <v>1741</v>
      </c>
      <c r="P273">
        <v>0</v>
      </c>
      <c r="Q273">
        <v>0</v>
      </c>
      <c r="R273">
        <v>1</v>
      </c>
      <c r="S273">
        <v>0</v>
      </c>
      <c r="T273">
        <v>0</v>
      </c>
    </row>
    <row r="274" spans="1:20" x14ac:dyDescent="0.25">
      <c r="A274">
        <v>1164</v>
      </c>
      <c r="B274">
        <v>1</v>
      </c>
      <c r="C274" t="s">
        <v>2227</v>
      </c>
      <c r="D274">
        <v>1</v>
      </c>
      <c r="E274">
        <v>26</v>
      </c>
      <c r="F274">
        <v>1</v>
      </c>
      <c r="G274">
        <v>0</v>
      </c>
      <c r="H274" t="s">
        <v>2191</v>
      </c>
      <c r="I274">
        <v>136.7792</v>
      </c>
      <c r="J274" t="s">
        <v>2192</v>
      </c>
      <c r="K274" t="s">
        <v>18</v>
      </c>
      <c r="L274">
        <v>0</v>
      </c>
      <c r="M274">
        <v>1</v>
      </c>
      <c r="N274">
        <v>0</v>
      </c>
      <c r="O274" t="s">
        <v>1740</v>
      </c>
      <c r="P274">
        <v>0</v>
      </c>
      <c r="Q274">
        <v>1</v>
      </c>
      <c r="R274">
        <v>0</v>
      </c>
      <c r="S274">
        <v>0</v>
      </c>
      <c r="T274">
        <v>0</v>
      </c>
    </row>
    <row r="275" spans="1:20" x14ac:dyDescent="0.25">
      <c r="A275">
        <v>1165</v>
      </c>
      <c r="B275">
        <v>3</v>
      </c>
      <c r="C275" t="s">
        <v>2228</v>
      </c>
      <c r="D275">
        <v>1</v>
      </c>
      <c r="E275">
        <v>21.98581560283688</v>
      </c>
      <c r="F275">
        <v>1</v>
      </c>
      <c r="G275">
        <v>0</v>
      </c>
      <c r="H275" t="s">
        <v>117</v>
      </c>
      <c r="I275">
        <v>15.5</v>
      </c>
      <c r="J275" t="s">
        <v>48</v>
      </c>
      <c r="K275" t="s">
        <v>28</v>
      </c>
      <c r="L275">
        <v>0</v>
      </c>
      <c r="M275">
        <v>0</v>
      </c>
      <c r="N275">
        <v>1</v>
      </c>
      <c r="O275" t="s">
        <v>1739</v>
      </c>
      <c r="P275">
        <v>1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>
        <v>1166</v>
      </c>
      <c r="B276">
        <v>3</v>
      </c>
      <c r="C276" t="s">
        <v>2229</v>
      </c>
      <c r="D276">
        <v>0</v>
      </c>
      <c r="E276">
        <v>32.180156657963444</v>
      </c>
      <c r="F276">
        <v>0</v>
      </c>
      <c r="G276">
        <v>0</v>
      </c>
      <c r="H276" t="s">
        <v>2230</v>
      </c>
      <c r="I276">
        <v>7.2249999999999996</v>
      </c>
      <c r="J276" t="s">
        <v>48</v>
      </c>
      <c r="K276" t="s">
        <v>18</v>
      </c>
      <c r="L276">
        <v>0</v>
      </c>
      <c r="M276">
        <v>1</v>
      </c>
      <c r="N276">
        <v>0</v>
      </c>
      <c r="O276" t="s">
        <v>1741</v>
      </c>
      <c r="P276">
        <v>0</v>
      </c>
      <c r="Q276">
        <v>0</v>
      </c>
      <c r="R276">
        <v>1</v>
      </c>
      <c r="S276">
        <v>0</v>
      </c>
      <c r="T276">
        <v>0</v>
      </c>
    </row>
    <row r="277" spans="1:20" x14ac:dyDescent="0.25">
      <c r="A277">
        <v>1167</v>
      </c>
      <c r="B277">
        <v>2</v>
      </c>
      <c r="C277" t="s">
        <v>2231</v>
      </c>
      <c r="D277">
        <v>1</v>
      </c>
      <c r="E277">
        <v>20</v>
      </c>
      <c r="F277">
        <v>1</v>
      </c>
      <c r="G277">
        <v>0</v>
      </c>
      <c r="H277" t="s">
        <v>1447</v>
      </c>
      <c r="I277">
        <v>26</v>
      </c>
      <c r="J277" t="s">
        <v>48</v>
      </c>
      <c r="K277" t="s">
        <v>14</v>
      </c>
      <c r="L277">
        <v>1</v>
      </c>
      <c r="M277">
        <v>0</v>
      </c>
      <c r="N277">
        <v>0</v>
      </c>
      <c r="O277" t="s">
        <v>1739</v>
      </c>
      <c r="P277">
        <v>1</v>
      </c>
      <c r="Q277">
        <v>0</v>
      </c>
      <c r="R277">
        <v>0</v>
      </c>
      <c r="S277">
        <v>0</v>
      </c>
      <c r="T277">
        <v>0</v>
      </c>
    </row>
    <row r="278" spans="1:20" x14ac:dyDescent="0.25">
      <c r="A278">
        <v>1168</v>
      </c>
      <c r="B278">
        <v>2</v>
      </c>
      <c r="C278" t="s">
        <v>2232</v>
      </c>
      <c r="D278">
        <v>0</v>
      </c>
      <c r="E278">
        <v>28</v>
      </c>
      <c r="F278">
        <v>0</v>
      </c>
      <c r="G278">
        <v>0</v>
      </c>
      <c r="H278" t="s">
        <v>2233</v>
      </c>
      <c r="I278">
        <v>10.5</v>
      </c>
      <c r="J278" t="s">
        <v>48</v>
      </c>
      <c r="K278" t="s">
        <v>14</v>
      </c>
      <c r="L278">
        <v>1</v>
      </c>
      <c r="M278">
        <v>0</v>
      </c>
      <c r="N278">
        <v>0</v>
      </c>
      <c r="O278" t="s">
        <v>1741</v>
      </c>
      <c r="P278">
        <v>0</v>
      </c>
      <c r="Q278">
        <v>0</v>
      </c>
      <c r="R278">
        <v>1</v>
      </c>
      <c r="S278">
        <v>0</v>
      </c>
      <c r="T278">
        <v>0</v>
      </c>
    </row>
    <row r="279" spans="1:20" x14ac:dyDescent="0.25">
      <c r="A279">
        <v>1169</v>
      </c>
      <c r="B279">
        <v>2</v>
      </c>
      <c r="C279" t="s">
        <v>2234</v>
      </c>
      <c r="D279">
        <v>0</v>
      </c>
      <c r="E279">
        <v>40</v>
      </c>
      <c r="F279">
        <v>1</v>
      </c>
      <c r="G279">
        <v>0</v>
      </c>
      <c r="H279" t="s">
        <v>132</v>
      </c>
      <c r="I279">
        <v>26</v>
      </c>
      <c r="J279" t="s">
        <v>48</v>
      </c>
      <c r="K279" t="s">
        <v>14</v>
      </c>
      <c r="L279">
        <v>1</v>
      </c>
      <c r="M279">
        <v>0</v>
      </c>
      <c r="N279">
        <v>0</v>
      </c>
      <c r="O279" t="s">
        <v>1741</v>
      </c>
      <c r="P279">
        <v>0</v>
      </c>
      <c r="Q279">
        <v>0</v>
      </c>
      <c r="R279">
        <v>1</v>
      </c>
      <c r="S279">
        <v>0</v>
      </c>
      <c r="T279">
        <v>0</v>
      </c>
    </row>
    <row r="280" spans="1:20" x14ac:dyDescent="0.25">
      <c r="A280">
        <v>1170</v>
      </c>
      <c r="B280">
        <v>2</v>
      </c>
      <c r="C280" t="s">
        <v>2235</v>
      </c>
      <c r="D280">
        <v>0</v>
      </c>
      <c r="E280">
        <v>30</v>
      </c>
      <c r="F280">
        <v>1</v>
      </c>
      <c r="G280">
        <v>0</v>
      </c>
      <c r="H280" t="s">
        <v>2236</v>
      </c>
      <c r="I280">
        <v>21</v>
      </c>
      <c r="J280" t="s">
        <v>48</v>
      </c>
      <c r="K280" t="s">
        <v>14</v>
      </c>
      <c r="L280">
        <v>1</v>
      </c>
      <c r="M280">
        <v>0</v>
      </c>
      <c r="N280">
        <v>0</v>
      </c>
      <c r="O280" t="s">
        <v>1741</v>
      </c>
      <c r="P280">
        <v>0</v>
      </c>
      <c r="Q280">
        <v>0</v>
      </c>
      <c r="R280">
        <v>1</v>
      </c>
      <c r="S280">
        <v>0</v>
      </c>
      <c r="T280">
        <v>0</v>
      </c>
    </row>
    <row r="281" spans="1:20" x14ac:dyDescent="0.25">
      <c r="A281">
        <v>1171</v>
      </c>
      <c r="B281">
        <v>2</v>
      </c>
      <c r="C281" t="s">
        <v>2237</v>
      </c>
      <c r="D281">
        <v>0</v>
      </c>
      <c r="E281">
        <v>22</v>
      </c>
      <c r="F281">
        <v>0</v>
      </c>
      <c r="G281">
        <v>0</v>
      </c>
      <c r="H281" t="s">
        <v>2238</v>
      </c>
      <c r="I281">
        <v>10.5</v>
      </c>
      <c r="J281" t="s">
        <v>48</v>
      </c>
      <c r="K281" t="s">
        <v>14</v>
      </c>
      <c r="L281">
        <v>1</v>
      </c>
      <c r="M281">
        <v>0</v>
      </c>
      <c r="N281">
        <v>0</v>
      </c>
      <c r="O281" t="s">
        <v>1741</v>
      </c>
      <c r="P281">
        <v>0</v>
      </c>
      <c r="Q281">
        <v>0</v>
      </c>
      <c r="R281">
        <v>1</v>
      </c>
      <c r="S281">
        <v>0</v>
      </c>
      <c r="T281">
        <v>0</v>
      </c>
    </row>
    <row r="282" spans="1:20" x14ac:dyDescent="0.25">
      <c r="A282">
        <v>1172</v>
      </c>
      <c r="B282">
        <v>3</v>
      </c>
      <c r="C282" t="s">
        <v>2239</v>
      </c>
      <c r="D282">
        <v>1</v>
      </c>
      <c r="E282">
        <v>23</v>
      </c>
      <c r="F282">
        <v>0</v>
      </c>
      <c r="G282">
        <v>0</v>
      </c>
      <c r="H282" t="s">
        <v>2240</v>
      </c>
      <c r="I282">
        <v>8.6624999999999996</v>
      </c>
      <c r="J282" t="s">
        <v>48</v>
      </c>
      <c r="K282" t="s">
        <v>14</v>
      </c>
      <c r="L282">
        <v>1</v>
      </c>
      <c r="M282">
        <v>0</v>
      </c>
      <c r="N282">
        <v>0</v>
      </c>
      <c r="O282" t="s">
        <v>1739</v>
      </c>
      <c r="P282">
        <v>1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>
        <v>1173</v>
      </c>
      <c r="B283">
        <v>3</v>
      </c>
      <c r="C283" t="s">
        <v>2241</v>
      </c>
      <c r="D283">
        <v>0</v>
      </c>
      <c r="E283">
        <v>0.75</v>
      </c>
      <c r="F283">
        <v>1</v>
      </c>
      <c r="G283">
        <v>1</v>
      </c>
      <c r="H283" t="s">
        <v>2041</v>
      </c>
      <c r="I283">
        <v>13.775</v>
      </c>
      <c r="J283" t="s">
        <v>48</v>
      </c>
      <c r="K283" t="s">
        <v>14</v>
      </c>
      <c r="L283">
        <v>1</v>
      </c>
      <c r="M283">
        <v>0</v>
      </c>
      <c r="N283">
        <v>0</v>
      </c>
      <c r="O283" t="s">
        <v>1742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>
        <v>1174</v>
      </c>
      <c r="B284">
        <v>3</v>
      </c>
      <c r="C284" t="s">
        <v>2242</v>
      </c>
      <c r="D284">
        <v>1</v>
      </c>
      <c r="E284">
        <v>21.98581560283688</v>
      </c>
      <c r="F284">
        <v>0</v>
      </c>
      <c r="G284">
        <v>0</v>
      </c>
      <c r="H284" t="s">
        <v>2243</v>
      </c>
      <c r="I284">
        <v>7.75</v>
      </c>
      <c r="J284" t="s">
        <v>48</v>
      </c>
      <c r="K284" t="s">
        <v>28</v>
      </c>
      <c r="L284">
        <v>0</v>
      </c>
      <c r="M284">
        <v>0</v>
      </c>
      <c r="N284">
        <v>1</v>
      </c>
      <c r="O284" t="s">
        <v>1739</v>
      </c>
      <c r="P284">
        <v>1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>
        <v>1175</v>
      </c>
      <c r="B285">
        <v>3</v>
      </c>
      <c r="C285" t="s">
        <v>2244</v>
      </c>
      <c r="D285">
        <v>1</v>
      </c>
      <c r="E285">
        <v>9</v>
      </c>
      <c r="F285">
        <v>1</v>
      </c>
      <c r="G285">
        <v>1</v>
      </c>
      <c r="H285" t="s">
        <v>543</v>
      </c>
      <c r="I285">
        <v>15.245799999999999</v>
      </c>
      <c r="J285" t="s">
        <v>48</v>
      </c>
      <c r="K285" t="s">
        <v>18</v>
      </c>
      <c r="L285">
        <v>0</v>
      </c>
      <c r="M285">
        <v>1</v>
      </c>
      <c r="N285">
        <v>0</v>
      </c>
      <c r="O285" t="s">
        <v>1739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>
        <v>1176</v>
      </c>
      <c r="B286">
        <v>3</v>
      </c>
      <c r="C286" t="s">
        <v>2245</v>
      </c>
      <c r="D286">
        <v>1</v>
      </c>
      <c r="E286">
        <v>2</v>
      </c>
      <c r="F286">
        <v>1</v>
      </c>
      <c r="G286">
        <v>1</v>
      </c>
      <c r="H286" t="s">
        <v>541</v>
      </c>
      <c r="I286">
        <v>20.212499999999999</v>
      </c>
      <c r="J286" t="s">
        <v>48</v>
      </c>
      <c r="K286" t="s">
        <v>14</v>
      </c>
      <c r="L286">
        <v>1</v>
      </c>
      <c r="M286">
        <v>0</v>
      </c>
      <c r="N286">
        <v>0</v>
      </c>
      <c r="O286" t="s">
        <v>1739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>
        <v>1177</v>
      </c>
      <c r="B287">
        <v>3</v>
      </c>
      <c r="C287" t="s">
        <v>2246</v>
      </c>
      <c r="D287">
        <v>0</v>
      </c>
      <c r="E287">
        <v>36</v>
      </c>
      <c r="F287">
        <v>0</v>
      </c>
      <c r="G287">
        <v>0</v>
      </c>
      <c r="H287" t="s">
        <v>2247</v>
      </c>
      <c r="I287">
        <v>7.25</v>
      </c>
      <c r="J287" t="s">
        <v>48</v>
      </c>
      <c r="K287" t="s">
        <v>14</v>
      </c>
      <c r="L287">
        <v>1</v>
      </c>
      <c r="M287">
        <v>0</v>
      </c>
      <c r="N287">
        <v>0</v>
      </c>
      <c r="O287" t="s">
        <v>1741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25">
      <c r="A288">
        <v>1178</v>
      </c>
      <c r="B288">
        <v>3</v>
      </c>
      <c r="C288" t="s">
        <v>2248</v>
      </c>
      <c r="D288">
        <v>0</v>
      </c>
      <c r="E288">
        <v>32.180156657963444</v>
      </c>
      <c r="F288">
        <v>0</v>
      </c>
      <c r="G288">
        <v>0</v>
      </c>
      <c r="H288" t="s">
        <v>2249</v>
      </c>
      <c r="I288">
        <v>7.25</v>
      </c>
      <c r="J288" t="s">
        <v>48</v>
      </c>
      <c r="K288" t="s">
        <v>14</v>
      </c>
      <c r="L288">
        <v>1</v>
      </c>
      <c r="M288">
        <v>0</v>
      </c>
      <c r="N288">
        <v>0</v>
      </c>
      <c r="O288" t="s">
        <v>1741</v>
      </c>
      <c r="P288">
        <v>0</v>
      </c>
      <c r="Q288">
        <v>0</v>
      </c>
      <c r="R288">
        <v>1</v>
      </c>
      <c r="S288">
        <v>0</v>
      </c>
      <c r="T288">
        <v>0</v>
      </c>
    </row>
    <row r="289" spans="1:20" x14ac:dyDescent="0.25">
      <c r="A289">
        <v>1179</v>
      </c>
      <c r="B289">
        <v>1</v>
      </c>
      <c r="C289" t="s">
        <v>2250</v>
      </c>
      <c r="D289">
        <v>0</v>
      </c>
      <c r="E289">
        <v>24</v>
      </c>
      <c r="F289">
        <v>1</v>
      </c>
      <c r="G289">
        <v>0</v>
      </c>
      <c r="H289" t="s">
        <v>1781</v>
      </c>
      <c r="I289">
        <v>82.2667</v>
      </c>
      <c r="J289" t="s">
        <v>1782</v>
      </c>
      <c r="K289" t="s">
        <v>14</v>
      </c>
      <c r="L289">
        <v>1</v>
      </c>
      <c r="M289">
        <v>0</v>
      </c>
      <c r="N289">
        <v>0</v>
      </c>
      <c r="O289" t="s">
        <v>1741</v>
      </c>
      <c r="P289">
        <v>0</v>
      </c>
      <c r="Q289">
        <v>0</v>
      </c>
      <c r="R289">
        <v>1</v>
      </c>
      <c r="S289">
        <v>0</v>
      </c>
      <c r="T289">
        <v>0</v>
      </c>
    </row>
    <row r="290" spans="1:20" x14ac:dyDescent="0.25">
      <c r="A290">
        <v>1180</v>
      </c>
      <c r="B290">
        <v>3</v>
      </c>
      <c r="C290" t="s">
        <v>2251</v>
      </c>
      <c r="D290">
        <v>0</v>
      </c>
      <c r="E290">
        <v>32.180156657963444</v>
      </c>
      <c r="F290">
        <v>0</v>
      </c>
      <c r="G290">
        <v>0</v>
      </c>
      <c r="H290" t="s">
        <v>2252</v>
      </c>
      <c r="I290">
        <v>7.2291999999999996</v>
      </c>
      <c r="J290" t="s">
        <v>2253</v>
      </c>
      <c r="K290" t="s">
        <v>18</v>
      </c>
      <c r="L290">
        <v>0</v>
      </c>
      <c r="M290">
        <v>1</v>
      </c>
      <c r="N290">
        <v>0</v>
      </c>
      <c r="O290" t="s">
        <v>1741</v>
      </c>
      <c r="P290">
        <v>0</v>
      </c>
      <c r="Q290">
        <v>0</v>
      </c>
      <c r="R290">
        <v>1</v>
      </c>
      <c r="S290">
        <v>0</v>
      </c>
      <c r="T290">
        <v>0</v>
      </c>
    </row>
    <row r="291" spans="1:20" x14ac:dyDescent="0.25">
      <c r="A291">
        <v>1181</v>
      </c>
      <c r="B291">
        <v>3</v>
      </c>
      <c r="C291" t="s">
        <v>2254</v>
      </c>
      <c r="D291">
        <v>0</v>
      </c>
      <c r="E291">
        <v>32.180156657963444</v>
      </c>
      <c r="F291">
        <v>0</v>
      </c>
      <c r="G291">
        <v>0</v>
      </c>
      <c r="H291" t="s">
        <v>2255</v>
      </c>
      <c r="I291">
        <v>8.0500000000000007</v>
      </c>
      <c r="J291" t="s">
        <v>48</v>
      </c>
      <c r="K291" t="s">
        <v>14</v>
      </c>
      <c r="L291">
        <v>1</v>
      </c>
      <c r="M291">
        <v>0</v>
      </c>
      <c r="N291">
        <v>0</v>
      </c>
      <c r="O291" t="s">
        <v>1741</v>
      </c>
      <c r="P291">
        <v>0</v>
      </c>
      <c r="Q291">
        <v>0</v>
      </c>
      <c r="R291">
        <v>1</v>
      </c>
      <c r="S291">
        <v>0</v>
      </c>
      <c r="T291">
        <v>0</v>
      </c>
    </row>
    <row r="292" spans="1:20" x14ac:dyDescent="0.25">
      <c r="A292">
        <v>1182</v>
      </c>
      <c r="B292">
        <v>1</v>
      </c>
      <c r="C292" t="s">
        <v>2256</v>
      </c>
      <c r="D292">
        <v>0</v>
      </c>
      <c r="E292">
        <v>32.180156657963444</v>
      </c>
      <c r="F292">
        <v>0</v>
      </c>
      <c r="G292">
        <v>0</v>
      </c>
      <c r="H292" t="s">
        <v>2257</v>
      </c>
      <c r="I292">
        <v>39.6</v>
      </c>
      <c r="J292" t="s">
        <v>48</v>
      </c>
      <c r="K292" t="s">
        <v>14</v>
      </c>
      <c r="L292">
        <v>1</v>
      </c>
      <c r="M292">
        <v>0</v>
      </c>
      <c r="N292">
        <v>0</v>
      </c>
      <c r="O292" t="s">
        <v>1741</v>
      </c>
      <c r="P292">
        <v>0</v>
      </c>
      <c r="Q292">
        <v>0</v>
      </c>
      <c r="R292">
        <v>1</v>
      </c>
      <c r="S292">
        <v>0</v>
      </c>
      <c r="T292">
        <v>0</v>
      </c>
    </row>
    <row r="293" spans="1:20" x14ac:dyDescent="0.25">
      <c r="A293">
        <v>1183</v>
      </c>
      <c r="B293">
        <v>3</v>
      </c>
      <c r="C293" t="s">
        <v>2258</v>
      </c>
      <c r="D293">
        <v>1</v>
      </c>
      <c r="E293">
        <v>30</v>
      </c>
      <c r="F293">
        <v>0</v>
      </c>
      <c r="G293">
        <v>0</v>
      </c>
      <c r="H293" t="s">
        <v>2259</v>
      </c>
      <c r="I293">
        <v>6.95</v>
      </c>
      <c r="J293" t="s">
        <v>48</v>
      </c>
      <c r="K293" t="s">
        <v>28</v>
      </c>
      <c r="L293">
        <v>0</v>
      </c>
      <c r="M293">
        <v>0</v>
      </c>
      <c r="N293">
        <v>1</v>
      </c>
      <c r="O293" t="s">
        <v>1739</v>
      </c>
      <c r="P293">
        <v>1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>
        <v>1184</v>
      </c>
      <c r="B294">
        <v>3</v>
      </c>
      <c r="C294" t="s">
        <v>2260</v>
      </c>
      <c r="D294">
        <v>0</v>
      </c>
      <c r="E294">
        <v>32.180156657963444</v>
      </c>
      <c r="F294">
        <v>0</v>
      </c>
      <c r="G294">
        <v>0</v>
      </c>
      <c r="H294" t="s">
        <v>2261</v>
      </c>
      <c r="I294">
        <v>7.2291999999999996</v>
      </c>
      <c r="J294" t="s">
        <v>48</v>
      </c>
      <c r="K294" t="s">
        <v>18</v>
      </c>
      <c r="L294">
        <v>0</v>
      </c>
      <c r="M294">
        <v>1</v>
      </c>
      <c r="N294">
        <v>0</v>
      </c>
      <c r="O294" t="s">
        <v>1741</v>
      </c>
      <c r="P294">
        <v>0</v>
      </c>
      <c r="Q294">
        <v>0</v>
      </c>
      <c r="R294">
        <v>1</v>
      </c>
      <c r="S294">
        <v>0</v>
      </c>
      <c r="T294">
        <v>0</v>
      </c>
    </row>
    <row r="295" spans="1:20" x14ac:dyDescent="0.25">
      <c r="A295">
        <v>1185</v>
      </c>
      <c r="B295">
        <v>1</v>
      </c>
      <c r="C295" t="s">
        <v>2262</v>
      </c>
      <c r="D295">
        <v>0</v>
      </c>
      <c r="E295">
        <v>53</v>
      </c>
      <c r="F295">
        <v>1</v>
      </c>
      <c r="G295">
        <v>1</v>
      </c>
      <c r="H295" t="s">
        <v>914</v>
      </c>
      <c r="I295">
        <v>81.8583</v>
      </c>
      <c r="J295" t="s">
        <v>915</v>
      </c>
      <c r="K295" t="s">
        <v>14</v>
      </c>
      <c r="L295">
        <v>1</v>
      </c>
      <c r="M295">
        <v>0</v>
      </c>
      <c r="N295">
        <v>0</v>
      </c>
      <c r="O295" t="s">
        <v>1746</v>
      </c>
      <c r="P295">
        <v>0</v>
      </c>
      <c r="Q295">
        <v>0</v>
      </c>
      <c r="R295">
        <v>0</v>
      </c>
      <c r="S295">
        <v>0</v>
      </c>
      <c r="T295">
        <v>1</v>
      </c>
    </row>
    <row r="296" spans="1:20" x14ac:dyDescent="0.25">
      <c r="A296">
        <v>1186</v>
      </c>
      <c r="B296">
        <v>3</v>
      </c>
      <c r="C296" t="s">
        <v>2263</v>
      </c>
      <c r="D296">
        <v>0</v>
      </c>
      <c r="E296">
        <v>36</v>
      </c>
      <c r="F296">
        <v>0</v>
      </c>
      <c r="G296">
        <v>0</v>
      </c>
      <c r="H296" t="s">
        <v>2264</v>
      </c>
      <c r="I296">
        <v>9.5</v>
      </c>
      <c r="J296" t="s">
        <v>48</v>
      </c>
      <c r="K296" t="s">
        <v>14</v>
      </c>
      <c r="L296">
        <v>1</v>
      </c>
      <c r="M296">
        <v>0</v>
      </c>
      <c r="N296">
        <v>0</v>
      </c>
      <c r="O296" t="s">
        <v>1741</v>
      </c>
      <c r="P296">
        <v>0</v>
      </c>
      <c r="Q296">
        <v>0</v>
      </c>
      <c r="R296">
        <v>1</v>
      </c>
      <c r="S296">
        <v>0</v>
      </c>
      <c r="T296">
        <v>0</v>
      </c>
    </row>
    <row r="297" spans="1:20" x14ac:dyDescent="0.25">
      <c r="A297">
        <v>1187</v>
      </c>
      <c r="B297">
        <v>3</v>
      </c>
      <c r="C297" t="s">
        <v>2265</v>
      </c>
      <c r="D297">
        <v>0</v>
      </c>
      <c r="E297">
        <v>26</v>
      </c>
      <c r="F297">
        <v>0</v>
      </c>
      <c r="G297">
        <v>0</v>
      </c>
      <c r="H297" t="s">
        <v>2266</v>
      </c>
      <c r="I297">
        <v>7.8958000000000004</v>
      </c>
      <c r="J297" t="s">
        <v>48</v>
      </c>
      <c r="K297" t="s">
        <v>14</v>
      </c>
      <c r="L297">
        <v>1</v>
      </c>
      <c r="M297">
        <v>0</v>
      </c>
      <c r="N297">
        <v>0</v>
      </c>
      <c r="O297" t="s">
        <v>1741</v>
      </c>
      <c r="P297">
        <v>0</v>
      </c>
      <c r="Q297">
        <v>0</v>
      </c>
      <c r="R297">
        <v>1</v>
      </c>
      <c r="S297">
        <v>0</v>
      </c>
      <c r="T297">
        <v>0</v>
      </c>
    </row>
    <row r="298" spans="1:20" x14ac:dyDescent="0.25">
      <c r="A298">
        <v>1188</v>
      </c>
      <c r="B298">
        <v>2</v>
      </c>
      <c r="C298" t="s">
        <v>2267</v>
      </c>
      <c r="D298">
        <v>1</v>
      </c>
      <c r="E298">
        <v>1</v>
      </c>
      <c r="F298">
        <v>1</v>
      </c>
      <c r="G298">
        <v>2</v>
      </c>
      <c r="H298" t="s">
        <v>111</v>
      </c>
      <c r="I298">
        <v>41.5792</v>
      </c>
      <c r="J298" t="s">
        <v>48</v>
      </c>
      <c r="K298" t="s">
        <v>18</v>
      </c>
      <c r="L298">
        <v>0</v>
      </c>
      <c r="M298">
        <v>1</v>
      </c>
      <c r="N298">
        <v>0</v>
      </c>
      <c r="O298" t="s">
        <v>1739</v>
      </c>
      <c r="P298">
        <v>1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>
        <v>1189</v>
      </c>
      <c r="B299">
        <v>3</v>
      </c>
      <c r="C299" t="s">
        <v>2268</v>
      </c>
      <c r="D299">
        <v>0</v>
      </c>
      <c r="E299">
        <v>32.180156657963444</v>
      </c>
      <c r="F299">
        <v>2</v>
      </c>
      <c r="G299">
        <v>0</v>
      </c>
      <c r="H299" t="s">
        <v>121</v>
      </c>
      <c r="I299">
        <v>21.679200000000002</v>
      </c>
      <c r="J299" t="s">
        <v>48</v>
      </c>
      <c r="K299" t="s">
        <v>18</v>
      </c>
      <c r="L299">
        <v>0</v>
      </c>
      <c r="M299">
        <v>1</v>
      </c>
      <c r="N299">
        <v>0</v>
      </c>
      <c r="O299" t="s">
        <v>1741</v>
      </c>
      <c r="P299">
        <v>0</v>
      </c>
      <c r="Q299">
        <v>0</v>
      </c>
      <c r="R299">
        <v>1</v>
      </c>
      <c r="S299">
        <v>0</v>
      </c>
      <c r="T299">
        <v>0</v>
      </c>
    </row>
    <row r="300" spans="1:20" x14ac:dyDescent="0.25">
      <c r="A300">
        <v>1190</v>
      </c>
      <c r="B300">
        <v>1</v>
      </c>
      <c r="C300" t="s">
        <v>2269</v>
      </c>
      <c r="D300">
        <v>0</v>
      </c>
      <c r="E300">
        <v>30</v>
      </c>
      <c r="F300">
        <v>0</v>
      </c>
      <c r="G300">
        <v>0</v>
      </c>
      <c r="H300" t="s">
        <v>2270</v>
      </c>
      <c r="I300">
        <v>45.5</v>
      </c>
      <c r="J300" t="s">
        <v>48</v>
      </c>
      <c r="K300" t="s">
        <v>14</v>
      </c>
      <c r="L300">
        <v>1</v>
      </c>
      <c r="M300">
        <v>0</v>
      </c>
      <c r="N300">
        <v>0</v>
      </c>
      <c r="O300" t="s">
        <v>1741</v>
      </c>
      <c r="P300">
        <v>0</v>
      </c>
      <c r="Q300">
        <v>0</v>
      </c>
      <c r="R300">
        <v>1</v>
      </c>
      <c r="S300">
        <v>0</v>
      </c>
      <c r="T300">
        <v>0</v>
      </c>
    </row>
    <row r="301" spans="1:20" x14ac:dyDescent="0.25">
      <c r="A301">
        <v>1191</v>
      </c>
      <c r="B301">
        <v>3</v>
      </c>
      <c r="C301" t="s">
        <v>2271</v>
      </c>
      <c r="D301">
        <v>0</v>
      </c>
      <c r="E301">
        <v>29</v>
      </c>
      <c r="F301">
        <v>0</v>
      </c>
      <c r="G301">
        <v>0</v>
      </c>
      <c r="H301" t="s">
        <v>2272</v>
      </c>
      <c r="I301">
        <v>7.8541999999999996</v>
      </c>
      <c r="J301" t="s">
        <v>48</v>
      </c>
      <c r="K301" t="s">
        <v>14</v>
      </c>
      <c r="L301">
        <v>1</v>
      </c>
      <c r="M301">
        <v>0</v>
      </c>
      <c r="N301">
        <v>0</v>
      </c>
      <c r="O301" t="s">
        <v>1741</v>
      </c>
      <c r="P301">
        <v>0</v>
      </c>
      <c r="Q301">
        <v>0</v>
      </c>
      <c r="R301">
        <v>1</v>
      </c>
      <c r="S301">
        <v>0</v>
      </c>
      <c r="T301">
        <v>0</v>
      </c>
    </row>
    <row r="302" spans="1:20" x14ac:dyDescent="0.25">
      <c r="A302">
        <v>1192</v>
      </c>
      <c r="B302">
        <v>3</v>
      </c>
      <c r="C302" t="s">
        <v>2273</v>
      </c>
      <c r="D302">
        <v>0</v>
      </c>
      <c r="E302">
        <v>32</v>
      </c>
      <c r="F302">
        <v>0</v>
      </c>
      <c r="G302">
        <v>0</v>
      </c>
      <c r="H302" t="s">
        <v>2274</v>
      </c>
      <c r="I302">
        <v>7.7750000000000004</v>
      </c>
      <c r="J302" t="s">
        <v>48</v>
      </c>
      <c r="K302" t="s">
        <v>14</v>
      </c>
      <c r="L302">
        <v>1</v>
      </c>
      <c r="M302">
        <v>0</v>
      </c>
      <c r="N302">
        <v>0</v>
      </c>
      <c r="O302" t="s">
        <v>1741</v>
      </c>
      <c r="P302">
        <v>0</v>
      </c>
      <c r="Q302">
        <v>0</v>
      </c>
      <c r="R302">
        <v>1</v>
      </c>
      <c r="S302">
        <v>0</v>
      </c>
      <c r="T302">
        <v>0</v>
      </c>
    </row>
    <row r="303" spans="1:20" x14ac:dyDescent="0.25">
      <c r="A303">
        <v>1193</v>
      </c>
      <c r="B303">
        <v>2</v>
      </c>
      <c r="C303" t="s">
        <v>2275</v>
      </c>
      <c r="D303">
        <v>0</v>
      </c>
      <c r="E303">
        <v>32.180156657963444</v>
      </c>
      <c r="F303">
        <v>0</v>
      </c>
      <c r="G303">
        <v>0</v>
      </c>
      <c r="H303" t="s">
        <v>2276</v>
      </c>
      <c r="I303">
        <v>15.0458</v>
      </c>
      <c r="J303" t="s">
        <v>623</v>
      </c>
      <c r="K303" t="s">
        <v>18</v>
      </c>
      <c r="L303">
        <v>0</v>
      </c>
      <c r="M303">
        <v>1</v>
      </c>
      <c r="N303">
        <v>0</v>
      </c>
      <c r="O303" t="s">
        <v>1741</v>
      </c>
      <c r="P303">
        <v>0</v>
      </c>
      <c r="Q303">
        <v>0</v>
      </c>
      <c r="R303">
        <v>1</v>
      </c>
      <c r="S303">
        <v>0</v>
      </c>
      <c r="T303">
        <v>0</v>
      </c>
    </row>
    <row r="304" spans="1:20" x14ac:dyDescent="0.25">
      <c r="A304">
        <v>1194</v>
      </c>
      <c r="B304">
        <v>2</v>
      </c>
      <c r="C304" t="s">
        <v>2277</v>
      </c>
      <c r="D304">
        <v>0</v>
      </c>
      <c r="E304">
        <v>43</v>
      </c>
      <c r="F304">
        <v>0</v>
      </c>
      <c r="G304">
        <v>1</v>
      </c>
      <c r="H304" t="s">
        <v>2085</v>
      </c>
      <c r="I304">
        <v>21</v>
      </c>
      <c r="J304" t="s">
        <v>48</v>
      </c>
      <c r="K304" t="s">
        <v>14</v>
      </c>
      <c r="L304">
        <v>1</v>
      </c>
      <c r="M304">
        <v>0</v>
      </c>
      <c r="N304">
        <v>0</v>
      </c>
      <c r="O304" t="s">
        <v>1741</v>
      </c>
      <c r="P304">
        <v>0</v>
      </c>
      <c r="Q304">
        <v>0</v>
      </c>
      <c r="R304">
        <v>1</v>
      </c>
      <c r="S304">
        <v>0</v>
      </c>
      <c r="T304">
        <v>0</v>
      </c>
    </row>
    <row r="305" spans="1:20" x14ac:dyDescent="0.25">
      <c r="A305">
        <v>1195</v>
      </c>
      <c r="B305">
        <v>3</v>
      </c>
      <c r="C305" t="s">
        <v>2278</v>
      </c>
      <c r="D305">
        <v>0</v>
      </c>
      <c r="E305">
        <v>24</v>
      </c>
      <c r="F305">
        <v>0</v>
      </c>
      <c r="G305">
        <v>0</v>
      </c>
      <c r="H305" t="s">
        <v>2279</v>
      </c>
      <c r="I305">
        <v>8.6624999999999996</v>
      </c>
      <c r="J305" t="s">
        <v>48</v>
      </c>
      <c r="K305" t="s">
        <v>14</v>
      </c>
      <c r="L305">
        <v>1</v>
      </c>
      <c r="M305">
        <v>0</v>
      </c>
      <c r="N305">
        <v>0</v>
      </c>
      <c r="O305" t="s">
        <v>1741</v>
      </c>
      <c r="P305">
        <v>0</v>
      </c>
      <c r="Q305">
        <v>0</v>
      </c>
      <c r="R305">
        <v>1</v>
      </c>
      <c r="S305">
        <v>0</v>
      </c>
      <c r="T305">
        <v>0</v>
      </c>
    </row>
    <row r="306" spans="1:20" x14ac:dyDescent="0.25">
      <c r="A306">
        <v>1196</v>
      </c>
      <c r="B306">
        <v>3</v>
      </c>
      <c r="C306" t="s">
        <v>2280</v>
      </c>
      <c r="D306">
        <v>1</v>
      </c>
      <c r="E306">
        <v>21.98581560283688</v>
      </c>
      <c r="F306">
        <v>0</v>
      </c>
      <c r="G306">
        <v>0</v>
      </c>
      <c r="H306" t="s">
        <v>2281</v>
      </c>
      <c r="I306">
        <v>7.75</v>
      </c>
      <c r="J306" t="s">
        <v>48</v>
      </c>
      <c r="K306" t="s">
        <v>28</v>
      </c>
      <c r="L306">
        <v>0</v>
      </c>
      <c r="M306">
        <v>0</v>
      </c>
      <c r="N306">
        <v>1</v>
      </c>
      <c r="O306" t="s">
        <v>1739</v>
      </c>
      <c r="P306">
        <v>1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>
        <v>1197</v>
      </c>
      <c r="B307">
        <v>1</v>
      </c>
      <c r="C307" t="s">
        <v>2282</v>
      </c>
      <c r="D307">
        <v>1</v>
      </c>
      <c r="E307">
        <v>64</v>
      </c>
      <c r="F307">
        <v>1</v>
      </c>
      <c r="G307">
        <v>1</v>
      </c>
      <c r="H307" t="s">
        <v>2283</v>
      </c>
      <c r="I307">
        <v>26.55</v>
      </c>
      <c r="J307" t="s">
        <v>2284</v>
      </c>
      <c r="K307" t="s">
        <v>14</v>
      </c>
      <c r="L307">
        <v>1</v>
      </c>
      <c r="M307">
        <v>0</v>
      </c>
      <c r="N307">
        <v>0</v>
      </c>
      <c r="O307" t="s">
        <v>1740</v>
      </c>
      <c r="P307">
        <v>0</v>
      </c>
      <c r="Q307">
        <v>1</v>
      </c>
      <c r="R307">
        <v>0</v>
      </c>
      <c r="S307">
        <v>0</v>
      </c>
      <c r="T307">
        <v>0</v>
      </c>
    </row>
    <row r="308" spans="1:20" x14ac:dyDescent="0.25">
      <c r="A308">
        <v>1198</v>
      </c>
      <c r="B308">
        <v>1</v>
      </c>
      <c r="C308" t="s">
        <v>2285</v>
      </c>
      <c r="D308">
        <v>0</v>
      </c>
      <c r="E308">
        <v>30</v>
      </c>
      <c r="F308">
        <v>1</v>
      </c>
      <c r="G308">
        <v>2</v>
      </c>
      <c r="H308" t="s">
        <v>633</v>
      </c>
      <c r="I308">
        <v>151.55000000000001</v>
      </c>
      <c r="J308" t="s">
        <v>634</v>
      </c>
      <c r="K308" t="s">
        <v>14</v>
      </c>
      <c r="L308">
        <v>1</v>
      </c>
      <c r="M308">
        <v>0</v>
      </c>
      <c r="N308">
        <v>0</v>
      </c>
      <c r="O308" t="s">
        <v>1741</v>
      </c>
      <c r="P308">
        <v>0</v>
      </c>
      <c r="Q308">
        <v>0</v>
      </c>
      <c r="R308">
        <v>1</v>
      </c>
      <c r="S308">
        <v>0</v>
      </c>
      <c r="T308">
        <v>0</v>
      </c>
    </row>
    <row r="309" spans="1:20" x14ac:dyDescent="0.25">
      <c r="A309">
        <v>1199</v>
      </c>
      <c r="B309">
        <v>3</v>
      </c>
      <c r="C309" t="s">
        <v>2286</v>
      </c>
      <c r="D309">
        <v>0</v>
      </c>
      <c r="E309">
        <v>0.83</v>
      </c>
      <c r="F309">
        <v>0</v>
      </c>
      <c r="G309">
        <v>1</v>
      </c>
      <c r="H309" t="s">
        <v>1670</v>
      </c>
      <c r="I309">
        <v>9.35</v>
      </c>
      <c r="J309" t="s">
        <v>48</v>
      </c>
      <c r="K309" t="s">
        <v>14</v>
      </c>
      <c r="L309">
        <v>1</v>
      </c>
      <c r="M309">
        <v>0</v>
      </c>
      <c r="N309">
        <v>0</v>
      </c>
      <c r="O309" t="s">
        <v>1742</v>
      </c>
      <c r="P309">
        <v>0</v>
      </c>
      <c r="Q309">
        <v>0</v>
      </c>
      <c r="R309">
        <v>0</v>
      </c>
      <c r="S309">
        <v>1</v>
      </c>
      <c r="T309">
        <v>0</v>
      </c>
    </row>
    <row r="310" spans="1:20" x14ac:dyDescent="0.25">
      <c r="A310">
        <v>1200</v>
      </c>
      <c r="B310">
        <v>1</v>
      </c>
      <c r="C310" t="s">
        <v>2287</v>
      </c>
      <c r="D310">
        <v>0</v>
      </c>
      <c r="E310">
        <v>55</v>
      </c>
      <c r="F310">
        <v>1</v>
      </c>
      <c r="G310">
        <v>1</v>
      </c>
      <c r="H310" t="s">
        <v>1062</v>
      </c>
      <c r="I310">
        <v>93.5</v>
      </c>
      <c r="J310" t="s">
        <v>1613</v>
      </c>
      <c r="K310" t="s">
        <v>14</v>
      </c>
      <c r="L310">
        <v>1</v>
      </c>
      <c r="M310">
        <v>0</v>
      </c>
      <c r="N310">
        <v>0</v>
      </c>
      <c r="O310" t="s">
        <v>1741</v>
      </c>
      <c r="P310">
        <v>0</v>
      </c>
      <c r="Q310">
        <v>0</v>
      </c>
      <c r="R310">
        <v>1</v>
      </c>
      <c r="S310">
        <v>0</v>
      </c>
      <c r="T310">
        <v>0</v>
      </c>
    </row>
    <row r="311" spans="1:20" x14ac:dyDescent="0.25">
      <c r="A311">
        <v>1201</v>
      </c>
      <c r="B311">
        <v>3</v>
      </c>
      <c r="C311" t="s">
        <v>2288</v>
      </c>
      <c r="D311">
        <v>1</v>
      </c>
      <c r="E311">
        <v>45</v>
      </c>
      <c r="F311">
        <v>1</v>
      </c>
      <c r="G311">
        <v>0</v>
      </c>
      <c r="H311" t="s">
        <v>1679</v>
      </c>
      <c r="I311">
        <v>14.1083</v>
      </c>
      <c r="J311" t="s">
        <v>48</v>
      </c>
      <c r="K311" t="s">
        <v>14</v>
      </c>
      <c r="L311">
        <v>1</v>
      </c>
      <c r="M311">
        <v>0</v>
      </c>
      <c r="N311">
        <v>0</v>
      </c>
      <c r="O311" t="s">
        <v>1740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 x14ac:dyDescent="0.25">
      <c r="A312">
        <v>1202</v>
      </c>
      <c r="B312">
        <v>3</v>
      </c>
      <c r="C312" t="s">
        <v>2289</v>
      </c>
      <c r="D312">
        <v>0</v>
      </c>
      <c r="E312">
        <v>18</v>
      </c>
      <c r="F312">
        <v>0</v>
      </c>
      <c r="G312">
        <v>0</v>
      </c>
      <c r="H312" t="s">
        <v>2290</v>
      </c>
      <c r="I312">
        <v>8.6624999999999996</v>
      </c>
      <c r="J312" t="s">
        <v>48</v>
      </c>
      <c r="K312" t="s">
        <v>14</v>
      </c>
      <c r="L312">
        <v>1</v>
      </c>
      <c r="M312">
        <v>0</v>
      </c>
      <c r="N312">
        <v>0</v>
      </c>
      <c r="O312" t="s">
        <v>1741</v>
      </c>
      <c r="P312">
        <v>0</v>
      </c>
      <c r="Q312">
        <v>0</v>
      </c>
      <c r="R312">
        <v>1</v>
      </c>
      <c r="S312">
        <v>0</v>
      </c>
      <c r="T312">
        <v>0</v>
      </c>
    </row>
    <row r="313" spans="1:20" x14ac:dyDescent="0.25">
      <c r="A313">
        <v>1203</v>
      </c>
      <c r="B313">
        <v>3</v>
      </c>
      <c r="C313" t="s">
        <v>2291</v>
      </c>
      <c r="D313">
        <v>0</v>
      </c>
      <c r="E313">
        <v>22</v>
      </c>
      <c r="F313">
        <v>0</v>
      </c>
      <c r="G313">
        <v>0</v>
      </c>
      <c r="H313" t="s">
        <v>2292</v>
      </c>
      <c r="I313">
        <v>7.2249999999999996</v>
      </c>
      <c r="J313" t="s">
        <v>48</v>
      </c>
      <c r="K313" t="s">
        <v>18</v>
      </c>
      <c r="L313">
        <v>0</v>
      </c>
      <c r="M313">
        <v>1</v>
      </c>
      <c r="N313">
        <v>0</v>
      </c>
      <c r="O313" t="s">
        <v>1741</v>
      </c>
      <c r="P313">
        <v>0</v>
      </c>
      <c r="Q313">
        <v>0</v>
      </c>
      <c r="R313">
        <v>1</v>
      </c>
      <c r="S313">
        <v>0</v>
      </c>
      <c r="T313">
        <v>0</v>
      </c>
    </row>
    <row r="314" spans="1:20" x14ac:dyDescent="0.25">
      <c r="A314">
        <v>1204</v>
      </c>
      <c r="B314">
        <v>3</v>
      </c>
      <c r="C314" t="s">
        <v>2293</v>
      </c>
      <c r="D314">
        <v>0</v>
      </c>
      <c r="E314">
        <v>32.180156657963444</v>
      </c>
      <c r="F314">
        <v>0</v>
      </c>
      <c r="G314">
        <v>0</v>
      </c>
      <c r="H314" t="s">
        <v>2294</v>
      </c>
      <c r="I314">
        <v>7.5750000000000002</v>
      </c>
      <c r="J314" t="s">
        <v>48</v>
      </c>
      <c r="K314" t="s">
        <v>14</v>
      </c>
      <c r="L314">
        <v>1</v>
      </c>
      <c r="M314">
        <v>0</v>
      </c>
      <c r="N314">
        <v>0</v>
      </c>
      <c r="O314" t="s">
        <v>1741</v>
      </c>
      <c r="P314">
        <v>0</v>
      </c>
      <c r="Q314">
        <v>0</v>
      </c>
      <c r="R314">
        <v>1</v>
      </c>
      <c r="S314">
        <v>0</v>
      </c>
      <c r="T314">
        <v>0</v>
      </c>
    </row>
    <row r="315" spans="1:20" x14ac:dyDescent="0.25">
      <c r="A315">
        <v>1205</v>
      </c>
      <c r="B315">
        <v>3</v>
      </c>
      <c r="C315" t="s">
        <v>2295</v>
      </c>
      <c r="D315">
        <v>1</v>
      </c>
      <c r="E315">
        <v>37</v>
      </c>
      <c r="F315">
        <v>0</v>
      </c>
      <c r="G315">
        <v>0</v>
      </c>
      <c r="H315" t="s">
        <v>2296</v>
      </c>
      <c r="I315">
        <v>7.75</v>
      </c>
      <c r="J315" t="s">
        <v>48</v>
      </c>
      <c r="K315" t="s">
        <v>28</v>
      </c>
      <c r="L315">
        <v>0</v>
      </c>
      <c r="M315">
        <v>0</v>
      </c>
      <c r="N315">
        <v>1</v>
      </c>
      <c r="O315" t="s">
        <v>1739</v>
      </c>
      <c r="P315">
        <v>1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>
        <v>1206</v>
      </c>
      <c r="B316">
        <v>1</v>
      </c>
      <c r="C316" t="s">
        <v>2297</v>
      </c>
      <c r="D316">
        <v>1</v>
      </c>
      <c r="E316">
        <v>55</v>
      </c>
      <c r="F316">
        <v>0</v>
      </c>
      <c r="G316">
        <v>0</v>
      </c>
      <c r="H316" t="s">
        <v>573</v>
      </c>
      <c r="I316">
        <v>135.63329999999999</v>
      </c>
      <c r="J316" t="s">
        <v>691</v>
      </c>
      <c r="K316" t="s">
        <v>18</v>
      </c>
      <c r="L316">
        <v>0</v>
      </c>
      <c r="M316">
        <v>1</v>
      </c>
      <c r="N316">
        <v>0</v>
      </c>
      <c r="O316" t="s">
        <v>1740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 x14ac:dyDescent="0.25">
      <c r="A317">
        <v>1207</v>
      </c>
      <c r="B317">
        <v>3</v>
      </c>
      <c r="C317" t="s">
        <v>2298</v>
      </c>
      <c r="D317">
        <v>1</v>
      </c>
      <c r="E317">
        <v>17</v>
      </c>
      <c r="F317">
        <v>0</v>
      </c>
      <c r="G317">
        <v>0</v>
      </c>
      <c r="H317" t="s">
        <v>2299</v>
      </c>
      <c r="I317">
        <v>7.7332999999999998</v>
      </c>
      <c r="J317" t="s">
        <v>48</v>
      </c>
      <c r="K317" t="s">
        <v>28</v>
      </c>
      <c r="L317">
        <v>0</v>
      </c>
      <c r="M317">
        <v>0</v>
      </c>
      <c r="N317">
        <v>1</v>
      </c>
      <c r="O317" t="s">
        <v>1739</v>
      </c>
      <c r="P317">
        <v>1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>
        <v>1208</v>
      </c>
      <c r="B318">
        <v>1</v>
      </c>
      <c r="C318" t="s">
        <v>2300</v>
      </c>
      <c r="D318">
        <v>0</v>
      </c>
      <c r="E318">
        <v>57</v>
      </c>
      <c r="F318">
        <v>1</v>
      </c>
      <c r="G318">
        <v>0</v>
      </c>
      <c r="H318" t="s">
        <v>86</v>
      </c>
      <c r="I318">
        <v>146.52080000000001</v>
      </c>
      <c r="J318" t="s">
        <v>87</v>
      </c>
      <c r="K318" t="s">
        <v>18</v>
      </c>
      <c r="L318">
        <v>0</v>
      </c>
      <c r="M318">
        <v>1</v>
      </c>
      <c r="N318">
        <v>0</v>
      </c>
      <c r="O318" t="s">
        <v>1741</v>
      </c>
      <c r="P318">
        <v>0</v>
      </c>
      <c r="Q318">
        <v>0</v>
      </c>
      <c r="R318">
        <v>1</v>
      </c>
      <c r="S318">
        <v>0</v>
      </c>
      <c r="T318">
        <v>0</v>
      </c>
    </row>
    <row r="319" spans="1:20" x14ac:dyDescent="0.25">
      <c r="A319">
        <v>1209</v>
      </c>
      <c r="B319">
        <v>2</v>
      </c>
      <c r="C319" t="s">
        <v>2301</v>
      </c>
      <c r="D319">
        <v>0</v>
      </c>
      <c r="E319">
        <v>19</v>
      </c>
      <c r="F319">
        <v>0</v>
      </c>
      <c r="G319">
        <v>0</v>
      </c>
      <c r="H319" t="s">
        <v>2302</v>
      </c>
      <c r="I319">
        <v>10.5</v>
      </c>
      <c r="J319" t="s">
        <v>48</v>
      </c>
      <c r="K319" t="s">
        <v>14</v>
      </c>
      <c r="L319">
        <v>1</v>
      </c>
      <c r="M319">
        <v>0</v>
      </c>
      <c r="N319">
        <v>0</v>
      </c>
      <c r="O319" t="s">
        <v>1741</v>
      </c>
      <c r="P319">
        <v>0</v>
      </c>
      <c r="Q319">
        <v>0</v>
      </c>
      <c r="R319">
        <v>1</v>
      </c>
      <c r="S319">
        <v>0</v>
      </c>
      <c r="T319">
        <v>0</v>
      </c>
    </row>
    <row r="320" spans="1:20" x14ac:dyDescent="0.25">
      <c r="A320">
        <v>1210</v>
      </c>
      <c r="B320">
        <v>3</v>
      </c>
      <c r="C320" t="s">
        <v>2303</v>
      </c>
      <c r="D320">
        <v>0</v>
      </c>
      <c r="E320">
        <v>27</v>
      </c>
      <c r="F320">
        <v>0</v>
      </c>
      <c r="G320">
        <v>0</v>
      </c>
      <c r="H320" t="s">
        <v>2304</v>
      </c>
      <c r="I320">
        <v>7.8541999999999996</v>
      </c>
      <c r="J320" t="s">
        <v>48</v>
      </c>
      <c r="K320" t="s">
        <v>14</v>
      </c>
      <c r="L320">
        <v>1</v>
      </c>
      <c r="M320">
        <v>0</v>
      </c>
      <c r="N320">
        <v>0</v>
      </c>
      <c r="O320" t="s">
        <v>1741</v>
      </c>
      <c r="P320">
        <v>0</v>
      </c>
      <c r="Q320">
        <v>0</v>
      </c>
      <c r="R320">
        <v>1</v>
      </c>
      <c r="S320">
        <v>0</v>
      </c>
      <c r="T320">
        <v>0</v>
      </c>
    </row>
    <row r="321" spans="1:20" x14ac:dyDescent="0.25">
      <c r="A321">
        <v>1211</v>
      </c>
      <c r="B321">
        <v>2</v>
      </c>
      <c r="C321" t="s">
        <v>2305</v>
      </c>
      <c r="D321">
        <v>0</v>
      </c>
      <c r="E321">
        <v>22</v>
      </c>
      <c r="F321">
        <v>2</v>
      </c>
      <c r="G321">
        <v>0</v>
      </c>
      <c r="H321" t="s">
        <v>1813</v>
      </c>
      <c r="I321">
        <v>31.5</v>
      </c>
      <c r="J321" t="s">
        <v>48</v>
      </c>
      <c r="K321" t="s">
        <v>14</v>
      </c>
      <c r="L321">
        <v>1</v>
      </c>
      <c r="M321">
        <v>0</v>
      </c>
      <c r="N321">
        <v>0</v>
      </c>
      <c r="O321" t="s">
        <v>1741</v>
      </c>
      <c r="P321">
        <v>0</v>
      </c>
      <c r="Q321">
        <v>0</v>
      </c>
      <c r="R321">
        <v>1</v>
      </c>
      <c r="S321">
        <v>0</v>
      </c>
      <c r="T321">
        <v>0</v>
      </c>
    </row>
    <row r="322" spans="1:20" x14ac:dyDescent="0.25">
      <c r="A322">
        <v>1212</v>
      </c>
      <c r="B322">
        <v>3</v>
      </c>
      <c r="C322" t="s">
        <v>2306</v>
      </c>
      <c r="D322">
        <v>0</v>
      </c>
      <c r="E322">
        <v>26</v>
      </c>
      <c r="F322">
        <v>0</v>
      </c>
      <c r="G322">
        <v>0</v>
      </c>
      <c r="H322" t="s">
        <v>2307</v>
      </c>
      <c r="I322">
        <v>7.7750000000000004</v>
      </c>
      <c r="J322" t="s">
        <v>48</v>
      </c>
      <c r="K322" t="s">
        <v>14</v>
      </c>
      <c r="L322">
        <v>1</v>
      </c>
      <c r="M322">
        <v>0</v>
      </c>
      <c r="N322">
        <v>0</v>
      </c>
      <c r="O322" t="s">
        <v>1741</v>
      </c>
      <c r="P322">
        <v>0</v>
      </c>
      <c r="Q322">
        <v>0</v>
      </c>
      <c r="R322">
        <v>1</v>
      </c>
      <c r="S322">
        <v>0</v>
      </c>
      <c r="T322">
        <v>0</v>
      </c>
    </row>
    <row r="323" spans="1:20" x14ac:dyDescent="0.25">
      <c r="A323">
        <v>1213</v>
      </c>
      <c r="B323">
        <v>3</v>
      </c>
      <c r="C323" t="s">
        <v>2308</v>
      </c>
      <c r="D323">
        <v>0</v>
      </c>
      <c r="E323">
        <v>25</v>
      </c>
      <c r="F323">
        <v>0</v>
      </c>
      <c r="G323">
        <v>0</v>
      </c>
      <c r="H323" t="s">
        <v>2309</v>
      </c>
      <c r="I323">
        <v>7.2291999999999996</v>
      </c>
      <c r="J323" t="s">
        <v>2310</v>
      </c>
      <c r="K323" t="s">
        <v>18</v>
      </c>
      <c r="L323">
        <v>0</v>
      </c>
      <c r="M323">
        <v>1</v>
      </c>
      <c r="N323">
        <v>0</v>
      </c>
      <c r="O323" t="s">
        <v>1741</v>
      </c>
      <c r="P323">
        <v>0</v>
      </c>
      <c r="Q323">
        <v>0</v>
      </c>
      <c r="R323">
        <v>1</v>
      </c>
      <c r="S323">
        <v>0</v>
      </c>
      <c r="T323">
        <v>0</v>
      </c>
    </row>
    <row r="324" spans="1:20" x14ac:dyDescent="0.25">
      <c r="A324">
        <v>1214</v>
      </c>
      <c r="B324">
        <v>2</v>
      </c>
      <c r="C324" t="s">
        <v>2311</v>
      </c>
      <c r="D324">
        <v>0</v>
      </c>
      <c r="E324">
        <v>26</v>
      </c>
      <c r="F324">
        <v>0</v>
      </c>
      <c r="G324">
        <v>0</v>
      </c>
      <c r="H324" t="s">
        <v>2312</v>
      </c>
      <c r="I324">
        <v>13</v>
      </c>
      <c r="J324" t="s">
        <v>329</v>
      </c>
      <c r="K324" t="s">
        <v>14</v>
      </c>
      <c r="L324">
        <v>1</v>
      </c>
      <c r="M324">
        <v>0</v>
      </c>
      <c r="N324">
        <v>0</v>
      </c>
      <c r="O324" t="s">
        <v>1741</v>
      </c>
      <c r="P324">
        <v>0</v>
      </c>
      <c r="Q324">
        <v>0</v>
      </c>
      <c r="R324">
        <v>1</v>
      </c>
      <c r="S324">
        <v>0</v>
      </c>
      <c r="T324">
        <v>0</v>
      </c>
    </row>
    <row r="325" spans="1:20" x14ac:dyDescent="0.25">
      <c r="A325">
        <v>1215</v>
      </c>
      <c r="B325">
        <v>1</v>
      </c>
      <c r="C325" t="s">
        <v>2313</v>
      </c>
      <c r="D325">
        <v>0</v>
      </c>
      <c r="E325">
        <v>33</v>
      </c>
      <c r="F325">
        <v>0</v>
      </c>
      <c r="G325">
        <v>0</v>
      </c>
      <c r="H325" t="s">
        <v>2314</v>
      </c>
      <c r="I325">
        <v>26.55</v>
      </c>
      <c r="J325" t="s">
        <v>48</v>
      </c>
      <c r="K325" t="s">
        <v>14</v>
      </c>
      <c r="L325">
        <v>1</v>
      </c>
      <c r="M325">
        <v>0</v>
      </c>
      <c r="N325">
        <v>0</v>
      </c>
      <c r="O325" t="s">
        <v>1741</v>
      </c>
      <c r="P325">
        <v>0</v>
      </c>
      <c r="Q325">
        <v>0</v>
      </c>
      <c r="R325">
        <v>1</v>
      </c>
      <c r="S325">
        <v>0</v>
      </c>
      <c r="T325">
        <v>0</v>
      </c>
    </row>
    <row r="326" spans="1:20" x14ac:dyDescent="0.25">
      <c r="A326">
        <v>1216</v>
      </c>
      <c r="B326">
        <v>1</v>
      </c>
      <c r="C326" t="s">
        <v>2315</v>
      </c>
      <c r="D326">
        <v>1</v>
      </c>
      <c r="E326">
        <v>39</v>
      </c>
      <c r="F326">
        <v>0</v>
      </c>
      <c r="G326">
        <v>0</v>
      </c>
      <c r="H326" t="s">
        <v>1372</v>
      </c>
      <c r="I326">
        <v>211.33750000000001</v>
      </c>
      <c r="J326" t="s">
        <v>48</v>
      </c>
      <c r="K326" t="s">
        <v>14</v>
      </c>
      <c r="L326">
        <v>1</v>
      </c>
      <c r="M326">
        <v>0</v>
      </c>
      <c r="N326">
        <v>0</v>
      </c>
      <c r="O326" t="s">
        <v>1739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>
        <v>1217</v>
      </c>
      <c r="B327">
        <v>3</v>
      </c>
      <c r="C327" t="s">
        <v>2316</v>
      </c>
      <c r="D327">
        <v>0</v>
      </c>
      <c r="E327">
        <v>23</v>
      </c>
      <c r="F327">
        <v>0</v>
      </c>
      <c r="G327">
        <v>0</v>
      </c>
      <c r="H327" t="s">
        <v>2317</v>
      </c>
      <c r="I327">
        <v>7.05</v>
      </c>
      <c r="J327" t="s">
        <v>48</v>
      </c>
      <c r="K327" t="s">
        <v>14</v>
      </c>
      <c r="L327">
        <v>1</v>
      </c>
      <c r="M327">
        <v>0</v>
      </c>
      <c r="N327">
        <v>0</v>
      </c>
      <c r="O327" t="s">
        <v>1741</v>
      </c>
      <c r="P327">
        <v>0</v>
      </c>
      <c r="Q327">
        <v>0</v>
      </c>
      <c r="R327">
        <v>1</v>
      </c>
      <c r="S327">
        <v>0</v>
      </c>
      <c r="T327">
        <v>0</v>
      </c>
    </row>
    <row r="328" spans="1:20" x14ac:dyDescent="0.25">
      <c r="A328">
        <v>1218</v>
      </c>
      <c r="B328">
        <v>2</v>
      </c>
      <c r="C328" t="s">
        <v>2318</v>
      </c>
      <c r="D328">
        <v>1</v>
      </c>
      <c r="E328">
        <v>12</v>
      </c>
      <c r="F328">
        <v>2</v>
      </c>
      <c r="G328">
        <v>1</v>
      </c>
      <c r="H328" t="s">
        <v>397</v>
      </c>
      <c r="I328">
        <v>39</v>
      </c>
      <c r="J328" t="s">
        <v>398</v>
      </c>
      <c r="K328" t="s">
        <v>14</v>
      </c>
      <c r="L328">
        <v>1</v>
      </c>
      <c r="M328">
        <v>0</v>
      </c>
      <c r="N328">
        <v>0</v>
      </c>
      <c r="O328" t="s">
        <v>1739</v>
      </c>
      <c r="P328">
        <v>1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>
        <v>1219</v>
      </c>
      <c r="B329">
        <v>1</v>
      </c>
      <c r="C329" t="s">
        <v>2319</v>
      </c>
      <c r="D329">
        <v>0</v>
      </c>
      <c r="E329">
        <v>46</v>
      </c>
      <c r="F329">
        <v>0</v>
      </c>
      <c r="G329">
        <v>0</v>
      </c>
      <c r="H329" t="s">
        <v>545</v>
      </c>
      <c r="I329">
        <v>79.2</v>
      </c>
      <c r="J329" t="s">
        <v>48</v>
      </c>
      <c r="K329" t="s">
        <v>18</v>
      </c>
      <c r="L329">
        <v>0</v>
      </c>
      <c r="M329">
        <v>1</v>
      </c>
      <c r="N329">
        <v>0</v>
      </c>
      <c r="O329" t="s">
        <v>1741</v>
      </c>
      <c r="P329">
        <v>0</v>
      </c>
      <c r="Q329">
        <v>0</v>
      </c>
      <c r="R329">
        <v>1</v>
      </c>
      <c r="S329">
        <v>0</v>
      </c>
      <c r="T329">
        <v>0</v>
      </c>
    </row>
    <row r="330" spans="1:20" x14ac:dyDescent="0.25">
      <c r="A330">
        <v>1220</v>
      </c>
      <c r="B330">
        <v>2</v>
      </c>
      <c r="C330" t="s">
        <v>2320</v>
      </c>
      <c r="D330">
        <v>0</v>
      </c>
      <c r="E330">
        <v>29</v>
      </c>
      <c r="F330">
        <v>1</v>
      </c>
      <c r="G330">
        <v>0</v>
      </c>
      <c r="H330" t="s">
        <v>879</v>
      </c>
      <c r="I330">
        <v>26</v>
      </c>
      <c r="J330" t="s">
        <v>48</v>
      </c>
      <c r="K330" t="s">
        <v>14</v>
      </c>
      <c r="L330">
        <v>1</v>
      </c>
      <c r="M330">
        <v>0</v>
      </c>
      <c r="N330">
        <v>0</v>
      </c>
      <c r="O330" t="s">
        <v>1741</v>
      </c>
      <c r="P330">
        <v>0</v>
      </c>
      <c r="Q330">
        <v>0</v>
      </c>
      <c r="R330">
        <v>1</v>
      </c>
      <c r="S330">
        <v>0</v>
      </c>
      <c r="T330">
        <v>0</v>
      </c>
    </row>
    <row r="331" spans="1:20" x14ac:dyDescent="0.25">
      <c r="A331">
        <v>1221</v>
      </c>
      <c r="B331">
        <v>2</v>
      </c>
      <c r="C331" t="s">
        <v>2321</v>
      </c>
      <c r="D331">
        <v>0</v>
      </c>
      <c r="E331">
        <v>21</v>
      </c>
      <c r="F331">
        <v>0</v>
      </c>
      <c r="G331">
        <v>0</v>
      </c>
      <c r="H331" t="s">
        <v>2322</v>
      </c>
      <c r="I331">
        <v>13</v>
      </c>
      <c r="J331" t="s">
        <v>48</v>
      </c>
      <c r="K331" t="s">
        <v>14</v>
      </c>
      <c r="L331">
        <v>1</v>
      </c>
      <c r="M331">
        <v>0</v>
      </c>
      <c r="N331">
        <v>0</v>
      </c>
      <c r="O331" t="s">
        <v>1741</v>
      </c>
      <c r="P331">
        <v>0</v>
      </c>
      <c r="Q331">
        <v>0</v>
      </c>
      <c r="R331">
        <v>1</v>
      </c>
      <c r="S331">
        <v>0</v>
      </c>
      <c r="T331">
        <v>0</v>
      </c>
    </row>
    <row r="332" spans="1:20" x14ac:dyDescent="0.25">
      <c r="A332">
        <v>1222</v>
      </c>
      <c r="B332">
        <v>2</v>
      </c>
      <c r="C332" t="s">
        <v>2323</v>
      </c>
      <c r="D332">
        <v>1</v>
      </c>
      <c r="E332">
        <v>48</v>
      </c>
      <c r="F332">
        <v>0</v>
      </c>
      <c r="G332">
        <v>2</v>
      </c>
      <c r="H332" t="s">
        <v>323</v>
      </c>
      <c r="I332">
        <v>36.75</v>
      </c>
      <c r="J332" t="s">
        <v>48</v>
      </c>
      <c r="K332" t="s">
        <v>14</v>
      </c>
      <c r="L332">
        <v>1</v>
      </c>
      <c r="M332">
        <v>0</v>
      </c>
      <c r="N332">
        <v>0</v>
      </c>
      <c r="O332" t="s">
        <v>1740</v>
      </c>
      <c r="P332">
        <v>0</v>
      </c>
      <c r="Q332">
        <v>1</v>
      </c>
      <c r="R332">
        <v>0</v>
      </c>
      <c r="S332">
        <v>0</v>
      </c>
      <c r="T332">
        <v>0</v>
      </c>
    </row>
    <row r="333" spans="1:20" x14ac:dyDescent="0.25">
      <c r="A333">
        <v>1223</v>
      </c>
      <c r="B333">
        <v>1</v>
      </c>
      <c r="C333" t="s">
        <v>2324</v>
      </c>
      <c r="D333">
        <v>0</v>
      </c>
      <c r="E333">
        <v>39</v>
      </c>
      <c r="F333">
        <v>0</v>
      </c>
      <c r="G333">
        <v>0</v>
      </c>
      <c r="H333" t="s">
        <v>2325</v>
      </c>
      <c r="I333">
        <v>29.7</v>
      </c>
      <c r="J333" t="s">
        <v>2326</v>
      </c>
      <c r="K333" t="s">
        <v>18</v>
      </c>
      <c r="L333">
        <v>0</v>
      </c>
      <c r="M333">
        <v>1</v>
      </c>
      <c r="N333">
        <v>0</v>
      </c>
      <c r="O333" t="s">
        <v>1741</v>
      </c>
      <c r="P333">
        <v>0</v>
      </c>
      <c r="Q333">
        <v>0</v>
      </c>
      <c r="R333">
        <v>1</v>
      </c>
      <c r="S333">
        <v>0</v>
      </c>
      <c r="T333">
        <v>0</v>
      </c>
    </row>
    <row r="334" spans="1:20" x14ac:dyDescent="0.25">
      <c r="A334">
        <v>1224</v>
      </c>
      <c r="B334">
        <v>3</v>
      </c>
      <c r="C334" t="s">
        <v>2327</v>
      </c>
      <c r="D334">
        <v>0</v>
      </c>
      <c r="E334">
        <v>32.180156657963444</v>
      </c>
      <c r="F334">
        <v>0</v>
      </c>
      <c r="G334">
        <v>0</v>
      </c>
      <c r="H334" t="s">
        <v>2328</v>
      </c>
      <c r="I334">
        <v>7.2249999999999996</v>
      </c>
      <c r="J334" t="s">
        <v>48</v>
      </c>
      <c r="K334" t="s">
        <v>18</v>
      </c>
      <c r="L334">
        <v>0</v>
      </c>
      <c r="M334">
        <v>1</v>
      </c>
      <c r="N334">
        <v>0</v>
      </c>
      <c r="O334" t="s">
        <v>1741</v>
      </c>
      <c r="P334">
        <v>0</v>
      </c>
      <c r="Q334">
        <v>0</v>
      </c>
      <c r="R334">
        <v>1</v>
      </c>
      <c r="S334">
        <v>0</v>
      </c>
      <c r="T334">
        <v>0</v>
      </c>
    </row>
    <row r="335" spans="1:20" x14ac:dyDescent="0.25">
      <c r="A335">
        <v>1225</v>
      </c>
      <c r="B335">
        <v>3</v>
      </c>
      <c r="C335" t="s">
        <v>2329</v>
      </c>
      <c r="D335">
        <v>1</v>
      </c>
      <c r="E335">
        <v>19</v>
      </c>
      <c r="F335">
        <v>1</v>
      </c>
      <c r="G335">
        <v>1</v>
      </c>
      <c r="H335" t="s">
        <v>798</v>
      </c>
      <c r="I335">
        <v>15.7417</v>
      </c>
      <c r="J335" t="s">
        <v>48</v>
      </c>
      <c r="K335" t="s">
        <v>18</v>
      </c>
      <c r="L335">
        <v>0</v>
      </c>
      <c r="M335">
        <v>1</v>
      </c>
      <c r="N335">
        <v>0</v>
      </c>
      <c r="O335" t="s">
        <v>1740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 x14ac:dyDescent="0.25">
      <c r="A336">
        <v>1226</v>
      </c>
      <c r="B336">
        <v>3</v>
      </c>
      <c r="C336" t="s">
        <v>2330</v>
      </c>
      <c r="D336">
        <v>0</v>
      </c>
      <c r="E336">
        <v>27</v>
      </c>
      <c r="F336">
        <v>0</v>
      </c>
      <c r="G336">
        <v>0</v>
      </c>
      <c r="H336" t="s">
        <v>2331</v>
      </c>
      <c r="I336">
        <v>7.8958000000000004</v>
      </c>
      <c r="J336" t="s">
        <v>48</v>
      </c>
      <c r="K336" t="s">
        <v>14</v>
      </c>
      <c r="L336">
        <v>1</v>
      </c>
      <c r="M336">
        <v>0</v>
      </c>
      <c r="N336">
        <v>0</v>
      </c>
      <c r="O336" t="s">
        <v>1741</v>
      </c>
      <c r="P336">
        <v>0</v>
      </c>
      <c r="Q336">
        <v>0</v>
      </c>
      <c r="R336">
        <v>1</v>
      </c>
      <c r="S336">
        <v>0</v>
      </c>
      <c r="T336">
        <v>0</v>
      </c>
    </row>
    <row r="337" spans="1:20" x14ac:dyDescent="0.25">
      <c r="A337">
        <v>1227</v>
      </c>
      <c r="B337">
        <v>1</v>
      </c>
      <c r="C337" t="s">
        <v>2332</v>
      </c>
      <c r="D337">
        <v>0</v>
      </c>
      <c r="E337">
        <v>30</v>
      </c>
      <c r="F337">
        <v>0</v>
      </c>
      <c r="G337">
        <v>0</v>
      </c>
      <c r="H337" t="s">
        <v>2333</v>
      </c>
      <c r="I337">
        <v>26</v>
      </c>
      <c r="J337" t="s">
        <v>637</v>
      </c>
      <c r="K337" t="s">
        <v>14</v>
      </c>
      <c r="L337">
        <v>1</v>
      </c>
      <c r="M337">
        <v>0</v>
      </c>
      <c r="N337">
        <v>0</v>
      </c>
      <c r="O337" t="s">
        <v>1741</v>
      </c>
      <c r="P337">
        <v>0</v>
      </c>
      <c r="Q337">
        <v>0</v>
      </c>
      <c r="R337">
        <v>1</v>
      </c>
      <c r="S337">
        <v>0</v>
      </c>
      <c r="T337">
        <v>0</v>
      </c>
    </row>
    <row r="338" spans="1:20" x14ac:dyDescent="0.25">
      <c r="A338">
        <v>1228</v>
      </c>
      <c r="B338">
        <v>2</v>
      </c>
      <c r="C338" t="s">
        <v>2334</v>
      </c>
      <c r="D338">
        <v>0</v>
      </c>
      <c r="E338">
        <v>32</v>
      </c>
      <c r="F338">
        <v>0</v>
      </c>
      <c r="G338">
        <v>0</v>
      </c>
      <c r="H338" t="s">
        <v>2335</v>
      </c>
      <c r="I338">
        <v>13</v>
      </c>
      <c r="J338" t="s">
        <v>48</v>
      </c>
      <c r="K338" t="s">
        <v>14</v>
      </c>
      <c r="L338">
        <v>1</v>
      </c>
      <c r="M338">
        <v>0</v>
      </c>
      <c r="N338">
        <v>0</v>
      </c>
      <c r="O338" t="s">
        <v>1741</v>
      </c>
      <c r="P338">
        <v>0</v>
      </c>
      <c r="Q338">
        <v>0</v>
      </c>
      <c r="R338">
        <v>1</v>
      </c>
      <c r="S338">
        <v>0</v>
      </c>
      <c r="T338">
        <v>0</v>
      </c>
    </row>
    <row r="339" spans="1:20" x14ac:dyDescent="0.25">
      <c r="A339">
        <v>1229</v>
      </c>
      <c r="B339">
        <v>3</v>
      </c>
      <c r="C339" t="s">
        <v>2336</v>
      </c>
      <c r="D339">
        <v>0</v>
      </c>
      <c r="E339">
        <v>39</v>
      </c>
      <c r="F339">
        <v>0</v>
      </c>
      <c r="G339">
        <v>2</v>
      </c>
      <c r="H339" t="s">
        <v>2337</v>
      </c>
      <c r="I339">
        <v>7.2291999999999996</v>
      </c>
      <c r="J339" t="s">
        <v>48</v>
      </c>
      <c r="K339" t="s">
        <v>18</v>
      </c>
      <c r="L339">
        <v>0</v>
      </c>
      <c r="M339">
        <v>1</v>
      </c>
      <c r="N339">
        <v>0</v>
      </c>
      <c r="O339" t="s">
        <v>1741</v>
      </c>
      <c r="P339">
        <v>0</v>
      </c>
      <c r="Q339">
        <v>0</v>
      </c>
      <c r="R339">
        <v>1</v>
      </c>
      <c r="S339">
        <v>0</v>
      </c>
      <c r="T339">
        <v>0</v>
      </c>
    </row>
    <row r="340" spans="1:20" x14ac:dyDescent="0.25">
      <c r="A340">
        <v>1230</v>
      </c>
      <c r="B340">
        <v>2</v>
      </c>
      <c r="C340" t="s">
        <v>2338</v>
      </c>
      <c r="D340">
        <v>0</v>
      </c>
      <c r="E340">
        <v>25</v>
      </c>
      <c r="F340">
        <v>0</v>
      </c>
      <c r="G340">
        <v>0</v>
      </c>
      <c r="H340" t="s">
        <v>1813</v>
      </c>
      <c r="I340">
        <v>31.5</v>
      </c>
      <c r="J340" t="s">
        <v>48</v>
      </c>
      <c r="K340" t="s">
        <v>14</v>
      </c>
      <c r="L340">
        <v>1</v>
      </c>
      <c r="M340">
        <v>0</v>
      </c>
      <c r="N340">
        <v>0</v>
      </c>
      <c r="O340" t="s">
        <v>1741</v>
      </c>
      <c r="P340">
        <v>0</v>
      </c>
      <c r="Q340">
        <v>0</v>
      </c>
      <c r="R340">
        <v>1</v>
      </c>
      <c r="S340">
        <v>0</v>
      </c>
      <c r="T340">
        <v>0</v>
      </c>
    </row>
    <row r="341" spans="1:20" x14ac:dyDescent="0.25">
      <c r="A341">
        <v>1231</v>
      </c>
      <c r="B341">
        <v>3</v>
      </c>
      <c r="C341" t="s">
        <v>2339</v>
      </c>
      <c r="D341">
        <v>0</v>
      </c>
      <c r="E341">
        <v>5.193548387096774</v>
      </c>
      <c r="F341">
        <v>0</v>
      </c>
      <c r="G341">
        <v>0</v>
      </c>
      <c r="H341" t="s">
        <v>2340</v>
      </c>
      <c r="I341">
        <v>7.2291999999999996</v>
      </c>
      <c r="J341" t="s">
        <v>48</v>
      </c>
      <c r="K341" t="s">
        <v>18</v>
      </c>
      <c r="L341">
        <v>0</v>
      </c>
      <c r="M341">
        <v>1</v>
      </c>
      <c r="N341">
        <v>0</v>
      </c>
      <c r="O341" t="s">
        <v>1742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 x14ac:dyDescent="0.25">
      <c r="A342">
        <v>1232</v>
      </c>
      <c r="B342">
        <v>2</v>
      </c>
      <c r="C342" t="s">
        <v>2341</v>
      </c>
      <c r="D342">
        <v>0</v>
      </c>
      <c r="E342">
        <v>18</v>
      </c>
      <c r="F342">
        <v>0</v>
      </c>
      <c r="G342">
        <v>0</v>
      </c>
      <c r="H342" t="s">
        <v>2342</v>
      </c>
      <c r="I342">
        <v>10.5</v>
      </c>
      <c r="J342" t="s">
        <v>48</v>
      </c>
      <c r="K342" t="s">
        <v>14</v>
      </c>
      <c r="L342">
        <v>1</v>
      </c>
      <c r="M342">
        <v>0</v>
      </c>
      <c r="N342">
        <v>0</v>
      </c>
      <c r="O342" t="s">
        <v>1741</v>
      </c>
      <c r="P342">
        <v>0</v>
      </c>
      <c r="Q342">
        <v>0</v>
      </c>
      <c r="R342">
        <v>1</v>
      </c>
      <c r="S342">
        <v>0</v>
      </c>
      <c r="T342">
        <v>0</v>
      </c>
    </row>
    <row r="343" spans="1:20" x14ac:dyDescent="0.25">
      <c r="A343">
        <v>1233</v>
      </c>
      <c r="B343">
        <v>3</v>
      </c>
      <c r="C343" t="s">
        <v>2343</v>
      </c>
      <c r="D343">
        <v>0</v>
      </c>
      <c r="E343">
        <v>32</v>
      </c>
      <c r="F343">
        <v>0</v>
      </c>
      <c r="G343">
        <v>0</v>
      </c>
      <c r="H343" t="s">
        <v>2344</v>
      </c>
      <c r="I343">
        <v>7.5792000000000002</v>
      </c>
      <c r="J343" t="s">
        <v>48</v>
      </c>
      <c r="K343" t="s">
        <v>14</v>
      </c>
      <c r="L343">
        <v>1</v>
      </c>
      <c r="M343">
        <v>0</v>
      </c>
      <c r="N343">
        <v>0</v>
      </c>
      <c r="O343" t="s">
        <v>1741</v>
      </c>
      <c r="P343">
        <v>0</v>
      </c>
      <c r="Q343">
        <v>0</v>
      </c>
      <c r="R343">
        <v>1</v>
      </c>
      <c r="S343">
        <v>0</v>
      </c>
      <c r="T343">
        <v>0</v>
      </c>
    </row>
    <row r="344" spans="1:20" x14ac:dyDescent="0.25">
      <c r="A344">
        <v>1234</v>
      </c>
      <c r="B344">
        <v>3</v>
      </c>
      <c r="C344" t="s">
        <v>2345</v>
      </c>
      <c r="D344">
        <v>0</v>
      </c>
      <c r="E344">
        <v>32.180156657963444</v>
      </c>
      <c r="F344">
        <v>1</v>
      </c>
      <c r="G344">
        <v>9</v>
      </c>
      <c r="H344" t="s">
        <v>352</v>
      </c>
      <c r="I344">
        <v>69.55</v>
      </c>
      <c r="J344" t="s">
        <v>48</v>
      </c>
      <c r="K344" t="s">
        <v>14</v>
      </c>
      <c r="L344">
        <v>1</v>
      </c>
      <c r="M344">
        <v>0</v>
      </c>
      <c r="N344">
        <v>0</v>
      </c>
      <c r="O344" t="s">
        <v>1741</v>
      </c>
      <c r="P344">
        <v>0</v>
      </c>
      <c r="Q344">
        <v>0</v>
      </c>
      <c r="R344">
        <v>1</v>
      </c>
      <c r="S344">
        <v>0</v>
      </c>
      <c r="T344">
        <v>0</v>
      </c>
    </row>
    <row r="345" spans="1:20" x14ac:dyDescent="0.25">
      <c r="A345">
        <v>1235</v>
      </c>
      <c r="B345">
        <v>1</v>
      </c>
      <c r="C345" t="s">
        <v>2346</v>
      </c>
      <c r="D345">
        <v>1</v>
      </c>
      <c r="E345">
        <v>58</v>
      </c>
      <c r="F345">
        <v>0</v>
      </c>
      <c r="G345">
        <v>1</v>
      </c>
      <c r="H345" t="s">
        <v>550</v>
      </c>
      <c r="I345">
        <v>512.32920000000001</v>
      </c>
      <c r="J345" t="s">
        <v>1356</v>
      </c>
      <c r="K345" t="s">
        <v>18</v>
      </c>
      <c r="L345">
        <v>0</v>
      </c>
      <c r="M345">
        <v>1</v>
      </c>
      <c r="N345">
        <v>0</v>
      </c>
      <c r="O345" t="s">
        <v>1740</v>
      </c>
      <c r="P345">
        <v>0</v>
      </c>
      <c r="Q345">
        <v>1</v>
      </c>
      <c r="R345">
        <v>0</v>
      </c>
      <c r="S345">
        <v>0</v>
      </c>
      <c r="T345">
        <v>0</v>
      </c>
    </row>
    <row r="346" spans="1:20" x14ac:dyDescent="0.25">
      <c r="A346">
        <v>1236</v>
      </c>
      <c r="B346">
        <v>3</v>
      </c>
      <c r="C346" t="s">
        <v>2347</v>
      </c>
      <c r="D346">
        <v>0</v>
      </c>
      <c r="E346">
        <v>5.193548387096774</v>
      </c>
      <c r="F346">
        <v>1</v>
      </c>
      <c r="G346">
        <v>1</v>
      </c>
      <c r="H346" t="s">
        <v>340</v>
      </c>
      <c r="I346">
        <v>14.5</v>
      </c>
      <c r="J346" t="s">
        <v>48</v>
      </c>
      <c r="K346" t="s">
        <v>14</v>
      </c>
      <c r="L346">
        <v>1</v>
      </c>
      <c r="M346">
        <v>0</v>
      </c>
      <c r="N346">
        <v>0</v>
      </c>
      <c r="O346" t="s">
        <v>1742</v>
      </c>
      <c r="P346">
        <v>0</v>
      </c>
      <c r="Q346">
        <v>0</v>
      </c>
      <c r="R346">
        <v>0</v>
      </c>
      <c r="S346">
        <v>1</v>
      </c>
      <c r="T346">
        <v>0</v>
      </c>
    </row>
    <row r="347" spans="1:20" x14ac:dyDescent="0.25">
      <c r="A347">
        <v>1237</v>
      </c>
      <c r="B347">
        <v>3</v>
      </c>
      <c r="C347" t="s">
        <v>2348</v>
      </c>
      <c r="D347">
        <v>1</v>
      </c>
      <c r="E347">
        <v>16</v>
      </c>
      <c r="F347">
        <v>0</v>
      </c>
      <c r="G347">
        <v>0</v>
      </c>
      <c r="H347" t="s">
        <v>2349</v>
      </c>
      <c r="I347">
        <v>7.65</v>
      </c>
      <c r="J347" t="s">
        <v>48</v>
      </c>
      <c r="K347" t="s">
        <v>14</v>
      </c>
      <c r="L347">
        <v>1</v>
      </c>
      <c r="M347">
        <v>0</v>
      </c>
      <c r="N347">
        <v>0</v>
      </c>
      <c r="O347" t="s">
        <v>1739</v>
      </c>
      <c r="P347">
        <v>1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>
        <v>1238</v>
      </c>
      <c r="B348">
        <v>2</v>
      </c>
      <c r="C348" t="s">
        <v>2350</v>
      </c>
      <c r="D348">
        <v>0</v>
      </c>
      <c r="E348">
        <v>26</v>
      </c>
      <c r="F348">
        <v>0</v>
      </c>
      <c r="G348">
        <v>0</v>
      </c>
      <c r="H348" t="s">
        <v>2351</v>
      </c>
      <c r="I348">
        <v>13</v>
      </c>
      <c r="J348" t="s">
        <v>48</v>
      </c>
      <c r="K348" t="s">
        <v>14</v>
      </c>
      <c r="L348">
        <v>1</v>
      </c>
      <c r="M348">
        <v>0</v>
      </c>
      <c r="N348">
        <v>0</v>
      </c>
      <c r="O348" t="s">
        <v>1741</v>
      </c>
      <c r="P348">
        <v>0</v>
      </c>
      <c r="Q348">
        <v>0</v>
      </c>
      <c r="R348">
        <v>1</v>
      </c>
      <c r="S348">
        <v>0</v>
      </c>
      <c r="T348">
        <v>0</v>
      </c>
    </row>
    <row r="349" spans="1:20" x14ac:dyDescent="0.25">
      <c r="A349">
        <v>1239</v>
      </c>
      <c r="B349">
        <v>3</v>
      </c>
      <c r="C349" t="s">
        <v>2352</v>
      </c>
      <c r="D349">
        <v>1</v>
      </c>
      <c r="E349">
        <v>38</v>
      </c>
      <c r="F349">
        <v>0</v>
      </c>
      <c r="G349">
        <v>0</v>
      </c>
      <c r="H349" t="s">
        <v>2353</v>
      </c>
      <c r="I349">
        <v>7.2291999999999996</v>
      </c>
      <c r="J349" t="s">
        <v>48</v>
      </c>
      <c r="K349" t="s">
        <v>18</v>
      </c>
      <c r="L349">
        <v>0</v>
      </c>
      <c r="M349">
        <v>1</v>
      </c>
      <c r="N349">
        <v>0</v>
      </c>
      <c r="O349" t="s">
        <v>1740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 x14ac:dyDescent="0.25">
      <c r="A350">
        <v>1240</v>
      </c>
      <c r="B350">
        <v>2</v>
      </c>
      <c r="C350" t="s">
        <v>2354</v>
      </c>
      <c r="D350">
        <v>0</v>
      </c>
      <c r="E350">
        <v>24</v>
      </c>
      <c r="F350">
        <v>0</v>
      </c>
      <c r="G350">
        <v>0</v>
      </c>
      <c r="H350" t="s">
        <v>2355</v>
      </c>
      <c r="I350">
        <v>13.5</v>
      </c>
      <c r="J350" t="s">
        <v>48</v>
      </c>
      <c r="K350" t="s">
        <v>14</v>
      </c>
      <c r="L350">
        <v>1</v>
      </c>
      <c r="M350">
        <v>0</v>
      </c>
      <c r="N350">
        <v>0</v>
      </c>
      <c r="O350" t="s">
        <v>1741</v>
      </c>
      <c r="P350">
        <v>0</v>
      </c>
      <c r="Q350">
        <v>0</v>
      </c>
      <c r="R350">
        <v>1</v>
      </c>
      <c r="S350">
        <v>0</v>
      </c>
      <c r="T350">
        <v>0</v>
      </c>
    </row>
    <row r="351" spans="1:20" x14ac:dyDescent="0.25">
      <c r="A351">
        <v>1241</v>
      </c>
      <c r="B351">
        <v>2</v>
      </c>
      <c r="C351" t="s">
        <v>2356</v>
      </c>
      <c r="D351">
        <v>1</v>
      </c>
      <c r="E351">
        <v>31</v>
      </c>
      <c r="F351">
        <v>0</v>
      </c>
      <c r="G351">
        <v>0</v>
      </c>
      <c r="H351" t="s">
        <v>454</v>
      </c>
      <c r="I351">
        <v>21</v>
      </c>
      <c r="J351" t="s">
        <v>48</v>
      </c>
      <c r="K351" t="s">
        <v>14</v>
      </c>
      <c r="L351">
        <v>1</v>
      </c>
      <c r="M351">
        <v>0</v>
      </c>
      <c r="N351">
        <v>0</v>
      </c>
      <c r="O351" t="s">
        <v>1739</v>
      </c>
      <c r="P351">
        <v>1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>
        <v>1242</v>
      </c>
      <c r="B352">
        <v>1</v>
      </c>
      <c r="C352" t="s">
        <v>2357</v>
      </c>
      <c r="D352">
        <v>1</v>
      </c>
      <c r="E352">
        <v>45</v>
      </c>
      <c r="F352">
        <v>0</v>
      </c>
      <c r="G352">
        <v>1</v>
      </c>
      <c r="H352" t="s">
        <v>226</v>
      </c>
      <c r="I352">
        <v>63.3583</v>
      </c>
      <c r="J352" t="s">
        <v>227</v>
      </c>
      <c r="K352" t="s">
        <v>18</v>
      </c>
      <c r="L352">
        <v>0</v>
      </c>
      <c r="M352">
        <v>1</v>
      </c>
      <c r="N352">
        <v>0</v>
      </c>
      <c r="O352" t="s">
        <v>1740</v>
      </c>
      <c r="P352">
        <v>0</v>
      </c>
      <c r="Q352">
        <v>1</v>
      </c>
      <c r="R352">
        <v>0</v>
      </c>
      <c r="S352">
        <v>0</v>
      </c>
      <c r="T352">
        <v>0</v>
      </c>
    </row>
    <row r="353" spans="1:20" x14ac:dyDescent="0.25">
      <c r="A353">
        <v>1243</v>
      </c>
      <c r="B353">
        <v>2</v>
      </c>
      <c r="C353" t="s">
        <v>2358</v>
      </c>
      <c r="D353">
        <v>0</v>
      </c>
      <c r="E353">
        <v>25</v>
      </c>
      <c r="F353">
        <v>0</v>
      </c>
      <c r="G353">
        <v>0</v>
      </c>
      <c r="H353" t="s">
        <v>2359</v>
      </c>
      <c r="I353">
        <v>10.5</v>
      </c>
      <c r="J353" t="s">
        <v>48</v>
      </c>
      <c r="K353" t="s">
        <v>14</v>
      </c>
      <c r="L353">
        <v>1</v>
      </c>
      <c r="M353">
        <v>0</v>
      </c>
      <c r="N353">
        <v>0</v>
      </c>
      <c r="O353" t="s">
        <v>1741</v>
      </c>
      <c r="P353">
        <v>0</v>
      </c>
      <c r="Q353">
        <v>0</v>
      </c>
      <c r="R353">
        <v>1</v>
      </c>
      <c r="S353">
        <v>0</v>
      </c>
      <c r="T353">
        <v>0</v>
      </c>
    </row>
    <row r="354" spans="1:20" x14ac:dyDescent="0.25">
      <c r="A354">
        <v>1244</v>
      </c>
      <c r="B354">
        <v>2</v>
      </c>
      <c r="C354" t="s">
        <v>2360</v>
      </c>
      <c r="D354">
        <v>0</v>
      </c>
      <c r="E354">
        <v>18</v>
      </c>
      <c r="F354">
        <v>0</v>
      </c>
      <c r="G354">
        <v>0</v>
      </c>
      <c r="H354" t="s">
        <v>174</v>
      </c>
      <c r="I354">
        <v>73.5</v>
      </c>
      <c r="J354" t="s">
        <v>48</v>
      </c>
      <c r="K354" t="s">
        <v>14</v>
      </c>
      <c r="L354">
        <v>1</v>
      </c>
      <c r="M354">
        <v>0</v>
      </c>
      <c r="N354">
        <v>0</v>
      </c>
      <c r="O354" t="s">
        <v>1741</v>
      </c>
      <c r="P354">
        <v>0</v>
      </c>
      <c r="Q354">
        <v>0</v>
      </c>
      <c r="R354">
        <v>1</v>
      </c>
      <c r="S354">
        <v>0</v>
      </c>
      <c r="T354">
        <v>0</v>
      </c>
    </row>
    <row r="355" spans="1:20" x14ac:dyDescent="0.25">
      <c r="A355">
        <v>1245</v>
      </c>
      <c r="B355">
        <v>2</v>
      </c>
      <c r="C355" t="s">
        <v>2361</v>
      </c>
      <c r="D355">
        <v>0</v>
      </c>
      <c r="E355">
        <v>49</v>
      </c>
      <c r="F355">
        <v>1</v>
      </c>
      <c r="G355">
        <v>2</v>
      </c>
      <c r="H355" t="s">
        <v>1239</v>
      </c>
      <c r="I355">
        <v>65</v>
      </c>
      <c r="J355" t="s">
        <v>48</v>
      </c>
      <c r="K355" t="s">
        <v>14</v>
      </c>
      <c r="L355">
        <v>1</v>
      </c>
      <c r="M355">
        <v>0</v>
      </c>
      <c r="N355">
        <v>0</v>
      </c>
      <c r="O355" t="s">
        <v>1741</v>
      </c>
      <c r="P355">
        <v>0</v>
      </c>
      <c r="Q355">
        <v>0</v>
      </c>
      <c r="R355">
        <v>1</v>
      </c>
      <c r="S355">
        <v>0</v>
      </c>
      <c r="T355">
        <v>0</v>
      </c>
    </row>
    <row r="356" spans="1:20" x14ac:dyDescent="0.25">
      <c r="A356">
        <v>1246</v>
      </c>
      <c r="B356">
        <v>3</v>
      </c>
      <c r="C356" t="s">
        <v>2362</v>
      </c>
      <c r="D356">
        <v>1</v>
      </c>
      <c r="E356">
        <v>0.17</v>
      </c>
      <c r="F356">
        <v>1</v>
      </c>
      <c r="G356">
        <v>2</v>
      </c>
      <c r="H356" t="s">
        <v>217</v>
      </c>
      <c r="I356">
        <v>20.574999999999999</v>
      </c>
      <c r="J356" t="s">
        <v>48</v>
      </c>
      <c r="K356" t="s">
        <v>14</v>
      </c>
      <c r="L356">
        <v>1</v>
      </c>
      <c r="M356">
        <v>0</v>
      </c>
      <c r="N356">
        <v>0</v>
      </c>
      <c r="O356" t="s">
        <v>1739</v>
      </c>
      <c r="P356">
        <v>1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>
        <v>1247</v>
      </c>
      <c r="B357">
        <v>1</v>
      </c>
      <c r="C357" t="s">
        <v>2363</v>
      </c>
      <c r="D357">
        <v>0</v>
      </c>
      <c r="E357">
        <v>50</v>
      </c>
      <c r="F357">
        <v>0</v>
      </c>
      <c r="G357">
        <v>0</v>
      </c>
      <c r="H357" t="s">
        <v>2364</v>
      </c>
      <c r="I357">
        <v>26</v>
      </c>
      <c r="J357" t="s">
        <v>2365</v>
      </c>
      <c r="K357" t="s">
        <v>14</v>
      </c>
      <c r="L357">
        <v>1</v>
      </c>
      <c r="M357">
        <v>0</v>
      </c>
      <c r="N357">
        <v>0</v>
      </c>
      <c r="O357" t="s">
        <v>1741</v>
      </c>
      <c r="P357">
        <v>0</v>
      </c>
      <c r="Q357">
        <v>0</v>
      </c>
      <c r="R357">
        <v>1</v>
      </c>
      <c r="S357">
        <v>0</v>
      </c>
      <c r="T357">
        <v>0</v>
      </c>
    </row>
    <row r="358" spans="1:20" x14ac:dyDescent="0.25">
      <c r="A358">
        <v>1248</v>
      </c>
      <c r="B358">
        <v>1</v>
      </c>
      <c r="C358" t="s">
        <v>2366</v>
      </c>
      <c r="D358">
        <v>1</v>
      </c>
      <c r="E358">
        <v>59</v>
      </c>
      <c r="F358">
        <v>2</v>
      </c>
      <c r="G358">
        <v>0</v>
      </c>
      <c r="H358" t="s">
        <v>1158</v>
      </c>
      <c r="I358">
        <v>51.479199999999999</v>
      </c>
      <c r="J358" t="s">
        <v>1159</v>
      </c>
      <c r="K358" t="s">
        <v>14</v>
      </c>
      <c r="L358">
        <v>1</v>
      </c>
      <c r="M358">
        <v>0</v>
      </c>
      <c r="N358">
        <v>0</v>
      </c>
      <c r="O358" t="s">
        <v>1740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25">
      <c r="A359">
        <v>1249</v>
      </c>
      <c r="B359">
        <v>3</v>
      </c>
      <c r="C359" t="s">
        <v>2367</v>
      </c>
      <c r="D359">
        <v>0</v>
      </c>
      <c r="E359">
        <v>32.180156657963444</v>
      </c>
      <c r="F359">
        <v>0</v>
      </c>
      <c r="G359">
        <v>0</v>
      </c>
      <c r="H359" t="s">
        <v>2368</v>
      </c>
      <c r="I359">
        <v>7.8792</v>
      </c>
      <c r="J359" t="s">
        <v>48</v>
      </c>
      <c r="K359" t="s">
        <v>14</v>
      </c>
      <c r="L359">
        <v>1</v>
      </c>
      <c r="M359">
        <v>0</v>
      </c>
      <c r="N359">
        <v>0</v>
      </c>
      <c r="O359" t="s">
        <v>1741</v>
      </c>
      <c r="P359">
        <v>0</v>
      </c>
      <c r="Q359">
        <v>0</v>
      </c>
      <c r="R359">
        <v>1</v>
      </c>
      <c r="S359">
        <v>0</v>
      </c>
      <c r="T359">
        <v>0</v>
      </c>
    </row>
    <row r="360" spans="1:20" x14ac:dyDescent="0.25">
      <c r="A360">
        <v>1250</v>
      </c>
      <c r="B360">
        <v>3</v>
      </c>
      <c r="C360" t="s">
        <v>2369</v>
      </c>
      <c r="D360">
        <v>0</v>
      </c>
      <c r="E360">
        <v>32.180156657963444</v>
      </c>
      <c r="F360">
        <v>0</v>
      </c>
      <c r="G360">
        <v>0</v>
      </c>
      <c r="H360" t="s">
        <v>2370</v>
      </c>
      <c r="I360">
        <v>7.75</v>
      </c>
      <c r="J360" t="s">
        <v>48</v>
      </c>
      <c r="K360" t="s">
        <v>28</v>
      </c>
      <c r="L360">
        <v>0</v>
      </c>
      <c r="M360">
        <v>0</v>
      </c>
      <c r="N360">
        <v>1</v>
      </c>
      <c r="O360" t="s">
        <v>1741</v>
      </c>
      <c r="P360">
        <v>0</v>
      </c>
      <c r="Q360">
        <v>0</v>
      </c>
      <c r="R360">
        <v>1</v>
      </c>
      <c r="S360">
        <v>0</v>
      </c>
      <c r="T360">
        <v>0</v>
      </c>
    </row>
    <row r="361" spans="1:20" x14ac:dyDescent="0.25">
      <c r="A361">
        <v>1251</v>
      </c>
      <c r="B361">
        <v>3</v>
      </c>
      <c r="C361" t="s">
        <v>2371</v>
      </c>
      <c r="D361">
        <v>1</v>
      </c>
      <c r="E361">
        <v>30</v>
      </c>
      <c r="F361">
        <v>1</v>
      </c>
      <c r="G361">
        <v>0</v>
      </c>
      <c r="H361" t="s">
        <v>1223</v>
      </c>
      <c r="I361">
        <v>15.55</v>
      </c>
      <c r="J361" t="s">
        <v>48</v>
      </c>
      <c r="K361" t="s">
        <v>14</v>
      </c>
      <c r="L361">
        <v>1</v>
      </c>
      <c r="M361">
        <v>0</v>
      </c>
      <c r="N361">
        <v>0</v>
      </c>
      <c r="O361" t="s">
        <v>1740</v>
      </c>
      <c r="P361">
        <v>0</v>
      </c>
      <c r="Q361">
        <v>1</v>
      </c>
      <c r="R361">
        <v>0</v>
      </c>
      <c r="S361">
        <v>0</v>
      </c>
      <c r="T361">
        <v>0</v>
      </c>
    </row>
    <row r="362" spans="1:20" x14ac:dyDescent="0.25">
      <c r="A362">
        <v>1252</v>
      </c>
      <c r="B362">
        <v>3</v>
      </c>
      <c r="C362" t="s">
        <v>2372</v>
      </c>
      <c r="D362">
        <v>0</v>
      </c>
      <c r="E362">
        <v>14.5</v>
      </c>
      <c r="F362">
        <v>8</v>
      </c>
      <c r="G362">
        <v>2</v>
      </c>
      <c r="H362" t="s">
        <v>352</v>
      </c>
      <c r="I362">
        <v>69.55</v>
      </c>
      <c r="J362" t="s">
        <v>48</v>
      </c>
      <c r="K362" t="s">
        <v>14</v>
      </c>
      <c r="L362">
        <v>1</v>
      </c>
      <c r="M362">
        <v>0</v>
      </c>
      <c r="N362">
        <v>0</v>
      </c>
      <c r="O362" t="s">
        <v>1742</v>
      </c>
      <c r="P362">
        <v>0</v>
      </c>
      <c r="Q362">
        <v>0</v>
      </c>
      <c r="R362">
        <v>0</v>
      </c>
      <c r="S362">
        <v>1</v>
      </c>
      <c r="T362">
        <v>0</v>
      </c>
    </row>
    <row r="363" spans="1:20" x14ac:dyDescent="0.25">
      <c r="A363">
        <v>1253</v>
      </c>
      <c r="B363">
        <v>2</v>
      </c>
      <c r="C363" t="s">
        <v>2373</v>
      </c>
      <c r="D363">
        <v>1</v>
      </c>
      <c r="E363">
        <v>24</v>
      </c>
      <c r="F363">
        <v>1</v>
      </c>
      <c r="G363">
        <v>1</v>
      </c>
      <c r="H363" t="s">
        <v>1608</v>
      </c>
      <c r="I363">
        <v>37.004199999999997</v>
      </c>
      <c r="J363" t="s">
        <v>48</v>
      </c>
      <c r="K363" t="s">
        <v>18</v>
      </c>
      <c r="L363">
        <v>0</v>
      </c>
      <c r="M363">
        <v>1</v>
      </c>
      <c r="N363">
        <v>0</v>
      </c>
      <c r="O363" t="s">
        <v>1740</v>
      </c>
      <c r="P363">
        <v>0</v>
      </c>
      <c r="Q363">
        <v>1</v>
      </c>
      <c r="R363">
        <v>0</v>
      </c>
      <c r="S363">
        <v>0</v>
      </c>
      <c r="T363">
        <v>0</v>
      </c>
    </row>
    <row r="364" spans="1:20" x14ac:dyDescent="0.25">
      <c r="A364">
        <v>1254</v>
      </c>
      <c r="B364">
        <v>2</v>
      </c>
      <c r="C364" t="s">
        <v>2374</v>
      </c>
      <c r="D364">
        <v>1</v>
      </c>
      <c r="E364">
        <v>31</v>
      </c>
      <c r="F364">
        <v>0</v>
      </c>
      <c r="G364">
        <v>0</v>
      </c>
      <c r="H364" t="s">
        <v>2236</v>
      </c>
      <c r="I364">
        <v>21</v>
      </c>
      <c r="J364" t="s">
        <v>48</v>
      </c>
      <c r="K364" t="s">
        <v>14</v>
      </c>
      <c r="L364">
        <v>1</v>
      </c>
      <c r="M364">
        <v>0</v>
      </c>
      <c r="N364">
        <v>0</v>
      </c>
      <c r="O364" t="s">
        <v>1740</v>
      </c>
      <c r="P364">
        <v>0</v>
      </c>
      <c r="Q364">
        <v>1</v>
      </c>
      <c r="R364">
        <v>0</v>
      </c>
      <c r="S364">
        <v>0</v>
      </c>
      <c r="T364">
        <v>0</v>
      </c>
    </row>
    <row r="365" spans="1:20" x14ac:dyDescent="0.25">
      <c r="A365">
        <v>1255</v>
      </c>
      <c r="B365">
        <v>3</v>
      </c>
      <c r="C365" t="s">
        <v>2375</v>
      </c>
      <c r="D365">
        <v>0</v>
      </c>
      <c r="E365">
        <v>27</v>
      </c>
      <c r="F365">
        <v>0</v>
      </c>
      <c r="G365">
        <v>0</v>
      </c>
      <c r="H365" t="s">
        <v>2376</v>
      </c>
      <c r="I365">
        <v>8.6624999999999996</v>
      </c>
      <c r="J365" t="s">
        <v>48</v>
      </c>
      <c r="K365" t="s">
        <v>14</v>
      </c>
      <c r="L365">
        <v>1</v>
      </c>
      <c r="M365">
        <v>0</v>
      </c>
      <c r="N365">
        <v>0</v>
      </c>
      <c r="O365" t="s">
        <v>1741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25">
      <c r="A366">
        <v>1256</v>
      </c>
      <c r="B366">
        <v>1</v>
      </c>
      <c r="C366" t="s">
        <v>2377</v>
      </c>
      <c r="D366">
        <v>1</v>
      </c>
      <c r="E366">
        <v>25</v>
      </c>
      <c r="F366">
        <v>1</v>
      </c>
      <c r="G366">
        <v>0</v>
      </c>
      <c r="H366" t="s">
        <v>777</v>
      </c>
      <c r="I366">
        <v>55.441699999999997</v>
      </c>
      <c r="J366" t="s">
        <v>778</v>
      </c>
      <c r="K366" t="s">
        <v>18</v>
      </c>
      <c r="L366">
        <v>0</v>
      </c>
      <c r="M366">
        <v>1</v>
      </c>
      <c r="N366">
        <v>0</v>
      </c>
      <c r="O366" t="s">
        <v>1740</v>
      </c>
      <c r="P366">
        <v>0</v>
      </c>
      <c r="Q366">
        <v>1</v>
      </c>
      <c r="R366">
        <v>0</v>
      </c>
      <c r="S366">
        <v>0</v>
      </c>
      <c r="T366">
        <v>0</v>
      </c>
    </row>
    <row r="367" spans="1:20" x14ac:dyDescent="0.25">
      <c r="A367">
        <v>1257</v>
      </c>
      <c r="B367">
        <v>3</v>
      </c>
      <c r="C367" t="s">
        <v>2378</v>
      </c>
      <c r="D367">
        <v>1</v>
      </c>
      <c r="E367">
        <v>35.898148148148145</v>
      </c>
      <c r="F367">
        <v>1</v>
      </c>
      <c r="G367">
        <v>9</v>
      </c>
      <c r="H367" t="s">
        <v>352</v>
      </c>
      <c r="I367">
        <v>69.55</v>
      </c>
      <c r="J367" t="s">
        <v>48</v>
      </c>
      <c r="K367" t="s">
        <v>14</v>
      </c>
      <c r="L367">
        <v>1</v>
      </c>
      <c r="M367">
        <v>0</v>
      </c>
      <c r="N367">
        <v>0</v>
      </c>
      <c r="O367" t="s">
        <v>1740</v>
      </c>
      <c r="P367">
        <v>0</v>
      </c>
      <c r="Q367">
        <v>1</v>
      </c>
      <c r="R367">
        <v>0</v>
      </c>
      <c r="S367">
        <v>0</v>
      </c>
      <c r="T367">
        <v>0</v>
      </c>
    </row>
    <row r="368" spans="1:20" x14ac:dyDescent="0.25">
      <c r="A368">
        <v>1258</v>
      </c>
      <c r="B368">
        <v>3</v>
      </c>
      <c r="C368" t="s">
        <v>2379</v>
      </c>
      <c r="D368">
        <v>0</v>
      </c>
      <c r="E368">
        <v>32.180156657963444</v>
      </c>
      <c r="F368">
        <v>1</v>
      </c>
      <c r="G368">
        <v>0</v>
      </c>
      <c r="H368" t="s">
        <v>1172</v>
      </c>
      <c r="I368">
        <v>14.458299999999999</v>
      </c>
      <c r="J368" t="s">
        <v>48</v>
      </c>
      <c r="K368" t="s">
        <v>18</v>
      </c>
      <c r="L368">
        <v>0</v>
      </c>
      <c r="M368">
        <v>1</v>
      </c>
      <c r="N368">
        <v>0</v>
      </c>
      <c r="O368" t="s">
        <v>1741</v>
      </c>
      <c r="P368">
        <v>0</v>
      </c>
      <c r="Q368">
        <v>0</v>
      </c>
      <c r="R368">
        <v>1</v>
      </c>
      <c r="S368">
        <v>0</v>
      </c>
      <c r="T368">
        <v>0</v>
      </c>
    </row>
    <row r="369" spans="1:20" x14ac:dyDescent="0.25">
      <c r="A369">
        <v>1259</v>
      </c>
      <c r="B369">
        <v>3</v>
      </c>
      <c r="C369" t="s">
        <v>2380</v>
      </c>
      <c r="D369">
        <v>1</v>
      </c>
      <c r="E369">
        <v>22</v>
      </c>
      <c r="F369">
        <v>0</v>
      </c>
      <c r="G369">
        <v>0</v>
      </c>
      <c r="H369" t="s">
        <v>125</v>
      </c>
      <c r="I369">
        <v>39.6875</v>
      </c>
      <c r="J369" t="s">
        <v>48</v>
      </c>
      <c r="K369" t="s">
        <v>14</v>
      </c>
      <c r="L369">
        <v>1</v>
      </c>
      <c r="M369">
        <v>0</v>
      </c>
      <c r="N369">
        <v>0</v>
      </c>
      <c r="O369" t="s">
        <v>1739</v>
      </c>
      <c r="P369">
        <v>1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>
        <v>1260</v>
      </c>
      <c r="B370">
        <v>1</v>
      </c>
      <c r="C370" t="s">
        <v>2381</v>
      </c>
      <c r="D370">
        <v>1</v>
      </c>
      <c r="E370">
        <v>45</v>
      </c>
      <c r="F370">
        <v>0</v>
      </c>
      <c r="G370">
        <v>1</v>
      </c>
      <c r="H370" t="s">
        <v>2382</v>
      </c>
      <c r="I370">
        <v>59.4</v>
      </c>
      <c r="J370" t="s">
        <v>48</v>
      </c>
      <c r="K370" t="s">
        <v>18</v>
      </c>
      <c r="L370">
        <v>0</v>
      </c>
      <c r="M370">
        <v>1</v>
      </c>
      <c r="N370">
        <v>0</v>
      </c>
      <c r="O370" t="s">
        <v>1740</v>
      </c>
      <c r="P370">
        <v>0</v>
      </c>
      <c r="Q370">
        <v>1</v>
      </c>
      <c r="R370">
        <v>0</v>
      </c>
      <c r="S370">
        <v>0</v>
      </c>
      <c r="T370">
        <v>0</v>
      </c>
    </row>
    <row r="371" spans="1:20" x14ac:dyDescent="0.25">
      <c r="A371">
        <v>1261</v>
      </c>
      <c r="B371">
        <v>2</v>
      </c>
      <c r="C371" t="s">
        <v>2383</v>
      </c>
      <c r="D371">
        <v>0</v>
      </c>
      <c r="E371">
        <v>29</v>
      </c>
      <c r="F371">
        <v>0</v>
      </c>
      <c r="G371">
        <v>0</v>
      </c>
      <c r="H371" t="s">
        <v>2384</v>
      </c>
      <c r="I371">
        <v>13.8583</v>
      </c>
      <c r="J371" t="s">
        <v>48</v>
      </c>
      <c r="K371" t="s">
        <v>18</v>
      </c>
      <c r="L371">
        <v>0</v>
      </c>
      <c r="M371">
        <v>1</v>
      </c>
      <c r="N371">
        <v>0</v>
      </c>
      <c r="O371" t="s">
        <v>1741</v>
      </c>
      <c r="P371">
        <v>0</v>
      </c>
      <c r="Q371">
        <v>0</v>
      </c>
      <c r="R371">
        <v>1</v>
      </c>
      <c r="S371">
        <v>0</v>
      </c>
      <c r="T371">
        <v>0</v>
      </c>
    </row>
    <row r="372" spans="1:20" x14ac:dyDescent="0.25">
      <c r="A372">
        <v>1262</v>
      </c>
      <c r="B372">
        <v>2</v>
      </c>
      <c r="C372" t="s">
        <v>2385</v>
      </c>
      <c r="D372">
        <v>0</v>
      </c>
      <c r="E372">
        <v>21</v>
      </c>
      <c r="F372">
        <v>1</v>
      </c>
      <c r="G372">
        <v>0</v>
      </c>
      <c r="H372" t="s">
        <v>2386</v>
      </c>
      <c r="I372">
        <v>11.5</v>
      </c>
      <c r="J372" t="s">
        <v>48</v>
      </c>
      <c r="K372" t="s">
        <v>14</v>
      </c>
      <c r="L372">
        <v>1</v>
      </c>
      <c r="M372">
        <v>0</v>
      </c>
      <c r="N372">
        <v>0</v>
      </c>
      <c r="O372" t="s">
        <v>1741</v>
      </c>
      <c r="P372">
        <v>0</v>
      </c>
      <c r="Q372">
        <v>0</v>
      </c>
      <c r="R372">
        <v>1</v>
      </c>
      <c r="S372">
        <v>0</v>
      </c>
      <c r="T372">
        <v>0</v>
      </c>
    </row>
    <row r="373" spans="1:20" x14ac:dyDescent="0.25">
      <c r="A373">
        <v>1263</v>
      </c>
      <c r="B373">
        <v>1</v>
      </c>
      <c r="C373" t="s">
        <v>2387</v>
      </c>
      <c r="D373">
        <v>1</v>
      </c>
      <c r="E373">
        <v>31</v>
      </c>
      <c r="F373">
        <v>0</v>
      </c>
      <c r="G373">
        <v>0</v>
      </c>
      <c r="H373" t="s">
        <v>680</v>
      </c>
      <c r="I373">
        <v>134.5</v>
      </c>
      <c r="J373" t="s">
        <v>2388</v>
      </c>
      <c r="K373" t="s">
        <v>18</v>
      </c>
      <c r="L373">
        <v>0</v>
      </c>
      <c r="M373">
        <v>1</v>
      </c>
      <c r="N373">
        <v>0</v>
      </c>
      <c r="O373" t="s">
        <v>1739</v>
      </c>
      <c r="P373">
        <v>1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>
        <v>1264</v>
      </c>
      <c r="B374">
        <v>1</v>
      </c>
      <c r="C374" t="s">
        <v>2389</v>
      </c>
      <c r="D374">
        <v>0</v>
      </c>
      <c r="E374">
        <v>49</v>
      </c>
      <c r="F374">
        <v>0</v>
      </c>
      <c r="G374">
        <v>0</v>
      </c>
      <c r="H374" t="s">
        <v>1603</v>
      </c>
      <c r="I374">
        <v>0</v>
      </c>
      <c r="J374" t="s">
        <v>2390</v>
      </c>
      <c r="K374" t="s">
        <v>14</v>
      </c>
      <c r="L374">
        <v>1</v>
      </c>
      <c r="M374">
        <v>0</v>
      </c>
      <c r="N374">
        <v>0</v>
      </c>
      <c r="O374" t="s">
        <v>1741</v>
      </c>
      <c r="P374">
        <v>0</v>
      </c>
      <c r="Q374">
        <v>0</v>
      </c>
      <c r="R374">
        <v>1</v>
      </c>
      <c r="S374">
        <v>0</v>
      </c>
      <c r="T374">
        <v>0</v>
      </c>
    </row>
    <row r="375" spans="1:20" x14ac:dyDescent="0.25">
      <c r="A375">
        <v>1265</v>
      </c>
      <c r="B375">
        <v>2</v>
      </c>
      <c r="C375" t="s">
        <v>2391</v>
      </c>
      <c r="D375">
        <v>0</v>
      </c>
      <c r="E375">
        <v>44</v>
      </c>
      <c r="F375">
        <v>0</v>
      </c>
      <c r="G375">
        <v>0</v>
      </c>
      <c r="H375" t="s">
        <v>2392</v>
      </c>
      <c r="I375">
        <v>13</v>
      </c>
      <c r="J375" t="s">
        <v>48</v>
      </c>
      <c r="K375" t="s">
        <v>14</v>
      </c>
      <c r="L375">
        <v>1</v>
      </c>
      <c r="M375">
        <v>0</v>
      </c>
      <c r="N375">
        <v>0</v>
      </c>
      <c r="O375" t="s">
        <v>1741</v>
      </c>
      <c r="P375">
        <v>0</v>
      </c>
      <c r="Q375">
        <v>0</v>
      </c>
      <c r="R375">
        <v>1</v>
      </c>
      <c r="S375">
        <v>0</v>
      </c>
      <c r="T375">
        <v>0</v>
      </c>
    </row>
    <row r="376" spans="1:20" x14ac:dyDescent="0.25">
      <c r="A376">
        <v>1266</v>
      </c>
      <c r="B376">
        <v>1</v>
      </c>
      <c r="C376" t="s">
        <v>2393</v>
      </c>
      <c r="D376">
        <v>1</v>
      </c>
      <c r="E376">
        <v>54</v>
      </c>
      <c r="F376">
        <v>1</v>
      </c>
      <c r="G376">
        <v>1</v>
      </c>
      <c r="H376" t="s">
        <v>914</v>
      </c>
      <c r="I376">
        <v>81.8583</v>
      </c>
      <c r="J376" t="s">
        <v>915</v>
      </c>
      <c r="K376" t="s">
        <v>14</v>
      </c>
      <c r="L376">
        <v>1</v>
      </c>
      <c r="M376">
        <v>0</v>
      </c>
      <c r="N376">
        <v>0</v>
      </c>
      <c r="O376" t="s">
        <v>1740</v>
      </c>
      <c r="P376">
        <v>0</v>
      </c>
      <c r="Q376">
        <v>1</v>
      </c>
      <c r="R376">
        <v>0</v>
      </c>
      <c r="S376">
        <v>0</v>
      </c>
      <c r="T376">
        <v>0</v>
      </c>
    </row>
    <row r="377" spans="1:20" x14ac:dyDescent="0.25">
      <c r="A377">
        <v>1267</v>
      </c>
      <c r="B377">
        <v>1</v>
      </c>
      <c r="C377" t="s">
        <v>2394</v>
      </c>
      <c r="D377">
        <v>1</v>
      </c>
      <c r="E377">
        <v>45</v>
      </c>
      <c r="F377">
        <v>0</v>
      </c>
      <c r="G377">
        <v>0</v>
      </c>
      <c r="H377" t="s">
        <v>663</v>
      </c>
      <c r="I377">
        <v>262.375</v>
      </c>
      <c r="J377" t="s">
        <v>48</v>
      </c>
      <c r="K377" t="s">
        <v>18</v>
      </c>
      <c r="L377">
        <v>0</v>
      </c>
      <c r="M377">
        <v>1</v>
      </c>
      <c r="N377">
        <v>0</v>
      </c>
      <c r="O377" t="s">
        <v>1739</v>
      </c>
      <c r="P377">
        <v>1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>
        <v>1268</v>
      </c>
      <c r="B378">
        <v>3</v>
      </c>
      <c r="C378" t="s">
        <v>2395</v>
      </c>
      <c r="D378">
        <v>1</v>
      </c>
      <c r="E378">
        <v>22</v>
      </c>
      <c r="F378">
        <v>2</v>
      </c>
      <c r="G378">
        <v>0</v>
      </c>
      <c r="H378" t="s">
        <v>2396</v>
      </c>
      <c r="I378">
        <v>8.6624999999999996</v>
      </c>
      <c r="J378" t="s">
        <v>48</v>
      </c>
      <c r="K378" t="s">
        <v>14</v>
      </c>
      <c r="L378">
        <v>1</v>
      </c>
      <c r="M378">
        <v>0</v>
      </c>
      <c r="N378">
        <v>0</v>
      </c>
      <c r="O378" t="s">
        <v>1739</v>
      </c>
      <c r="P378">
        <v>1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>
        <v>1269</v>
      </c>
      <c r="B379">
        <v>2</v>
      </c>
      <c r="C379" t="s">
        <v>2397</v>
      </c>
      <c r="D379">
        <v>0</v>
      </c>
      <c r="E379">
        <v>21</v>
      </c>
      <c r="F379">
        <v>0</v>
      </c>
      <c r="G379">
        <v>0</v>
      </c>
      <c r="H379" t="s">
        <v>2398</v>
      </c>
      <c r="I379">
        <v>11.5</v>
      </c>
      <c r="J379" t="s">
        <v>48</v>
      </c>
      <c r="K379" t="s">
        <v>14</v>
      </c>
      <c r="L379">
        <v>1</v>
      </c>
      <c r="M379">
        <v>0</v>
      </c>
      <c r="N379">
        <v>0</v>
      </c>
      <c r="O379" t="s">
        <v>1741</v>
      </c>
      <c r="P379">
        <v>0</v>
      </c>
      <c r="Q379">
        <v>0</v>
      </c>
      <c r="R379">
        <v>1</v>
      </c>
      <c r="S379">
        <v>0</v>
      </c>
      <c r="T379">
        <v>0</v>
      </c>
    </row>
    <row r="380" spans="1:20" x14ac:dyDescent="0.25">
      <c r="A380">
        <v>1270</v>
      </c>
      <c r="B380">
        <v>1</v>
      </c>
      <c r="C380" t="s">
        <v>2399</v>
      </c>
      <c r="D380">
        <v>0</v>
      </c>
      <c r="E380">
        <v>55</v>
      </c>
      <c r="F380">
        <v>0</v>
      </c>
      <c r="G380">
        <v>0</v>
      </c>
      <c r="H380" t="s">
        <v>2400</v>
      </c>
      <c r="I380">
        <v>50</v>
      </c>
      <c r="J380" t="s">
        <v>2401</v>
      </c>
      <c r="K380" t="s">
        <v>14</v>
      </c>
      <c r="L380">
        <v>1</v>
      </c>
      <c r="M380">
        <v>0</v>
      </c>
      <c r="N380">
        <v>0</v>
      </c>
      <c r="O380" t="s">
        <v>1741</v>
      </c>
      <c r="P380">
        <v>0</v>
      </c>
      <c r="Q380">
        <v>0</v>
      </c>
      <c r="R380">
        <v>1</v>
      </c>
      <c r="S380">
        <v>0</v>
      </c>
      <c r="T380">
        <v>0</v>
      </c>
    </row>
    <row r="381" spans="1:20" x14ac:dyDescent="0.25">
      <c r="A381">
        <v>1271</v>
      </c>
      <c r="B381">
        <v>3</v>
      </c>
      <c r="C381" t="s">
        <v>2402</v>
      </c>
      <c r="D381">
        <v>0</v>
      </c>
      <c r="E381">
        <v>5</v>
      </c>
      <c r="F381">
        <v>4</v>
      </c>
      <c r="G381">
        <v>2</v>
      </c>
      <c r="H381" t="s">
        <v>73</v>
      </c>
      <c r="I381">
        <v>31.387499999999999</v>
      </c>
      <c r="J381" t="s">
        <v>48</v>
      </c>
      <c r="K381" t="s">
        <v>14</v>
      </c>
      <c r="L381">
        <v>1</v>
      </c>
      <c r="M381">
        <v>0</v>
      </c>
      <c r="N381">
        <v>0</v>
      </c>
      <c r="O381" t="s">
        <v>1742</v>
      </c>
      <c r="P381">
        <v>0</v>
      </c>
      <c r="Q381">
        <v>0</v>
      </c>
      <c r="R381">
        <v>0</v>
      </c>
      <c r="S381">
        <v>1</v>
      </c>
      <c r="T381">
        <v>0</v>
      </c>
    </row>
    <row r="382" spans="1:20" x14ac:dyDescent="0.25">
      <c r="A382">
        <v>1272</v>
      </c>
      <c r="B382">
        <v>3</v>
      </c>
      <c r="C382" t="s">
        <v>2403</v>
      </c>
      <c r="D382">
        <v>0</v>
      </c>
      <c r="E382">
        <v>32.180156657963444</v>
      </c>
      <c r="F382">
        <v>0</v>
      </c>
      <c r="G382">
        <v>0</v>
      </c>
      <c r="H382" t="s">
        <v>2404</v>
      </c>
      <c r="I382">
        <v>7.75</v>
      </c>
      <c r="J382" t="s">
        <v>48</v>
      </c>
      <c r="K382" t="s">
        <v>28</v>
      </c>
      <c r="L382">
        <v>0</v>
      </c>
      <c r="M382">
        <v>0</v>
      </c>
      <c r="N382">
        <v>1</v>
      </c>
      <c r="O382" t="s">
        <v>1741</v>
      </c>
      <c r="P382">
        <v>0</v>
      </c>
      <c r="Q382">
        <v>0</v>
      </c>
      <c r="R382">
        <v>1</v>
      </c>
      <c r="S382">
        <v>0</v>
      </c>
      <c r="T382">
        <v>0</v>
      </c>
    </row>
    <row r="383" spans="1:20" x14ac:dyDescent="0.25">
      <c r="A383">
        <v>1273</v>
      </c>
      <c r="B383">
        <v>3</v>
      </c>
      <c r="C383" t="s">
        <v>2405</v>
      </c>
      <c r="D383">
        <v>0</v>
      </c>
      <c r="E383">
        <v>26</v>
      </c>
      <c r="F383">
        <v>0</v>
      </c>
      <c r="G383">
        <v>0</v>
      </c>
      <c r="H383" t="s">
        <v>2406</v>
      </c>
      <c r="I383">
        <v>7.8792</v>
      </c>
      <c r="J383" t="s">
        <v>48</v>
      </c>
      <c r="K383" t="s">
        <v>28</v>
      </c>
      <c r="L383">
        <v>0</v>
      </c>
      <c r="M383">
        <v>0</v>
      </c>
      <c r="N383">
        <v>1</v>
      </c>
      <c r="O383" t="s">
        <v>1741</v>
      </c>
      <c r="P383">
        <v>0</v>
      </c>
      <c r="Q383">
        <v>0</v>
      </c>
      <c r="R383">
        <v>1</v>
      </c>
      <c r="S383">
        <v>0</v>
      </c>
      <c r="T383">
        <v>0</v>
      </c>
    </row>
    <row r="384" spans="1:20" x14ac:dyDescent="0.25">
      <c r="A384">
        <v>1274</v>
      </c>
      <c r="B384">
        <v>3</v>
      </c>
      <c r="C384" t="s">
        <v>2407</v>
      </c>
      <c r="D384">
        <v>1</v>
      </c>
      <c r="E384">
        <v>35.898148148148145</v>
      </c>
      <c r="F384">
        <v>0</v>
      </c>
      <c r="G384">
        <v>0</v>
      </c>
      <c r="H384" t="s">
        <v>1097</v>
      </c>
      <c r="I384">
        <v>14.5</v>
      </c>
      <c r="J384" t="s">
        <v>48</v>
      </c>
      <c r="K384" t="s">
        <v>14</v>
      </c>
      <c r="L384">
        <v>1</v>
      </c>
      <c r="M384">
        <v>0</v>
      </c>
      <c r="N384">
        <v>0</v>
      </c>
      <c r="O384" t="s">
        <v>1740</v>
      </c>
      <c r="P384">
        <v>0</v>
      </c>
      <c r="Q384">
        <v>1</v>
      </c>
      <c r="R384">
        <v>0</v>
      </c>
      <c r="S384">
        <v>0</v>
      </c>
      <c r="T384">
        <v>0</v>
      </c>
    </row>
    <row r="385" spans="1:20" x14ac:dyDescent="0.25">
      <c r="A385">
        <v>1275</v>
      </c>
      <c r="B385">
        <v>3</v>
      </c>
      <c r="C385" t="s">
        <v>2408</v>
      </c>
      <c r="D385">
        <v>1</v>
      </c>
      <c r="E385">
        <v>19</v>
      </c>
      <c r="F385">
        <v>1</v>
      </c>
      <c r="G385">
        <v>0</v>
      </c>
      <c r="H385" t="s">
        <v>1473</v>
      </c>
      <c r="I385">
        <v>16.100000000000001</v>
      </c>
      <c r="J385" t="s">
        <v>48</v>
      </c>
      <c r="K385" t="s">
        <v>14</v>
      </c>
      <c r="L385">
        <v>1</v>
      </c>
      <c r="M385">
        <v>0</v>
      </c>
      <c r="N385">
        <v>0</v>
      </c>
      <c r="O385" t="s">
        <v>1740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 x14ac:dyDescent="0.25">
      <c r="A386">
        <v>1276</v>
      </c>
      <c r="B386">
        <v>2</v>
      </c>
      <c r="C386" t="s">
        <v>2409</v>
      </c>
      <c r="D386">
        <v>0</v>
      </c>
      <c r="E386">
        <v>32.180156657963444</v>
      </c>
      <c r="F386">
        <v>0</v>
      </c>
      <c r="G386">
        <v>0</v>
      </c>
      <c r="H386" t="s">
        <v>2410</v>
      </c>
      <c r="I386">
        <v>12.875</v>
      </c>
      <c r="J386" t="s">
        <v>48</v>
      </c>
      <c r="K386" t="s">
        <v>14</v>
      </c>
      <c r="L386">
        <v>1</v>
      </c>
      <c r="M386">
        <v>0</v>
      </c>
      <c r="N386">
        <v>0</v>
      </c>
      <c r="O386" t="s">
        <v>1741</v>
      </c>
      <c r="P386">
        <v>0</v>
      </c>
      <c r="Q386">
        <v>0</v>
      </c>
      <c r="R386">
        <v>1</v>
      </c>
      <c r="S386">
        <v>0</v>
      </c>
      <c r="T386">
        <v>0</v>
      </c>
    </row>
    <row r="387" spans="1:20" x14ac:dyDescent="0.25">
      <c r="A387">
        <v>1277</v>
      </c>
      <c r="B387">
        <v>2</v>
      </c>
      <c r="C387" t="s">
        <v>2411</v>
      </c>
      <c r="D387">
        <v>1</v>
      </c>
      <c r="E387">
        <v>24</v>
      </c>
      <c r="F387">
        <v>1</v>
      </c>
      <c r="G387">
        <v>2</v>
      </c>
      <c r="H387" t="s">
        <v>1239</v>
      </c>
      <c r="I387">
        <v>65</v>
      </c>
      <c r="J387" t="s">
        <v>48</v>
      </c>
      <c r="K387" t="s">
        <v>14</v>
      </c>
      <c r="L387">
        <v>1</v>
      </c>
      <c r="M387">
        <v>0</v>
      </c>
      <c r="N387">
        <v>0</v>
      </c>
      <c r="O387" t="s">
        <v>1739</v>
      </c>
      <c r="P387">
        <v>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>
        <v>1278</v>
      </c>
      <c r="B388">
        <v>3</v>
      </c>
      <c r="C388" t="s">
        <v>2412</v>
      </c>
      <c r="D388">
        <v>0</v>
      </c>
      <c r="E388">
        <v>24</v>
      </c>
      <c r="F388">
        <v>0</v>
      </c>
      <c r="G388">
        <v>0</v>
      </c>
      <c r="H388" t="s">
        <v>2413</v>
      </c>
      <c r="I388">
        <v>7.7750000000000004</v>
      </c>
      <c r="J388" t="s">
        <v>48</v>
      </c>
      <c r="K388" t="s">
        <v>14</v>
      </c>
      <c r="L388">
        <v>1</v>
      </c>
      <c r="M388">
        <v>0</v>
      </c>
      <c r="N388">
        <v>0</v>
      </c>
      <c r="O388" t="s">
        <v>1741</v>
      </c>
      <c r="P388">
        <v>0</v>
      </c>
      <c r="Q388">
        <v>0</v>
      </c>
      <c r="R388">
        <v>1</v>
      </c>
      <c r="S388">
        <v>0</v>
      </c>
      <c r="T388">
        <v>0</v>
      </c>
    </row>
    <row r="389" spans="1:20" x14ac:dyDescent="0.25">
      <c r="A389">
        <v>1279</v>
      </c>
      <c r="B389">
        <v>2</v>
      </c>
      <c r="C389" t="s">
        <v>2414</v>
      </c>
      <c r="D389">
        <v>0</v>
      </c>
      <c r="E389">
        <v>57</v>
      </c>
      <c r="F389">
        <v>0</v>
      </c>
      <c r="G389">
        <v>0</v>
      </c>
      <c r="H389" t="s">
        <v>2415</v>
      </c>
      <c r="I389">
        <v>13</v>
      </c>
      <c r="J389" t="s">
        <v>48</v>
      </c>
      <c r="K389" t="s">
        <v>14</v>
      </c>
      <c r="L389">
        <v>1</v>
      </c>
      <c r="M389">
        <v>0</v>
      </c>
      <c r="N389">
        <v>0</v>
      </c>
      <c r="O389" t="s">
        <v>1741</v>
      </c>
      <c r="P389">
        <v>0</v>
      </c>
      <c r="Q389">
        <v>0</v>
      </c>
      <c r="R389">
        <v>1</v>
      </c>
      <c r="S389">
        <v>0</v>
      </c>
      <c r="T389">
        <v>0</v>
      </c>
    </row>
    <row r="390" spans="1:20" x14ac:dyDescent="0.25">
      <c r="A390">
        <v>1280</v>
      </c>
      <c r="B390">
        <v>3</v>
      </c>
      <c r="C390" t="s">
        <v>2416</v>
      </c>
      <c r="D390">
        <v>0</v>
      </c>
      <c r="E390">
        <v>21</v>
      </c>
      <c r="F390">
        <v>0</v>
      </c>
      <c r="G390">
        <v>0</v>
      </c>
      <c r="H390" t="s">
        <v>2417</v>
      </c>
      <c r="I390">
        <v>7.75</v>
      </c>
      <c r="J390" t="s">
        <v>48</v>
      </c>
      <c r="K390" t="s">
        <v>28</v>
      </c>
      <c r="L390">
        <v>0</v>
      </c>
      <c r="M390">
        <v>0</v>
      </c>
      <c r="N390">
        <v>1</v>
      </c>
      <c r="O390" t="s">
        <v>1741</v>
      </c>
      <c r="P390">
        <v>0</v>
      </c>
      <c r="Q390">
        <v>0</v>
      </c>
      <c r="R390">
        <v>1</v>
      </c>
      <c r="S390">
        <v>0</v>
      </c>
      <c r="T390">
        <v>0</v>
      </c>
    </row>
    <row r="391" spans="1:20" x14ac:dyDescent="0.25">
      <c r="A391">
        <v>1281</v>
      </c>
      <c r="B391">
        <v>3</v>
      </c>
      <c r="C391" t="s">
        <v>2418</v>
      </c>
      <c r="D391">
        <v>0</v>
      </c>
      <c r="E391">
        <v>6</v>
      </c>
      <c r="F391">
        <v>3</v>
      </c>
      <c r="G391">
        <v>1</v>
      </c>
      <c r="H391" t="s">
        <v>33</v>
      </c>
      <c r="I391">
        <v>21.074999999999999</v>
      </c>
      <c r="J391" t="s">
        <v>48</v>
      </c>
      <c r="K391" t="s">
        <v>14</v>
      </c>
      <c r="L391">
        <v>1</v>
      </c>
      <c r="M391">
        <v>0</v>
      </c>
      <c r="N391">
        <v>0</v>
      </c>
      <c r="O391" t="s">
        <v>1742</v>
      </c>
      <c r="P391">
        <v>0</v>
      </c>
      <c r="Q391">
        <v>0</v>
      </c>
      <c r="R391">
        <v>0</v>
      </c>
      <c r="S391">
        <v>1</v>
      </c>
      <c r="T391">
        <v>0</v>
      </c>
    </row>
    <row r="392" spans="1:20" x14ac:dyDescent="0.25">
      <c r="A392">
        <v>1282</v>
      </c>
      <c r="B392">
        <v>1</v>
      </c>
      <c r="C392" t="s">
        <v>2419</v>
      </c>
      <c r="D392">
        <v>0</v>
      </c>
      <c r="E392">
        <v>23</v>
      </c>
      <c r="F392">
        <v>0</v>
      </c>
      <c r="G392">
        <v>0</v>
      </c>
      <c r="H392" t="s">
        <v>1062</v>
      </c>
      <c r="I392">
        <v>93.5</v>
      </c>
      <c r="J392" t="s">
        <v>2420</v>
      </c>
      <c r="K392" t="s">
        <v>14</v>
      </c>
      <c r="L392">
        <v>1</v>
      </c>
      <c r="M392">
        <v>0</v>
      </c>
      <c r="N392">
        <v>0</v>
      </c>
      <c r="O392" t="s">
        <v>1741</v>
      </c>
      <c r="P392">
        <v>0</v>
      </c>
      <c r="Q392">
        <v>0</v>
      </c>
      <c r="R392">
        <v>1</v>
      </c>
      <c r="S392">
        <v>0</v>
      </c>
      <c r="T392">
        <v>0</v>
      </c>
    </row>
    <row r="393" spans="1:20" x14ac:dyDescent="0.25">
      <c r="A393">
        <v>1283</v>
      </c>
      <c r="B393">
        <v>1</v>
      </c>
      <c r="C393" t="s">
        <v>2421</v>
      </c>
      <c r="D393">
        <v>1</v>
      </c>
      <c r="E393">
        <v>51</v>
      </c>
      <c r="F393">
        <v>0</v>
      </c>
      <c r="G393">
        <v>1</v>
      </c>
      <c r="H393" t="s">
        <v>1666</v>
      </c>
      <c r="I393">
        <v>39.4</v>
      </c>
      <c r="J393" t="s">
        <v>1667</v>
      </c>
      <c r="K393" t="s">
        <v>14</v>
      </c>
      <c r="L393">
        <v>1</v>
      </c>
      <c r="M393">
        <v>0</v>
      </c>
      <c r="N393">
        <v>0</v>
      </c>
      <c r="O393" t="s">
        <v>1740</v>
      </c>
      <c r="P393">
        <v>0</v>
      </c>
      <c r="Q393">
        <v>1</v>
      </c>
      <c r="R393">
        <v>0</v>
      </c>
      <c r="S393">
        <v>0</v>
      </c>
      <c r="T393">
        <v>0</v>
      </c>
    </row>
    <row r="394" spans="1:20" x14ac:dyDescent="0.25">
      <c r="A394">
        <v>1284</v>
      </c>
      <c r="B394">
        <v>3</v>
      </c>
      <c r="C394" t="s">
        <v>2422</v>
      </c>
      <c r="D394">
        <v>0</v>
      </c>
      <c r="E394">
        <v>13</v>
      </c>
      <c r="F394">
        <v>0</v>
      </c>
      <c r="G394">
        <v>2</v>
      </c>
      <c r="H394" t="s">
        <v>594</v>
      </c>
      <c r="I394">
        <v>20.25</v>
      </c>
      <c r="J394" t="s">
        <v>48</v>
      </c>
      <c r="K394" t="s">
        <v>14</v>
      </c>
      <c r="L394">
        <v>1</v>
      </c>
      <c r="M394">
        <v>0</v>
      </c>
      <c r="N394">
        <v>0</v>
      </c>
      <c r="O394" t="s">
        <v>1742</v>
      </c>
      <c r="P394">
        <v>0</v>
      </c>
      <c r="Q394">
        <v>0</v>
      </c>
      <c r="R394">
        <v>0</v>
      </c>
      <c r="S394">
        <v>1</v>
      </c>
      <c r="T394">
        <v>0</v>
      </c>
    </row>
    <row r="395" spans="1:20" x14ac:dyDescent="0.25">
      <c r="A395">
        <v>1285</v>
      </c>
      <c r="B395">
        <v>2</v>
      </c>
      <c r="C395" t="s">
        <v>2423</v>
      </c>
      <c r="D395">
        <v>0</v>
      </c>
      <c r="E395">
        <v>47</v>
      </c>
      <c r="F395">
        <v>0</v>
      </c>
      <c r="G395">
        <v>0</v>
      </c>
      <c r="H395" t="s">
        <v>2424</v>
      </c>
      <c r="I395">
        <v>10.5</v>
      </c>
      <c r="J395" t="s">
        <v>48</v>
      </c>
      <c r="K395" t="s">
        <v>14</v>
      </c>
      <c r="L395">
        <v>1</v>
      </c>
      <c r="M395">
        <v>0</v>
      </c>
      <c r="N395">
        <v>0</v>
      </c>
      <c r="O395" t="s">
        <v>1741</v>
      </c>
      <c r="P395">
        <v>0</v>
      </c>
      <c r="Q395">
        <v>0</v>
      </c>
      <c r="R395">
        <v>1</v>
      </c>
      <c r="S395">
        <v>0</v>
      </c>
      <c r="T395">
        <v>0</v>
      </c>
    </row>
    <row r="396" spans="1:20" x14ac:dyDescent="0.25">
      <c r="A396">
        <v>1286</v>
      </c>
      <c r="B396">
        <v>3</v>
      </c>
      <c r="C396" t="s">
        <v>2425</v>
      </c>
      <c r="D396">
        <v>0</v>
      </c>
      <c r="E396">
        <v>29</v>
      </c>
      <c r="F396">
        <v>3</v>
      </c>
      <c r="G396">
        <v>1</v>
      </c>
      <c r="H396" t="s">
        <v>400</v>
      </c>
      <c r="I396">
        <v>22.024999999999999</v>
      </c>
      <c r="J396" t="s">
        <v>48</v>
      </c>
      <c r="K396" t="s">
        <v>14</v>
      </c>
      <c r="L396">
        <v>1</v>
      </c>
      <c r="M396">
        <v>0</v>
      </c>
      <c r="N396">
        <v>0</v>
      </c>
      <c r="O396" t="s">
        <v>1741</v>
      </c>
      <c r="P396">
        <v>0</v>
      </c>
      <c r="Q396">
        <v>0</v>
      </c>
      <c r="R396">
        <v>1</v>
      </c>
      <c r="S396">
        <v>0</v>
      </c>
      <c r="T396">
        <v>0</v>
      </c>
    </row>
    <row r="397" spans="1:20" x14ac:dyDescent="0.25">
      <c r="A397">
        <v>1287</v>
      </c>
      <c r="B397">
        <v>1</v>
      </c>
      <c r="C397" t="s">
        <v>2426</v>
      </c>
      <c r="D397">
        <v>1</v>
      </c>
      <c r="E397">
        <v>18</v>
      </c>
      <c r="F397">
        <v>1</v>
      </c>
      <c r="G397">
        <v>0</v>
      </c>
      <c r="H397" t="s">
        <v>1846</v>
      </c>
      <c r="I397">
        <v>60</v>
      </c>
      <c r="J397" t="s">
        <v>1847</v>
      </c>
      <c r="K397" t="s">
        <v>14</v>
      </c>
      <c r="L397">
        <v>1</v>
      </c>
      <c r="M397">
        <v>0</v>
      </c>
      <c r="N397">
        <v>0</v>
      </c>
      <c r="O397" t="s">
        <v>1740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25">
      <c r="A398">
        <v>1288</v>
      </c>
      <c r="B398">
        <v>3</v>
      </c>
      <c r="C398" t="s">
        <v>2427</v>
      </c>
      <c r="D398">
        <v>0</v>
      </c>
      <c r="E398">
        <v>24</v>
      </c>
      <c r="F398">
        <v>0</v>
      </c>
      <c r="G398">
        <v>0</v>
      </c>
      <c r="H398" t="s">
        <v>2428</v>
      </c>
      <c r="I398">
        <v>7.25</v>
      </c>
      <c r="J398" t="s">
        <v>48</v>
      </c>
      <c r="K398" t="s">
        <v>28</v>
      </c>
      <c r="L398">
        <v>0</v>
      </c>
      <c r="M398">
        <v>0</v>
      </c>
      <c r="N398">
        <v>1</v>
      </c>
      <c r="O398" t="s">
        <v>1741</v>
      </c>
      <c r="P398">
        <v>0</v>
      </c>
      <c r="Q398">
        <v>0</v>
      </c>
      <c r="R398">
        <v>1</v>
      </c>
      <c r="S398">
        <v>0</v>
      </c>
      <c r="T398">
        <v>0</v>
      </c>
    </row>
    <row r="399" spans="1:20" x14ac:dyDescent="0.25">
      <c r="A399">
        <v>1289</v>
      </c>
      <c r="B399">
        <v>1</v>
      </c>
      <c r="C399" t="s">
        <v>2429</v>
      </c>
      <c r="D399">
        <v>1</v>
      </c>
      <c r="E399">
        <v>48</v>
      </c>
      <c r="F399">
        <v>1</v>
      </c>
      <c r="G399">
        <v>1</v>
      </c>
      <c r="H399" t="s">
        <v>1190</v>
      </c>
      <c r="I399">
        <v>79.2</v>
      </c>
      <c r="J399" t="s">
        <v>1191</v>
      </c>
      <c r="K399" t="s">
        <v>18</v>
      </c>
      <c r="L399">
        <v>0</v>
      </c>
      <c r="M399">
        <v>1</v>
      </c>
      <c r="N399">
        <v>0</v>
      </c>
      <c r="O399" t="s">
        <v>1740</v>
      </c>
      <c r="P399">
        <v>0</v>
      </c>
      <c r="Q399">
        <v>1</v>
      </c>
      <c r="R399">
        <v>0</v>
      </c>
      <c r="S399">
        <v>0</v>
      </c>
      <c r="T399">
        <v>0</v>
      </c>
    </row>
    <row r="400" spans="1:20" x14ac:dyDescent="0.25">
      <c r="A400">
        <v>1290</v>
      </c>
      <c r="B400">
        <v>3</v>
      </c>
      <c r="C400" t="s">
        <v>2430</v>
      </c>
      <c r="D400">
        <v>0</v>
      </c>
      <c r="E400">
        <v>22</v>
      </c>
      <c r="F400">
        <v>0</v>
      </c>
      <c r="G400">
        <v>0</v>
      </c>
      <c r="H400" t="s">
        <v>2431</v>
      </c>
      <c r="I400">
        <v>7.7750000000000004</v>
      </c>
      <c r="J400" t="s">
        <v>48</v>
      </c>
      <c r="K400" t="s">
        <v>14</v>
      </c>
      <c r="L400">
        <v>1</v>
      </c>
      <c r="M400">
        <v>0</v>
      </c>
      <c r="N400">
        <v>0</v>
      </c>
      <c r="O400" t="s">
        <v>1741</v>
      </c>
      <c r="P400">
        <v>0</v>
      </c>
      <c r="Q400">
        <v>0</v>
      </c>
      <c r="R400">
        <v>1</v>
      </c>
      <c r="S400">
        <v>0</v>
      </c>
      <c r="T400">
        <v>0</v>
      </c>
    </row>
    <row r="401" spans="1:20" x14ac:dyDescent="0.25">
      <c r="A401">
        <v>1291</v>
      </c>
      <c r="B401">
        <v>3</v>
      </c>
      <c r="C401" t="s">
        <v>2432</v>
      </c>
      <c r="D401">
        <v>0</v>
      </c>
      <c r="E401">
        <v>31</v>
      </c>
      <c r="F401">
        <v>0</v>
      </c>
      <c r="G401">
        <v>0</v>
      </c>
      <c r="H401" t="s">
        <v>2433</v>
      </c>
      <c r="I401">
        <v>7.7332999999999998</v>
      </c>
      <c r="J401" t="s">
        <v>48</v>
      </c>
      <c r="K401" t="s">
        <v>28</v>
      </c>
      <c r="L401">
        <v>0</v>
      </c>
      <c r="M401">
        <v>0</v>
      </c>
      <c r="N401">
        <v>1</v>
      </c>
      <c r="O401" t="s">
        <v>1741</v>
      </c>
      <c r="P401">
        <v>0</v>
      </c>
      <c r="Q401">
        <v>0</v>
      </c>
      <c r="R401">
        <v>1</v>
      </c>
      <c r="S401">
        <v>0</v>
      </c>
      <c r="T401">
        <v>0</v>
      </c>
    </row>
    <row r="402" spans="1:20" x14ac:dyDescent="0.25">
      <c r="A402">
        <v>1292</v>
      </c>
      <c r="B402">
        <v>1</v>
      </c>
      <c r="C402" t="s">
        <v>2434</v>
      </c>
      <c r="D402">
        <v>1</v>
      </c>
      <c r="E402">
        <v>30</v>
      </c>
      <c r="F402">
        <v>0</v>
      </c>
      <c r="G402">
        <v>0</v>
      </c>
      <c r="H402" t="s">
        <v>677</v>
      </c>
      <c r="I402">
        <v>164.86670000000001</v>
      </c>
      <c r="J402" t="s">
        <v>678</v>
      </c>
      <c r="K402" t="s">
        <v>14</v>
      </c>
      <c r="L402">
        <v>1</v>
      </c>
      <c r="M402">
        <v>0</v>
      </c>
      <c r="N402">
        <v>0</v>
      </c>
      <c r="O402" t="s">
        <v>1739</v>
      </c>
      <c r="P402">
        <v>1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>
        <v>1293</v>
      </c>
      <c r="B403">
        <v>2</v>
      </c>
      <c r="C403" t="s">
        <v>2435</v>
      </c>
      <c r="D403">
        <v>0</v>
      </c>
      <c r="E403">
        <v>38</v>
      </c>
      <c r="F403">
        <v>1</v>
      </c>
      <c r="G403">
        <v>0</v>
      </c>
      <c r="H403" t="s">
        <v>841</v>
      </c>
      <c r="I403">
        <v>21</v>
      </c>
      <c r="J403" t="s">
        <v>48</v>
      </c>
      <c r="K403" t="s">
        <v>14</v>
      </c>
      <c r="L403">
        <v>1</v>
      </c>
      <c r="M403">
        <v>0</v>
      </c>
      <c r="N403">
        <v>0</v>
      </c>
      <c r="O403" t="s">
        <v>1741</v>
      </c>
      <c r="P403">
        <v>0</v>
      </c>
      <c r="Q403">
        <v>0</v>
      </c>
      <c r="R403">
        <v>1</v>
      </c>
      <c r="S403">
        <v>0</v>
      </c>
      <c r="T403">
        <v>0</v>
      </c>
    </row>
    <row r="404" spans="1:20" x14ac:dyDescent="0.25">
      <c r="A404">
        <v>1294</v>
      </c>
      <c r="B404">
        <v>1</v>
      </c>
      <c r="C404" t="s">
        <v>2436</v>
      </c>
      <c r="D404">
        <v>1</v>
      </c>
      <c r="E404">
        <v>22</v>
      </c>
      <c r="F404">
        <v>0</v>
      </c>
      <c r="G404">
        <v>1</v>
      </c>
      <c r="H404" t="s">
        <v>2382</v>
      </c>
      <c r="I404">
        <v>59.4</v>
      </c>
      <c r="J404" t="s">
        <v>48</v>
      </c>
      <c r="K404" t="s">
        <v>18</v>
      </c>
      <c r="L404">
        <v>0</v>
      </c>
      <c r="M404">
        <v>1</v>
      </c>
      <c r="N404">
        <v>0</v>
      </c>
      <c r="O404" t="s">
        <v>1739</v>
      </c>
      <c r="P404">
        <v>1</v>
      </c>
      <c r="Q404">
        <v>0</v>
      </c>
      <c r="R404">
        <v>0</v>
      </c>
      <c r="S404">
        <v>0</v>
      </c>
      <c r="T404">
        <v>0</v>
      </c>
    </row>
    <row r="405" spans="1:20" x14ac:dyDescent="0.25">
      <c r="A405">
        <v>1295</v>
      </c>
      <c r="B405">
        <v>1</v>
      </c>
      <c r="C405" t="s">
        <v>2437</v>
      </c>
      <c r="D405">
        <v>0</v>
      </c>
      <c r="E405">
        <v>17</v>
      </c>
      <c r="F405">
        <v>0</v>
      </c>
      <c r="G405">
        <v>0</v>
      </c>
      <c r="H405" t="s">
        <v>197</v>
      </c>
      <c r="I405">
        <v>47.1</v>
      </c>
      <c r="J405" t="s">
        <v>48</v>
      </c>
      <c r="K405" t="s">
        <v>14</v>
      </c>
      <c r="L405">
        <v>1</v>
      </c>
      <c r="M405">
        <v>0</v>
      </c>
      <c r="N405">
        <v>0</v>
      </c>
      <c r="O405" t="s">
        <v>1741</v>
      </c>
      <c r="P405">
        <v>0</v>
      </c>
      <c r="Q405">
        <v>0</v>
      </c>
      <c r="R405">
        <v>1</v>
      </c>
      <c r="S405">
        <v>0</v>
      </c>
      <c r="T405">
        <v>0</v>
      </c>
    </row>
    <row r="406" spans="1:20" x14ac:dyDescent="0.25">
      <c r="A406">
        <v>1296</v>
      </c>
      <c r="B406">
        <v>1</v>
      </c>
      <c r="C406" t="s">
        <v>2438</v>
      </c>
      <c r="D406">
        <v>0</v>
      </c>
      <c r="E406">
        <v>43</v>
      </c>
      <c r="F406">
        <v>1</v>
      </c>
      <c r="G406">
        <v>0</v>
      </c>
      <c r="H406" t="s">
        <v>2439</v>
      </c>
      <c r="I406">
        <v>27.720800000000001</v>
      </c>
      <c r="J406" t="s">
        <v>2440</v>
      </c>
      <c r="K406" t="s">
        <v>18</v>
      </c>
      <c r="L406">
        <v>0</v>
      </c>
      <c r="M406">
        <v>1</v>
      </c>
      <c r="N406">
        <v>0</v>
      </c>
      <c r="O406" t="s">
        <v>1741</v>
      </c>
      <c r="P406">
        <v>0</v>
      </c>
      <c r="Q406">
        <v>0</v>
      </c>
      <c r="R406">
        <v>1</v>
      </c>
      <c r="S406">
        <v>0</v>
      </c>
      <c r="T406">
        <v>0</v>
      </c>
    </row>
    <row r="407" spans="1:20" x14ac:dyDescent="0.25">
      <c r="A407">
        <v>1297</v>
      </c>
      <c r="B407">
        <v>2</v>
      </c>
      <c r="C407" t="s">
        <v>2441</v>
      </c>
      <c r="D407">
        <v>0</v>
      </c>
      <c r="E407">
        <v>20</v>
      </c>
      <c r="F407">
        <v>0</v>
      </c>
      <c r="G407">
        <v>0</v>
      </c>
      <c r="H407" t="s">
        <v>2442</v>
      </c>
      <c r="I407">
        <v>13.862500000000001</v>
      </c>
      <c r="J407" t="s">
        <v>2443</v>
      </c>
      <c r="K407" t="s">
        <v>18</v>
      </c>
      <c r="L407">
        <v>0</v>
      </c>
      <c r="M407">
        <v>1</v>
      </c>
      <c r="N407">
        <v>0</v>
      </c>
      <c r="O407" t="s">
        <v>1741</v>
      </c>
      <c r="P407">
        <v>0</v>
      </c>
      <c r="Q407">
        <v>0</v>
      </c>
      <c r="R407">
        <v>1</v>
      </c>
      <c r="S407">
        <v>0</v>
      </c>
      <c r="T407">
        <v>0</v>
      </c>
    </row>
    <row r="408" spans="1:20" x14ac:dyDescent="0.25">
      <c r="A408">
        <v>1298</v>
      </c>
      <c r="B408">
        <v>2</v>
      </c>
      <c r="C408" t="s">
        <v>2444</v>
      </c>
      <c r="D408">
        <v>0</v>
      </c>
      <c r="E408">
        <v>23</v>
      </c>
      <c r="F408">
        <v>1</v>
      </c>
      <c r="G408">
        <v>0</v>
      </c>
      <c r="H408" t="s">
        <v>2445</v>
      </c>
      <c r="I408">
        <v>10.5</v>
      </c>
      <c r="J408" t="s">
        <v>48</v>
      </c>
      <c r="K408" t="s">
        <v>14</v>
      </c>
      <c r="L408">
        <v>1</v>
      </c>
      <c r="M408">
        <v>0</v>
      </c>
      <c r="N408">
        <v>0</v>
      </c>
      <c r="O408" t="s">
        <v>1741</v>
      </c>
      <c r="P408">
        <v>0</v>
      </c>
      <c r="Q408">
        <v>0</v>
      </c>
      <c r="R408">
        <v>1</v>
      </c>
      <c r="S408">
        <v>0</v>
      </c>
      <c r="T408">
        <v>0</v>
      </c>
    </row>
    <row r="409" spans="1:20" x14ac:dyDescent="0.25">
      <c r="A409">
        <v>1299</v>
      </c>
      <c r="B409">
        <v>1</v>
      </c>
      <c r="C409" t="s">
        <v>2446</v>
      </c>
      <c r="D409">
        <v>0</v>
      </c>
      <c r="E409">
        <v>50</v>
      </c>
      <c r="F409">
        <v>1</v>
      </c>
      <c r="G409">
        <v>1</v>
      </c>
      <c r="H409" t="s">
        <v>789</v>
      </c>
      <c r="I409">
        <v>211.5</v>
      </c>
      <c r="J409" t="s">
        <v>2138</v>
      </c>
      <c r="K409" t="s">
        <v>18</v>
      </c>
      <c r="L409">
        <v>0</v>
      </c>
      <c r="M409">
        <v>1</v>
      </c>
      <c r="N409">
        <v>0</v>
      </c>
      <c r="O409" t="s">
        <v>1741</v>
      </c>
      <c r="P409">
        <v>0</v>
      </c>
      <c r="Q409">
        <v>0</v>
      </c>
      <c r="R409">
        <v>1</v>
      </c>
      <c r="S409">
        <v>0</v>
      </c>
      <c r="T409">
        <v>0</v>
      </c>
    </row>
    <row r="410" spans="1:20" x14ac:dyDescent="0.25">
      <c r="A410">
        <v>1300</v>
      </c>
      <c r="B410">
        <v>3</v>
      </c>
      <c r="C410" t="s">
        <v>2447</v>
      </c>
      <c r="D410">
        <v>1</v>
      </c>
      <c r="E410">
        <v>21.98581560283688</v>
      </c>
      <c r="F410">
        <v>0</v>
      </c>
      <c r="G410">
        <v>0</v>
      </c>
      <c r="H410" t="s">
        <v>2448</v>
      </c>
      <c r="I410">
        <v>7.7207999999999997</v>
      </c>
      <c r="J410" t="s">
        <v>48</v>
      </c>
      <c r="K410" t="s">
        <v>28</v>
      </c>
      <c r="L410">
        <v>0</v>
      </c>
      <c r="M410">
        <v>0</v>
      </c>
      <c r="N410">
        <v>1</v>
      </c>
      <c r="O410" t="s">
        <v>1739</v>
      </c>
      <c r="P410">
        <v>1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>
        <v>1301</v>
      </c>
      <c r="B411">
        <v>3</v>
      </c>
      <c r="C411" t="s">
        <v>2449</v>
      </c>
      <c r="D411">
        <v>1</v>
      </c>
      <c r="E411">
        <v>3</v>
      </c>
      <c r="F411">
        <v>1</v>
      </c>
      <c r="G411">
        <v>1</v>
      </c>
      <c r="H411" t="s">
        <v>2041</v>
      </c>
      <c r="I411">
        <v>13.775</v>
      </c>
      <c r="J411" t="s">
        <v>48</v>
      </c>
      <c r="K411" t="s">
        <v>14</v>
      </c>
      <c r="L411">
        <v>1</v>
      </c>
      <c r="M411">
        <v>0</v>
      </c>
      <c r="N411">
        <v>0</v>
      </c>
      <c r="O411" t="s">
        <v>1739</v>
      </c>
      <c r="P411">
        <v>1</v>
      </c>
      <c r="Q411">
        <v>0</v>
      </c>
      <c r="R411">
        <v>0</v>
      </c>
      <c r="S411">
        <v>0</v>
      </c>
      <c r="T411">
        <v>0</v>
      </c>
    </row>
    <row r="412" spans="1:20" x14ac:dyDescent="0.25">
      <c r="A412">
        <v>1302</v>
      </c>
      <c r="B412">
        <v>3</v>
      </c>
      <c r="C412" t="s">
        <v>2450</v>
      </c>
      <c r="D412">
        <v>1</v>
      </c>
      <c r="E412">
        <v>21.98581560283688</v>
      </c>
      <c r="F412">
        <v>0</v>
      </c>
      <c r="G412">
        <v>0</v>
      </c>
      <c r="H412" t="s">
        <v>2451</v>
      </c>
      <c r="I412">
        <v>7.75</v>
      </c>
      <c r="J412" t="s">
        <v>48</v>
      </c>
      <c r="K412" t="s">
        <v>28</v>
      </c>
      <c r="L412">
        <v>0</v>
      </c>
      <c r="M412">
        <v>0</v>
      </c>
      <c r="N412">
        <v>1</v>
      </c>
      <c r="O412" t="s">
        <v>1739</v>
      </c>
      <c r="P412">
        <v>1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>
        <v>1303</v>
      </c>
      <c r="B413">
        <v>1</v>
      </c>
      <c r="C413" t="s">
        <v>2452</v>
      </c>
      <c r="D413">
        <v>1</v>
      </c>
      <c r="E413">
        <v>37</v>
      </c>
      <c r="F413">
        <v>1</v>
      </c>
      <c r="G413">
        <v>0</v>
      </c>
      <c r="H413" t="s">
        <v>521</v>
      </c>
      <c r="I413">
        <v>90</v>
      </c>
      <c r="J413" t="s">
        <v>522</v>
      </c>
      <c r="K413" t="s">
        <v>28</v>
      </c>
      <c r="L413">
        <v>0</v>
      </c>
      <c r="M413">
        <v>0</v>
      </c>
      <c r="N413">
        <v>1</v>
      </c>
      <c r="O413" t="s">
        <v>1740</v>
      </c>
      <c r="P413">
        <v>0</v>
      </c>
      <c r="Q413">
        <v>1</v>
      </c>
      <c r="R413">
        <v>0</v>
      </c>
      <c r="S413">
        <v>0</v>
      </c>
      <c r="T413">
        <v>0</v>
      </c>
    </row>
    <row r="414" spans="1:20" x14ac:dyDescent="0.25">
      <c r="A414">
        <v>1304</v>
      </c>
      <c r="B414">
        <v>3</v>
      </c>
      <c r="C414" t="s">
        <v>2453</v>
      </c>
      <c r="D414">
        <v>1</v>
      </c>
      <c r="E414">
        <v>28</v>
      </c>
      <c r="F414">
        <v>0</v>
      </c>
      <c r="G414">
        <v>0</v>
      </c>
      <c r="H414" t="s">
        <v>2454</v>
      </c>
      <c r="I414">
        <v>7.7750000000000004</v>
      </c>
      <c r="J414" t="s">
        <v>48</v>
      </c>
      <c r="K414" t="s">
        <v>14</v>
      </c>
      <c r="L414">
        <v>1</v>
      </c>
      <c r="M414">
        <v>0</v>
      </c>
      <c r="N414">
        <v>0</v>
      </c>
      <c r="O414" t="s">
        <v>1739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>
        <v>1305</v>
      </c>
      <c r="B415">
        <v>3</v>
      </c>
      <c r="C415" t="s">
        <v>2455</v>
      </c>
      <c r="D415">
        <v>0</v>
      </c>
      <c r="E415">
        <v>32.180156657963444</v>
      </c>
      <c r="F415">
        <v>0</v>
      </c>
      <c r="G415">
        <v>0</v>
      </c>
      <c r="H415" t="s">
        <v>2456</v>
      </c>
      <c r="I415">
        <v>8.0500000000000007</v>
      </c>
      <c r="J415" t="s">
        <v>48</v>
      </c>
      <c r="K415" t="s">
        <v>14</v>
      </c>
      <c r="L415">
        <v>1</v>
      </c>
      <c r="M415">
        <v>0</v>
      </c>
      <c r="N415">
        <v>0</v>
      </c>
      <c r="O415" t="s">
        <v>1741</v>
      </c>
      <c r="P415">
        <v>0</v>
      </c>
      <c r="Q415">
        <v>0</v>
      </c>
      <c r="R415">
        <v>1</v>
      </c>
      <c r="S415">
        <v>0</v>
      </c>
      <c r="T415">
        <v>0</v>
      </c>
    </row>
    <row r="416" spans="1:20" x14ac:dyDescent="0.25">
      <c r="A416">
        <v>1306</v>
      </c>
      <c r="B416">
        <v>1</v>
      </c>
      <c r="C416" t="s">
        <v>2457</v>
      </c>
      <c r="D416">
        <v>1</v>
      </c>
      <c r="E416">
        <v>39</v>
      </c>
      <c r="F416">
        <v>0</v>
      </c>
      <c r="G416">
        <v>0</v>
      </c>
      <c r="H416" t="s">
        <v>652</v>
      </c>
      <c r="I416">
        <v>108.9</v>
      </c>
      <c r="J416" t="s">
        <v>2458</v>
      </c>
      <c r="K416" t="s">
        <v>18</v>
      </c>
      <c r="L416">
        <v>0</v>
      </c>
      <c r="M416">
        <v>1</v>
      </c>
      <c r="N416">
        <v>0</v>
      </c>
      <c r="O416" t="s">
        <v>2464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>
        <v>1307</v>
      </c>
      <c r="B417">
        <v>3</v>
      </c>
      <c r="C417" t="s">
        <v>2459</v>
      </c>
      <c r="D417">
        <v>0</v>
      </c>
      <c r="E417">
        <v>38.5</v>
      </c>
      <c r="F417">
        <v>0</v>
      </c>
      <c r="G417">
        <v>0</v>
      </c>
      <c r="H417" t="s">
        <v>2460</v>
      </c>
      <c r="I417">
        <v>7.25</v>
      </c>
      <c r="J417" t="s">
        <v>48</v>
      </c>
      <c r="K417" t="s">
        <v>14</v>
      </c>
      <c r="L417">
        <v>1</v>
      </c>
      <c r="M417">
        <v>0</v>
      </c>
      <c r="N417">
        <v>0</v>
      </c>
      <c r="O417" t="s">
        <v>1741</v>
      </c>
      <c r="P417">
        <v>0</v>
      </c>
      <c r="Q417">
        <v>0</v>
      </c>
      <c r="R417">
        <v>1</v>
      </c>
      <c r="S417">
        <v>0</v>
      </c>
      <c r="T417">
        <v>0</v>
      </c>
    </row>
    <row r="418" spans="1:20" x14ac:dyDescent="0.25">
      <c r="A418">
        <v>1308</v>
      </c>
      <c r="B418">
        <v>3</v>
      </c>
      <c r="C418" t="s">
        <v>2461</v>
      </c>
      <c r="D418">
        <v>0</v>
      </c>
      <c r="E418">
        <v>32.180156657963444</v>
      </c>
      <c r="F418">
        <v>0</v>
      </c>
      <c r="G418">
        <v>0</v>
      </c>
      <c r="H418" t="s">
        <v>2462</v>
      </c>
      <c r="I418">
        <v>8.0500000000000007</v>
      </c>
      <c r="J418" t="s">
        <v>48</v>
      </c>
      <c r="K418" t="s">
        <v>14</v>
      </c>
      <c r="L418">
        <v>1</v>
      </c>
      <c r="M418">
        <v>0</v>
      </c>
      <c r="N418">
        <v>0</v>
      </c>
      <c r="O418" t="s">
        <v>1741</v>
      </c>
      <c r="P418">
        <v>0</v>
      </c>
      <c r="Q418">
        <v>0</v>
      </c>
      <c r="R418">
        <v>1</v>
      </c>
      <c r="S418">
        <v>0</v>
      </c>
      <c r="T418">
        <v>0</v>
      </c>
    </row>
    <row r="419" spans="1:20" x14ac:dyDescent="0.25">
      <c r="A419">
        <v>1309</v>
      </c>
      <c r="B419">
        <v>3</v>
      </c>
      <c r="C419" t="s">
        <v>2463</v>
      </c>
      <c r="D419">
        <v>0</v>
      </c>
      <c r="E419">
        <v>5.193548387096774</v>
      </c>
      <c r="F419">
        <v>1</v>
      </c>
      <c r="G419">
        <v>1</v>
      </c>
      <c r="H419" t="s">
        <v>287</v>
      </c>
      <c r="I419">
        <v>22.3583</v>
      </c>
      <c r="J419" t="s">
        <v>48</v>
      </c>
      <c r="K419" t="s">
        <v>18</v>
      </c>
      <c r="L419">
        <v>0</v>
      </c>
      <c r="M419">
        <v>1</v>
      </c>
      <c r="N419">
        <v>0</v>
      </c>
      <c r="O419" t="s">
        <v>1742</v>
      </c>
      <c r="P419">
        <v>0</v>
      </c>
      <c r="Q419">
        <v>0</v>
      </c>
      <c r="R419">
        <v>0</v>
      </c>
      <c r="S419">
        <v>1</v>
      </c>
      <c r="T4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G2" sqref="G2:G18"/>
      <pivotSelection pane="bottomRight" showHeader="1" axis="axisRow" activeRow="1" activeCol="6" previousRow="1" previousCol="6" click="1" r:id="rId2">
        <pivotArea dataOnly="0" labelOnly="1" fieldPosition="0">
          <references count="1">
            <reference field="15" count="0"/>
          </references>
        </pivotArea>
      </pivotSelection>
    </sheetView>
  </sheetViews>
  <sheetFormatPr defaultRowHeight="15" x14ac:dyDescent="0.25"/>
  <cols>
    <col min="1" max="1" width="22" bestFit="1" customWidth="1"/>
    <col min="2" max="2" width="9.7109375" bestFit="1" customWidth="1"/>
    <col min="7" max="7" width="19.5703125" bestFit="1" customWidth="1"/>
    <col min="8" max="8" width="14.28515625" bestFit="1" customWidth="1"/>
  </cols>
  <sheetData>
    <row r="1" spans="1:8" x14ac:dyDescent="0.25">
      <c r="A1" s="4" t="s">
        <v>5</v>
      </c>
      <c r="B1" s="5" t="s">
        <v>1758</v>
      </c>
      <c r="G1" s="2" t="s">
        <v>1757</v>
      </c>
      <c r="H1" t="s">
        <v>1761</v>
      </c>
    </row>
    <row r="2" spans="1:8" x14ac:dyDescent="0.25">
      <c r="A2" s="5"/>
      <c r="B2" s="5"/>
      <c r="G2" s="3" t="s">
        <v>1754</v>
      </c>
      <c r="H2" s="1">
        <v>70</v>
      </c>
    </row>
    <row r="3" spans="1:8" x14ac:dyDescent="0.25">
      <c r="A3" s="5" t="s">
        <v>1760</v>
      </c>
      <c r="B3" s="5"/>
      <c r="G3" s="3" t="s">
        <v>1753</v>
      </c>
      <c r="H3" s="1">
        <v>58</v>
      </c>
    </row>
    <row r="4" spans="1:8" x14ac:dyDescent="0.25">
      <c r="A4" s="6">
        <v>202</v>
      </c>
      <c r="B4" s="5"/>
      <c r="G4" s="3" t="s">
        <v>1744</v>
      </c>
      <c r="H4" s="1">
        <v>40</v>
      </c>
    </row>
    <row r="5" spans="1:8" x14ac:dyDescent="0.25">
      <c r="G5" s="3" t="s">
        <v>1746</v>
      </c>
      <c r="H5" s="1">
        <v>42</v>
      </c>
    </row>
    <row r="6" spans="1:8" x14ac:dyDescent="0.25">
      <c r="G6" s="3" t="s">
        <v>1756</v>
      </c>
      <c r="H6" s="1">
        <v>38</v>
      </c>
    </row>
    <row r="7" spans="1:8" x14ac:dyDescent="0.25">
      <c r="G7" s="3" t="s">
        <v>1750</v>
      </c>
      <c r="H7" s="1">
        <v>48</v>
      </c>
    </row>
    <row r="8" spans="1:8" x14ac:dyDescent="0.25">
      <c r="G8" s="3" t="s">
        <v>1749</v>
      </c>
      <c r="H8" s="1">
        <v>48.5</v>
      </c>
    </row>
    <row r="9" spans="1:8" x14ac:dyDescent="0.25">
      <c r="G9" s="3" t="s">
        <v>1742</v>
      </c>
      <c r="H9" s="1">
        <v>5.193548387096774</v>
      </c>
    </row>
    <row r="10" spans="1:8" x14ac:dyDescent="0.25">
      <c r="G10" s="3" t="s">
        <v>1739</v>
      </c>
      <c r="H10" s="1">
        <v>21.98581560283688</v>
      </c>
    </row>
    <row r="11" spans="1:8" x14ac:dyDescent="0.25">
      <c r="G11" s="3" t="s">
        <v>1752</v>
      </c>
      <c r="H11" s="1">
        <v>24</v>
      </c>
    </row>
    <row r="12" spans="1:8" x14ac:dyDescent="0.25">
      <c r="G12" s="3" t="s">
        <v>1747</v>
      </c>
      <c r="H12" s="1">
        <v>24</v>
      </c>
    </row>
    <row r="13" spans="1:8" x14ac:dyDescent="0.25">
      <c r="G13" s="3" t="s">
        <v>1741</v>
      </c>
      <c r="H13" s="1">
        <v>32.180156657963444</v>
      </c>
    </row>
    <row r="14" spans="1:8" x14ac:dyDescent="0.25">
      <c r="G14" s="3" t="s">
        <v>1740</v>
      </c>
      <c r="H14" s="1">
        <v>35.898148148148145</v>
      </c>
    </row>
    <row r="15" spans="1:8" x14ac:dyDescent="0.25">
      <c r="G15" s="3" t="s">
        <v>1748</v>
      </c>
      <c r="H15" s="1">
        <v>28</v>
      </c>
    </row>
    <row r="16" spans="1:8" x14ac:dyDescent="0.25">
      <c r="G16" s="3" t="s">
        <v>1745</v>
      </c>
      <c r="H16" s="1">
        <v>43.166666666666664</v>
      </c>
    </row>
    <row r="17" spans="7:8" x14ac:dyDescent="0.25">
      <c r="G17" s="3" t="s">
        <v>1751</v>
      </c>
      <c r="H17" s="1">
        <v>49</v>
      </c>
    </row>
    <row r="18" spans="7:8" x14ac:dyDescent="0.25">
      <c r="G18" s="3" t="s">
        <v>1755</v>
      </c>
      <c r="H18" s="1">
        <v>33</v>
      </c>
    </row>
    <row r="19" spans="7:8" x14ac:dyDescent="0.25">
      <c r="G19" s="3" t="s">
        <v>1759</v>
      </c>
      <c r="H19" s="1">
        <v>29.847605224963715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F9865-F8A3-484B-A685-47B5263A5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train</vt:lpstr>
      <vt:lpstr>test</vt:lpstr>
      <vt:lpstr>зведена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2026-01-06T10:52:45Z</dcterms:created>
  <dcterms:modified xsi:type="dcterms:W3CDTF">2026-01-14T13:01:19Z</dcterms:modified>
</cp:coreProperties>
</file>